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3d15feb779d49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X:\_NUOVO PTO 2019\PanelTakeOff_5_0_0\"/>
    </mc:Choice>
  </mc:AlternateContent>
  <workbookProtection lockStructure="1"/>
  <bookViews>
    <workbookView xWindow="9590" yWindow="-20" windowWidth="9620" windowHeight="6780"/>
  </bookViews>
  <sheets>
    <sheet name="CELLS" sheetId="16" r:id="rId1"/>
    <sheet name="RESUMING" sheetId="18" r:id="rId2"/>
    <sheet name="Woset" sheetId="21" state="hidden" r:id="rId3"/>
  </sheets>
  <definedNames>
    <definedName name="_xlnm._FilterDatabase" localSheetId="0" hidden="1">CELLS!$A$6:$DM$6</definedName>
    <definedName name="_xlnm.Print_Area" localSheetId="0">CELLS!$A:$AM</definedName>
    <definedName name="_xlnm.Print_Area" localSheetId="1">RESUMING!$A:$R</definedName>
    <definedName name="_xlnm.Criteria" localSheetId="0">CELLS!#REF!</definedName>
    <definedName name="RESUMINGSOURCE">CELLS!$A$5:'CELLS'!$AU$297</definedName>
    <definedName name="_xlnm.Print_Titles" localSheetId="0">CELLS!$3:$6</definedName>
    <definedName name="_xlnm.Print_Titles" localSheetId="1">RESUMING!$3:$3</definedName>
  </definedNames>
  <calcPr calcId="162913"/>
  <pivotCaches>
    <pivotCache cacheId="0" r:id="rId4"/>
  </pivotCaches>
</workbook>
</file>

<file path=xl/calcChain.xml><?xml version="1.0" encoding="utf-8"?>
<calcChain xmlns="http://schemas.openxmlformats.org/spreadsheetml/2006/main">
  <c r="AC256" i="16" l="1"/>
  <c r="AC257" i="16"/>
  <c r="AC258" i="16"/>
  <c r="AC259" i="16"/>
  <c r="AC260" i="16"/>
  <c r="AC261" i="16"/>
  <c r="AC262" i="16"/>
  <c r="AC263" i="16"/>
  <c r="AC264" i="16"/>
  <c r="AC265" i="16"/>
  <c r="AC266" i="16"/>
  <c r="AC267" i="16"/>
  <c r="AC268" i="16"/>
  <c r="AC269" i="16"/>
  <c r="AC270" i="16"/>
  <c r="AC271" i="16"/>
  <c r="AC272" i="16"/>
  <c r="AC273" i="16"/>
  <c r="AC274" i="16"/>
  <c r="AC275" i="16"/>
  <c r="AC276" i="16"/>
  <c r="AC277" i="16"/>
  <c r="AC278" i="16"/>
  <c r="AC279" i="16"/>
  <c r="AC280" i="16"/>
  <c r="AC281" i="16"/>
  <c r="AC282" i="16"/>
  <c r="AC283" i="16"/>
  <c r="AC284" i="16"/>
  <c r="AC285" i="16"/>
  <c r="AC286" i="16"/>
  <c r="AC287" i="16"/>
  <c r="AC288" i="16"/>
  <c r="AC289" i="16"/>
  <c r="AC290" i="16"/>
  <c r="Y8" i="16"/>
  <c r="Z8" i="16"/>
  <c r="Y9" i="16"/>
  <c r="Z9" i="16"/>
  <c r="Y10" i="16"/>
  <c r="Z10" i="16"/>
  <c r="Y11" i="16"/>
  <c r="Z11" i="16"/>
  <c r="Y12" i="16"/>
  <c r="Z12" i="16"/>
  <c r="Y13" i="16"/>
  <c r="Z13" i="16"/>
  <c r="Y14" i="16"/>
  <c r="Z14" i="16"/>
  <c r="Y15" i="16"/>
  <c r="Z15" i="16"/>
  <c r="Y16" i="16"/>
  <c r="Z16" i="16"/>
  <c r="Y17" i="16"/>
  <c r="Z17" i="16"/>
  <c r="Y18" i="16"/>
  <c r="Z18" i="16"/>
  <c r="Y19" i="16"/>
  <c r="Z19" i="16"/>
  <c r="Y20" i="16"/>
  <c r="Z20" i="16"/>
  <c r="Y21" i="16"/>
  <c r="Z21" i="16"/>
  <c r="Y22" i="16"/>
  <c r="Z22" i="16"/>
  <c r="Y23" i="16"/>
  <c r="Z23" i="16"/>
  <c r="Y24" i="16"/>
  <c r="Z24" i="16"/>
  <c r="Y25" i="16"/>
  <c r="Z25" i="16"/>
  <c r="Y26" i="16"/>
  <c r="Z26" i="16"/>
  <c r="Y27" i="16"/>
  <c r="Z27" i="16"/>
  <c r="Y28" i="16"/>
  <c r="Z28" i="16"/>
  <c r="Y29" i="16"/>
  <c r="Z29" i="16"/>
  <c r="Y30" i="16"/>
  <c r="Z30" i="16"/>
  <c r="Y31" i="16"/>
  <c r="Z31" i="16"/>
  <c r="Y32" i="16"/>
  <c r="Z32" i="16"/>
  <c r="Y33" i="16"/>
  <c r="Z33" i="16"/>
  <c r="Y34" i="16"/>
  <c r="Z34" i="16"/>
  <c r="Y35" i="16"/>
  <c r="Z35" i="16"/>
  <c r="Y36" i="16"/>
  <c r="Z36" i="16"/>
  <c r="Y37" i="16"/>
  <c r="Z37" i="16"/>
  <c r="Y38" i="16"/>
  <c r="Z38" i="16"/>
  <c r="Y39" i="16"/>
  <c r="Z39" i="16"/>
  <c r="Y40" i="16"/>
  <c r="Z40" i="16"/>
  <c r="Y41" i="16"/>
  <c r="Z41" i="16"/>
  <c r="Y42" i="16"/>
  <c r="Z42" i="16"/>
  <c r="Y43" i="16"/>
  <c r="Z43" i="16"/>
  <c r="Y44" i="16"/>
  <c r="Z44" i="16"/>
  <c r="Y45" i="16"/>
  <c r="Z45" i="16"/>
  <c r="Y46" i="16"/>
  <c r="Z46" i="16"/>
  <c r="Y47" i="16"/>
  <c r="Z47" i="16"/>
  <c r="Y48" i="16"/>
  <c r="Z48" i="16"/>
  <c r="Y49" i="16"/>
  <c r="Z49" i="16"/>
  <c r="Y50" i="16"/>
  <c r="Z50" i="16"/>
  <c r="Y51" i="16"/>
  <c r="Z51" i="16"/>
  <c r="Y52" i="16"/>
  <c r="Z52" i="16"/>
  <c r="Y53" i="16"/>
  <c r="Z53" i="16"/>
  <c r="Y54" i="16"/>
  <c r="Z54" i="16"/>
  <c r="Y55" i="16"/>
  <c r="Z55" i="16"/>
  <c r="Y56" i="16"/>
  <c r="Z56" i="16"/>
  <c r="Y57" i="16"/>
  <c r="Z57" i="16"/>
  <c r="Y58" i="16"/>
  <c r="Z58" i="16"/>
  <c r="Y59" i="16"/>
  <c r="Z59" i="16"/>
  <c r="Y60" i="16"/>
  <c r="Z60" i="16"/>
  <c r="Y61" i="16"/>
  <c r="Z61" i="16"/>
  <c r="Y62" i="16"/>
  <c r="Z62" i="16"/>
  <c r="Y63" i="16"/>
  <c r="Z63" i="16"/>
  <c r="Y64" i="16"/>
  <c r="Z64" i="16"/>
  <c r="Y65" i="16"/>
  <c r="Z65" i="16"/>
  <c r="Y66" i="16"/>
  <c r="Z66" i="16"/>
  <c r="Y67" i="16"/>
  <c r="Z67" i="16"/>
  <c r="Y68" i="16"/>
  <c r="Z68" i="16"/>
  <c r="Y69" i="16"/>
  <c r="Z69" i="16"/>
  <c r="Y70" i="16"/>
  <c r="Z70" i="16"/>
  <c r="Y71" i="16"/>
  <c r="Z71" i="16"/>
  <c r="Y72" i="16"/>
  <c r="Z72" i="16"/>
  <c r="Y73" i="16"/>
  <c r="Z73" i="16"/>
  <c r="Y74" i="16"/>
  <c r="Z74" i="16"/>
  <c r="Y75" i="16"/>
  <c r="Z75" i="16"/>
  <c r="Y76" i="16"/>
  <c r="Z76" i="16"/>
  <c r="Y77" i="16"/>
  <c r="Z77" i="16"/>
  <c r="Y78" i="16"/>
  <c r="Z78" i="16"/>
  <c r="Y79" i="16"/>
  <c r="Z79" i="16"/>
  <c r="Y80" i="16"/>
  <c r="Z80" i="16"/>
  <c r="Y81" i="16"/>
  <c r="Z81" i="16"/>
  <c r="Y82" i="16"/>
  <c r="Z82" i="16"/>
  <c r="Y83" i="16"/>
  <c r="Z83" i="16"/>
  <c r="Y84" i="16"/>
  <c r="Z84" i="16"/>
  <c r="Y85" i="16"/>
  <c r="Z85" i="16"/>
  <c r="Y86" i="16"/>
  <c r="Z86" i="16"/>
  <c r="Y87" i="16"/>
  <c r="Z87" i="16"/>
  <c r="Y88" i="16"/>
  <c r="Z88" i="16"/>
  <c r="Y89" i="16"/>
  <c r="Z89" i="16"/>
  <c r="Y90" i="16"/>
  <c r="Z90" i="16"/>
  <c r="Y91" i="16"/>
  <c r="Z91" i="16"/>
  <c r="Y92" i="16"/>
  <c r="Z92" i="16"/>
  <c r="Y93" i="16"/>
  <c r="Z93" i="16"/>
  <c r="Y94" i="16"/>
  <c r="Z94" i="16"/>
  <c r="Y95" i="16"/>
  <c r="Z95" i="16"/>
  <c r="Y96" i="16"/>
  <c r="Z96" i="16"/>
  <c r="Y97" i="16"/>
  <c r="Z97" i="16"/>
  <c r="Y98" i="16"/>
  <c r="Z98" i="16"/>
  <c r="Y99" i="16"/>
  <c r="Z99" i="16"/>
  <c r="Y100" i="16"/>
  <c r="Z100" i="16"/>
  <c r="Y101" i="16"/>
  <c r="Z101" i="16"/>
  <c r="Y102" i="16"/>
  <c r="Z102" i="16"/>
  <c r="Y103" i="16"/>
  <c r="Z103" i="16"/>
  <c r="Y104" i="16"/>
  <c r="Z104" i="16"/>
  <c r="Y105" i="16"/>
  <c r="Z105" i="16"/>
  <c r="Y106" i="16"/>
  <c r="Z106" i="16"/>
  <c r="Y107" i="16"/>
  <c r="Z107" i="16"/>
  <c r="Y108" i="16"/>
  <c r="Z108" i="16"/>
  <c r="Y109" i="16"/>
  <c r="Z109" i="16"/>
  <c r="Y110" i="16"/>
  <c r="Z110" i="16"/>
  <c r="Y111" i="16"/>
  <c r="Z111" i="16"/>
  <c r="Y112" i="16"/>
  <c r="Z112" i="16"/>
  <c r="Y113" i="16"/>
  <c r="Z113" i="16"/>
  <c r="Y114" i="16"/>
  <c r="Z114" i="16"/>
  <c r="Y115" i="16"/>
  <c r="Z115" i="16"/>
  <c r="Y116" i="16"/>
  <c r="Z116" i="16"/>
  <c r="Y117" i="16"/>
  <c r="Z117" i="16"/>
  <c r="Y118" i="16"/>
  <c r="Z118" i="16"/>
  <c r="Y119" i="16"/>
  <c r="Z119" i="16"/>
  <c r="Y120" i="16"/>
  <c r="Z120" i="16"/>
  <c r="Y121" i="16"/>
  <c r="Z121" i="16"/>
  <c r="Y122" i="16"/>
  <c r="Z122" i="16"/>
  <c r="Y123" i="16"/>
  <c r="Z123" i="16"/>
  <c r="Y124" i="16"/>
  <c r="Z124" i="16"/>
  <c r="Y125" i="16"/>
  <c r="Z125" i="16"/>
  <c r="Y126" i="16"/>
  <c r="Z126" i="16"/>
  <c r="Y127" i="16"/>
  <c r="Z127" i="16"/>
  <c r="Y128" i="16"/>
  <c r="Z128" i="16"/>
  <c r="Y129" i="16"/>
  <c r="Z129" i="16"/>
  <c r="Y130" i="16"/>
  <c r="Z130" i="16"/>
  <c r="Y131" i="16"/>
  <c r="Z131" i="16"/>
  <c r="Y132" i="16"/>
  <c r="Z132" i="16"/>
  <c r="Y133" i="16"/>
  <c r="Z133" i="16"/>
  <c r="Y134" i="16"/>
  <c r="Z134" i="16"/>
  <c r="Y135" i="16"/>
  <c r="Z135" i="16"/>
  <c r="Y136" i="16"/>
  <c r="Z136" i="16"/>
  <c r="Y137" i="16"/>
  <c r="Z137" i="16"/>
  <c r="Y138" i="16"/>
  <c r="Z138" i="16"/>
  <c r="Y139" i="16"/>
  <c r="Z139" i="16"/>
  <c r="Y140" i="16"/>
  <c r="Z140" i="16"/>
  <c r="Y141" i="16"/>
  <c r="Z141" i="16"/>
  <c r="Y142" i="16"/>
  <c r="Z142" i="16"/>
  <c r="Y143" i="16"/>
  <c r="Z143" i="16"/>
  <c r="Y144" i="16"/>
  <c r="Z144" i="16"/>
  <c r="Y145" i="16"/>
  <c r="Z145" i="16"/>
  <c r="Y146" i="16"/>
  <c r="Z146" i="16"/>
  <c r="Y147" i="16"/>
  <c r="Z147" i="16"/>
  <c r="Y148" i="16"/>
  <c r="Z148" i="16"/>
  <c r="Y149" i="16"/>
  <c r="Z149" i="16"/>
  <c r="Y150" i="16"/>
  <c r="Z150" i="16"/>
  <c r="Y151" i="16"/>
  <c r="Z151" i="16"/>
  <c r="Y152" i="16"/>
  <c r="Z152" i="16"/>
  <c r="Y153" i="16"/>
  <c r="Z153" i="16"/>
  <c r="Y154" i="16"/>
  <c r="Z154" i="16"/>
  <c r="Y155" i="16"/>
  <c r="Z155" i="16"/>
  <c r="Y156" i="16"/>
  <c r="Z156" i="16"/>
  <c r="Y157" i="16"/>
  <c r="Z157" i="16"/>
  <c r="Y158" i="16"/>
  <c r="Z158" i="16"/>
  <c r="Y159" i="16"/>
  <c r="Z159" i="16"/>
  <c r="Y160" i="16"/>
  <c r="Z160" i="16"/>
  <c r="Y161" i="16"/>
  <c r="Z161" i="16"/>
  <c r="Y162" i="16"/>
  <c r="Z162" i="16"/>
  <c r="Y163" i="16"/>
  <c r="Z163" i="16"/>
  <c r="Y164" i="16"/>
  <c r="Z164" i="16"/>
  <c r="Y165" i="16"/>
  <c r="Z165" i="16"/>
  <c r="Y166" i="16"/>
  <c r="Z166" i="16"/>
  <c r="Y167" i="16"/>
  <c r="Z167" i="16"/>
  <c r="Y168" i="16"/>
  <c r="Z168" i="16"/>
  <c r="Y169" i="16"/>
  <c r="Z169" i="16"/>
  <c r="Y170" i="16"/>
  <c r="Z170" i="16"/>
  <c r="Y171" i="16"/>
  <c r="Z171" i="16"/>
  <c r="Y172" i="16"/>
  <c r="Z172" i="16"/>
  <c r="Y173" i="16"/>
  <c r="Z173" i="16"/>
  <c r="Y174" i="16"/>
  <c r="Z174" i="16"/>
  <c r="Y175" i="16"/>
  <c r="Z175" i="16"/>
  <c r="Y176" i="16"/>
  <c r="Z176" i="16"/>
  <c r="Y177" i="16"/>
  <c r="Z177" i="16"/>
  <c r="Y178" i="16"/>
  <c r="Z178" i="16"/>
  <c r="Y179" i="16"/>
  <c r="Z179" i="16"/>
  <c r="Y180" i="16"/>
  <c r="Z180" i="16"/>
  <c r="Y181" i="16"/>
  <c r="Z181" i="16"/>
  <c r="Y182" i="16"/>
  <c r="Z182" i="16"/>
  <c r="Y183" i="16"/>
  <c r="Z183" i="16"/>
  <c r="Y184" i="16"/>
  <c r="Z184" i="16"/>
  <c r="Y185" i="16"/>
  <c r="Z185" i="16"/>
  <c r="Y186" i="16"/>
  <c r="Z186" i="16"/>
  <c r="Y187" i="16"/>
  <c r="Z187" i="16"/>
  <c r="Y188" i="16"/>
  <c r="Z188" i="16"/>
  <c r="Y189" i="16"/>
  <c r="Z189" i="16"/>
  <c r="Y190" i="16"/>
  <c r="Z190" i="16"/>
  <c r="Y191" i="16"/>
  <c r="Z191" i="16"/>
  <c r="Y192" i="16"/>
  <c r="Z192" i="16"/>
  <c r="Y193" i="16"/>
  <c r="Z193" i="16"/>
  <c r="Y194" i="16"/>
  <c r="Z194" i="16"/>
  <c r="Y195" i="16"/>
  <c r="Z195" i="16"/>
  <c r="Y196" i="16"/>
  <c r="Z196" i="16"/>
  <c r="Y197" i="16"/>
  <c r="Z197" i="16"/>
  <c r="Y198" i="16"/>
  <c r="Z198" i="16"/>
  <c r="Y199" i="16"/>
  <c r="Z199" i="16"/>
  <c r="Y200" i="16"/>
  <c r="Z200" i="16"/>
  <c r="Y201" i="16"/>
  <c r="Z201" i="16"/>
  <c r="Y202" i="16"/>
  <c r="Z202" i="16"/>
  <c r="Y203" i="16"/>
  <c r="Z203" i="16"/>
  <c r="Y204" i="16"/>
  <c r="Z204" i="16"/>
  <c r="Y205" i="16"/>
  <c r="Z205" i="16"/>
  <c r="Y206" i="16"/>
  <c r="Z206" i="16"/>
  <c r="Y207" i="16"/>
  <c r="Z207" i="16"/>
  <c r="Y208" i="16"/>
  <c r="Z208" i="16"/>
  <c r="Y209" i="16"/>
  <c r="Z209" i="16"/>
  <c r="Y210" i="16"/>
  <c r="Z210" i="16"/>
  <c r="Y211" i="16"/>
  <c r="Z211" i="16"/>
  <c r="Y212" i="16"/>
  <c r="Z212" i="16"/>
  <c r="Y213" i="16"/>
  <c r="Z213" i="16"/>
  <c r="Y214" i="16"/>
  <c r="Z214" i="16"/>
  <c r="Y215" i="16"/>
  <c r="Z215" i="16"/>
  <c r="Y216" i="16"/>
  <c r="Z216" i="16"/>
  <c r="Y217" i="16"/>
  <c r="Z217" i="16"/>
  <c r="Y218" i="16"/>
  <c r="Z218" i="16"/>
  <c r="Y219" i="16"/>
  <c r="Z219" i="16"/>
  <c r="Y220" i="16"/>
  <c r="Z220" i="16"/>
  <c r="Y221" i="16"/>
  <c r="Z221" i="16"/>
  <c r="Y222" i="16"/>
  <c r="Z222" i="16"/>
  <c r="Y223" i="16"/>
  <c r="Z223" i="16"/>
  <c r="Y224" i="16"/>
  <c r="Z224" i="16"/>
  <c r="Y225" i="16"/>
  <c r="Z225" i="16"/>
  <c r="Y226" i="16"/>
  <c r="Z226" i="16"/>
  <c r="Y227" i="16"/>
  <c r="Z227" i="16"/>
  <c r="Y228" i="16"/>
  <c r="Z228" i="16"/>
  <c r="Y229" i="16"/>
  <c r="Z229" i="16"/>
  <c r="Y230" i="16"/>
  <c r="Z230" i="16"/>
  <c r="Y231" i="16"/>
  <c r="Z231" i="16"/>
  <c r="Y232" i="16"/>
  <c r="Z232" i="16"/>
  <c r="Y233" i="16"/>
  <c r="Z233" i="16"/>
  <c r="Y234" i="16"/>
  <c r="Z234" i="16"/>
  <c r="Y235" i="16"/>
  <c r="Z235" i="16"/>
  <c r="Y236" i="16"/>
  <c r="Z236" i="16"/>
  <c r="Y237" i="16"/>
  <c r="Z237" i="16"/>
  <c r="Y238" i="16"/>
  <c r="Z238" i="16"/>
  <c r="Y239" i="16"/>
  <c r="Z239" i="16"/>
  <c r="Y240" i="16"/>
  <c r="Z240" i="16"/>
  <c r="Y241" i="16"/>
  <c r="Z241" i="16"/>
  <c r="Y242" i="16"/>
  <c r="Z242" i="16"/>
  <c r="Y243" i="16"/>
  <c r="Z243" i="16"/>
  <c r="Y244" i="16"/>
  <c r="Z244" i="16"/>
  <c r="Y245" i="16"/>
  <c r="Z245" i="16"/>
  <c r="Y246" i="16"/>
  <c r="Z246" i="16"/>
  <c r="Y247" i="16"/>
  <c r="Z247" i="16"/>
  <c r="Y248" i="16"/>
  <c r="Z248" i="16"/>
  <c r="Y249" i="16"/>
  <c r="Z249" i="16"/>
  <c r="Y250" i="16"/>
  <c r="Z250" i="16"/>
  <c r="Y251" i="16"/>
  <c r="Z251" i="16"/>
  <c r="Y252" i="16"/>
  <c r="Z252" i="16"/>
  <c r="Y253" i="16"/>
  <c r="Z253" i="16"/>
  <c r="Y254" i="16"/>
  <c r="Z254" i="16"/>
  <c r="Y255" i="16"/>
  <c r="Z255" i="16"/>
  <c r="Y256" i="16"/>
  <c r="Z256" i="16"/>
  <c r="Y257" i="16"/>
  <c r="Z257" i="16"/>
  <c r="Y258" i="16"/>
  <c r="Z258" i="16"/>
  <c r="Y259" i="16"/>
  <c r="Z259" i="16"/>
  <c r="Y260" i="16"/>
  <c r="Z260" i="16"/>
  <c r="Y261" i="16"/>
  <c r="Z261" i="16"/>
  <c r="Y262" i="16"/>
  <c r="Z262" i="16"/>
  <c r="Y263" i="16"/>
  <c r="Z263" i="16"/>
  <c r="Y264" i="16"/>
  <c r="Z264" i="16"/>
  <c r="Y265" i="16"/>
  <c r="Z265" i="16"/>
  <c r="Y266" i="16"/>
  <c r="Z266" i="16"/>
  <c r="Y267" i="16"/>
  <c r="Z267" i="16"/>
  <c r="Y268" i="16"/>
  <c r="Z268" i="16"/>
  <c r="Y269" i="16"/>
  <c r="Z269" i="16"/>
  <c r="Y270" i="16"/>
  <c r="Z270" i="16"/>
  <c r="Y271" i="16"/>
  <c r="Z271" i="16"/>
  <c r="Y272" i="16"/>
  <c r="Z272" i="16"/>
  <c r="Y273" i="16"/>
  <c r="Z273" i="16"/>
  <c r="Y274" i="16"/>
  <c r="Z274" i="16"/>
  <c r="Y275" i="16"/>
  <c r="Z275" i="16"/>
  <c r="Y276" i="16"/>
  <c r="Z276" i="16"/>
  <c r="Y277" i="16"/>
  <c r="Z277" i="16"/>
  <c r="Y278" i="16"/>
  <c r="Z278" i="16"/>
  <c r="Y279" i="16"/>
  <c r="Z279" i="16"/>
  <c r="Y280" i="16"/>
  <c r="Z280" i="16"/>
  <c r="Y281" i="16"/>
  <c r="Z281" i="16"/>
  <c r="Y282" i="16"/>
  <c r="Z282" i="16"/>
  <c r="Y283" i="16"/>
  <c r="Z283" i="16"/>
  <c r="Y284" i="16"/>
  <c r="Z284" i="16"/>
  <c r="Y285" i="16"/>
  <c r="Z285" i="16"/>
  <c r="Y286" i="16"/>
  <c r="Z286" i="16"/>
  <c r="Y287" i="16"/>
  <c r="Z287" i="16"/>
  <c r="Y288" i="16"/>
  <c r="Z288" i="16"/>
  <c r="Y289" i="16"/>
  <c r="Z289" i="16"/>
  <c r="Y290" i="16"/>
  <c r="Z290" i="16"/>
  <c r="Y291" i="16"/>
  <c r="Z291" i="16"/>
  <c r="Y292" i="16"/>
  <c r="Z292" i="16"/>
  <c r="Y293" i="16"/>
  <c r="Z293" i="16"/>
  <c r="Y294" i="16"/>
  <c r="Z294" i="16"/>
  <c r="Y295" i="16"/>
  <c r="Z295" i="16"/>
  <c r="Y296" i="16"/>
  <c r="Z296" i="16"/>
  <c r="Y297" i="16"/>
  <c r="Z297" i="16"/>
  <c r="Z7" i="16"/>
  <c r="Y7" i="16"/>
  <c r="AC8" i="16" l="1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C102" i="16"/>
  <c r="AC103" i="16"/>
  <c r="AC104" i="16"/>
  <c r="AC105" i="16"/>
  <c r="AC106" i="16"/>
  <c r="AC107" i="16"/>
  <c r="AC108" i="16"/>
  <c r="AC109" i="16"/>
  <c r="AC110" i="16"/>
  <c r="AC111" i="16"/>
  <c r="AC112" i="16"/>
  <c r="AC113" i="16"/>
  <c r="AC114" i="16"/>
  <c r="AC115" i="16"/>
  <c r="AC116" i="16"/>
  <c r="AC117" i="16"/>
  <c r="AC118" i="16"/>
  <c r="AC119" i="16"/>
  <c r="AC120" i="16"/>
  <c r="AC121" i="16"/>
  <c r="AC122" i="16"/>
  <c r="AC123" i="16"/>
  <c r="AC124" i="16"/>
  <c r="AC125" i="16"/>
  <c r="AC126" i="16"/>
  <c r="AC127" i="16"/>
  <c r="AC128" i="16"/>
  <c r="AC129" i="16"/>
  <c r="AC130" i="16"/>
  <c r="AC131" i="16"/>
  <c r="AC132" i="16"/>
  <c r="AC133" i="16"/>
  <c r="AC134" i="16"/>
  <c r="AC135" i="16"/>
  <c r="AC136" i="16"/>
  <c r="AC137" i="16"/>
  <c r="AC138" i="16"/>
  <c r="AC139" i="16"/>
  <c r="AC140" i="16"/>
  <c r="AC141" i="16"/>
  <c r="AC142" i="16"/>
  <c r="AC143" i="16"/>
  <c r="AC144" i="16"/>
  <c r="AC145" i="16"/>
  <c r="AC146" i="16"/>
  <c r="AC147" i="16"/>
  <c r="AC148" i="16"/>
  <c r="AC149" i="16"/>
  <c r="AC150" i="16"/>
  <c r="AC151" i="16"/>
  <c r="AC152" i="16"/>
  <c r="AC153" i="16"/>
  <c r="AC154" i="16"/>
  <c r="AC155" i="16"/>
  <c r="AC156" i="16"/>
  <c r="AC157" i="16"/>
  <c r="AC158" i="16"/>
  <c r="AC159" i="16"/>
  <c r="AC160" i="16"/>
  <c r="AC161" i="16"/>
  <c r="AC162" i="16"/>
  <c r="AC163" i="16"/>
  <c r="AC164" i="16"/>
  <c r="AC165" i="16"/>
  <c r="AC166" i="16"/>
  <c r="AC167" i="16"/>
  <c r="AC168" i="16"/>
  <c r="AC169" i="16"/>
  <c r="AC170" i="16"/>
  <c r="AC171" i="16"/>
  <c r="AC172" i="16"/>
  <c r="AC173" i="16"/>
  <c r="AC174" i="16"/>
  <c r="AC175" i="16"/>
  <c r="AC176" i="16"/>
  <c r="AC177" i="16"/>
  <c r="AC178" i="16"/>
  <c r="AC179" i="16"/>
  <c r="AC180" i="16"/>
  <c r="AC181" i="16"/>
  <c r="AC182" i="16"/>
  <c r="AC183" i="16"/>
  <c r="AC184" i="16"/>
  <c r="AC185" i="16"/>
  <c r="AC186" i="16"/>
  <c r="AC187" i="16"/>
  <c r="AC188" i="16"/>
  <c r="AC189" i="16"/>
  <c r="AC190" i="16"/>
  <c r="AC191" i="16"/>
  <c r="AC192" i="16"/>
  <c r="AC193" i="16"/>
  <c r="AC194" i="16"/>
  <c r="AC195" i="16"/>
  <c r="AC196" i="16"/>
  <c r="AC197" i="16"/>
  <c r="AC198" i="16"/>
  <c r="AC199" i="16"/>
  <c r="AC200" i="16"/>
  <c r="AC201" i="16"/>
  <c r="AC202" i="16"/>
  <c r="AC203" i="16"/>
  <c r="AC204" i="16"/>
  <c r="AC205" i="16"/>
  <c r="AC206" i="16"/>
  <c r="AC207" i="16"/>
  <c r="AC208" i="16"/>
  <c r="AC209" i="16"/>
  <c r="AC210" i="16"/>
  <c r="AC211" i="16"/>
  <c r="AC212" i="16"/>
  <c r="AC213" i="16"/>
  <c r="AC214" i="16"/>
  <c r="AC215" i="16"/>
  <c r="AC216" i="16"/>
  <c r="AC217" i="16"/>
  <c r="AC218" i="16"/>
  <c r="AC219" i="16"/>
  <c r="AC220" i="16"/>
  <c r="AC221" i="16"/>
  <c r="AC222" i="16"/>
  <c r="AC223" i="16"/>
  <c r="AC224" i="16"/>
  <c r="AC225" i="16"/>
  <c r="AC226" i="16"/>
  <c r="AC227" i="16"/>
  <c r="AC228" i="16"/>
  <c r="AC229" i="16"/>
  <c r="AC230" i="16"/>
  <c r="AC231" i="16"/>
  <c r="AC232" i="16"/>
  <c r="AC233" i="16"/>
  <c r="AC234" i="16"/>
  <c r="AC235" i="16"/>
  <c r="AC236" i="16"/>
  <c r="AC237" i="16"/>
  <c r="AC238" i="16"/>
  <c r="AC239" i="16"/>
  <c r="AC240" i="16"/>
  <c r="AC241" i="16"/>
  <c r="AC242" i="16"/>
  <c r="AC243" i="16"/>
  <c r="AC244" i="16"/>
  <c r="AC245" i="16"/>
  <c r="AC246" i="16"/>
  <c r="AC247" i="16"/>
  <c r="AC248" i="16"/>
  <c r="AC249" i="16"/>
  <c r="AC250" i="16"/>
  <c r="AC251" i="16"/>
  <c r="AC252" i="16"/>
  <c r="AC253" i="16"/>
  <c r="AC254" i="16"/>
  <c r="AC255" i="16"/>
  <c r="AC291" i="16"/>
  <c r="AC292" i="16"/>
  <c r="AC293" i="16"/>
  <c r="AC294" i="16"/>
  <c r="AC295" i="16"/>
  <c r="AC296" i="16"/>
  <c r="AC297" i="16"/>
  <c r="AC7" i="16"/>
  <c r="AC299" i="16" l="1"/>
  <c r="AI8" i="16"/>
  <c r="AI9" i="16"/>
  <c r="AI10" i="16"/>
  <c r="AI11" i="16"/>
  <c r="AI12" i="16"/>
  <c r="AI13" i="16"/>
  <c r="AI14" i="16"/>
  <c r="AI15" i="16"/>
  <c r="AI16" i="16"/>
  <c r="AI17" i="16"/>
  <c r="AI18" i="16"/>
  <c r="AI19" i="16"/>
  <c r="AI20" i="16"/>
  <c r="AI21" i="16"/>
  <c r="AI22" i="16"/>
  <c r="AI23" i="16"/>
  <c r="AI24" i="16"/>
  <c r="AI25" i="16"/>
  <c r="AI26" i="16"/>
  <c r="AI27" i="16"/>
  <c r="AI28" i="16"/>
  <c r="AI29" i="16"/>
  <c r="AI30" i="16"/>
  <c r="AI31" i="16"/>
  <c r="AI32" i="16"/>
  <c r="AI33" i="16"/>
  <c r="AI34" i="16"/>
  <c r="AI35" i="16"/>
  <c r="AI36" i="16"/>
  <c r="AI37" i="16"/>
  <c r="AI38" i="16"/>
  <c r="AI39" i="16"/>
  <c r="AI40" i="16"/>
  <c r="AI41" i="16"/>
  <c r="AI42" i="16"/>
  <c r="AI43" i="16"/>
  <c r="AI44" i="16"/>
  <c r="AI45" i="16"/>
  <c r="AI46" i="16"/>
  <c r="AI47" i="16"/>
  <c r="AI48" i="16"/>
  <c r="AI49" i="16"/>
  <c r="AI50" i="16"/>
  <c r="AI51" i="16"/>
  <c r="AI52" i="16"/>
  <c r="AI53" i="16"/>
  <c r="AI54" i="16"/>
  <c r="AI55" i="16"/>
  <c r="AI56" i="16"/>
  <c r="AI57" i="16"/>
  <c r="AI58" i="16"/>
  <c r="AI59" i="16"/>
  <c r="AI60" i="16"/>
  <c r="AI61" i="16"/>
  <c r="AI62" i="16"/>
  <c r="AI63" i="16"/>
  <c r="AI64" i="16"/>
  <c r="AI65" i="16"/>
  <c r="AI66" i="16"/>
  <c r="AI67" i="16"/>
  <c r="AI68" i="16"/>
  <c r="AI69" i="16"/>
  <c r="AI70" i="16"/>
  <c r="AI71" i="16"/>
  <c r="AI72" i="16"/>
  <c r="AI73" i="16"/>
  <c r="AI74" i="16"/>
  <c r="AI75" i="16"/>
  <c r="AI76" i="16"/>
  <c r="AI77" i="16"/>
  <c r="AI78" i="16"/>
  <c r="AI79" i="16"/>
  <c r="AI80" i="16"/>
  <c r="AI81" i="16"/>
  <c r="AI82" i="16"/>
  <c r="AI83" i="16"/>
  <c r="AI84" i="16"/>
  <c r="AI85" i="16"/>
  <c r="AI86" i="16"/>
  <c r="AI87" i="16"/>
  <c r="AI88" i="16"/>
  <c r="AI89" i="16"/>
  <c r="AI90" i="16"/>
  <c r="AI91" i="16"/>
  <c r="AI92" i="16"/>
  <c r="AI93" i="16"/>
  <c r="AI94" i="16"/>
  <c r="AI95" i="16"/>
  <c r="AI96" i="16"/>
  <c r="AI97" i="16"/>
  <c r="AI98" i="16"/>
  <c r="AI99" i="16"/>
  <c r="AI100" i="16"/>
  <c r="AI101" i="16"/>
  <c r="AI102" i="16"/>
  <c r="AI103" i="16"/>
  <c r="AI104" i="16"/>
  <c r="AI105" i="16"/>
  <c r="AI106" i="16"/>
  <c r="AI107" i="16"/>
  <c r="AI108" i="16"/>
  <c r="AI109" i="16"/>
  <c r="AI110" i="16"/>
  <c r="AI111" i="16"/>
  <c r="AI112" i="16"/>
  <c r="AI113" i="16"/>
  <c r="AI114" i="16"/>
  <c r="AI115" i="16"/>
  <c r="AI116" i="16"/>
  <c r="AI117" i="16"/>
  <c r="AI118" i="16"/>
  <c r="AI119" i="16"/>
  <c r="AI120" i="16"/>
  <c r="AI121" i="16"/>
  <c r="AI122" i="16"/>
  <c r="AI123" i="16"/>
  <c r="AI124" i="16"/>
  <c r="AI125" i="16"/>
  <c r="AI126" i="16"/>
  <c r="AI127" i="16"/>
  <c r="AI128" i="16"/>
  <c r="AI129" i="16"/>
  <c r="AI130" i="16"/>
  <c r="AI131" i="16"/>
  <c r="AI132" i="16"/>
  <c r="AI133" i="16"/>
  <c r="AI134" i="16"/>
  <c r="AI135" i="16"/>
  <c r="AI136" i="16"/>
  <c r="AI137" i="16"/>
  <c r="AI138" i="16"/>
  <c r="AI139" i="16"/>
  <c r="AI140" i="16"/>
  <c r="AI141" i="16"/>
  <c r="AI142" i="16"/>
  <c r="AI143" i="16"/>
  <c r="AI144" i="16"/>
  <c r="AI145" i="16"/>
  <c r="AI146" i="16"/>
  <c r="AI147" i="16"/>
  <c r="AI148" i="16"/>
  <c r="AI149" i="16"/>
  <c r="AI150" i="16"/>
  <c r="AI151" i="16"/>
  <c r="AI152" i="16"/>
  <c r="AI153" i="16"/>
  <c r="AI154" i="16"/>
  <c r="AI155" i="16"/>
  <c r="AI156" i="16"/>
  <c r="AI157" i="16"/>
  <c r="AI158" i="16"/>
  <c r="AI159" i="16"/>
  <c r="AI160" i="16"/>
  <c r="AI161" i="16"/>
  <c r="AI162" i="16"/>
  <c r="AI163" i="16"/>
  <c r="AI164" i="16"/>
  <c r="AI165" i="16"/>
  <c r="AI166" i="16"/>
  <c r="AI167" i="16"/>
  <c r="AI168" i="16"/>
  <c r="AI169" i="16"/>
  <c r="AI170" i="16"/>
  <c r="AI171" i="16"/>
  <c r="AI172" i="16"/>
  <c r="AI173" i="16"/>
  <c r="AI174" i="16"/>
  <c r="AI175" i="16"/>
  <c r="AI176" i="16"/>
  <c r="AI177" i="16"/>
  <c r="AI178" i="16"/>
  <c r="AI179" i="16"/>
  <c r="AI180" i="16"/>
  <c r="AI181" i="16"/>
  <c r="AI182" i="16"/>
  <c r="AI183" i="16"/>
  <c r="AI184" i="16"/>
  <c r="AI185" i="16"/>
  <c r="AI186" i="16"/>
  <c r="AI187" i="16"/>
  <c r="AI188" i="16"/>
  <c r="AI189" i="16"/>
  <c r="AI190" i="16"/>
  <c r="AI191" i="16"/>
  <c r="AI192" i="16"/>
  <c r="AI193" i="16"/>
  <c r="AI194" i="16"/>
  <c r="AI195" i="16"/>
  <c r="AI196" i="16"/>
  <c r="AI197" i="16"/>
  <c r="AI198" i="16"/>
  <c r="AI199" i="16"/>
  <c r="AI200" i="16"/>
  <c r="AI201" i="16"/>
  <c r="AI202" i="16"/>
  <c r="AI203" i="16"/>
  <c r="AI204" i="16"/>
  <c r="AI205" i="16"/>
  <c r="AI206" i="16"/>
  <c r="AI207" i="16"/>
  <c r="AI208" i="16"/>
  <c r="AI209" i="16"/>
  <c r="AI210" i="16"/>
  <c r="AI211" i="16"/>
  <c r="AI212" i="16"/>
  <c r="AI213" i="16"/>
  <c r="AI214" i="16"/>
  <c r="AI215" i="16"/>
  <c r="AI216" i="16"/>
  <c r="AI217" i="16"/>
  <c r="AI218" i="16"/>
  <c r="AI219" i="16"/>
  <c r="AI220" i="16"/>
  <c r="AI221" i="16"/>
  <c r="AI222" i="16"/>
  <c r="AI223" i="16"/>
  <c r="AI224" i="16"/>
  <c r="AI225" i="16"/>
  <c r="AI226" i="16"/>
  <c r="AI227" i="16"/>
  <c r="AI228" i="16"/>
  <c r="AI229" i="16"/>
  <c r="AI230" i="16"/>
  <c r="AI231" i="16"/>
  <c r="AI232" i="16"/>
  <c r="AI233" i="16"/>
  <c r="AI234" i="16"/>
  <c r="AI235" i="16"/>
  <c r="AI236" i="16"/>
  <c r="AI237" i="16"/>
  <c r="AI238" i="16"/>
  <c r="AI239" i="16"/>
  <c r="AI240" i="16"/>
  <c r="AI241" i="16"/>
  <c r="AI242" i="16"/>
  <c r="AI243" i="16"/>
  <c r="AI244" i="16"/>
  <c r="AI245" i="16"/>
  <c r="AI246" i="16"/>
  <c r="AI247" i="16"/>
  <c r="AI248" i="16"/>
  <c r="AI249" i="16"/>
  <c r="AI250" i="16"/>
  <c r="AI251" i="16"/>
  <c r="AI252" i="16"/>
  <c r="AI253" i="16"/>
  <c r="AI254" i="16"/>
  <c r="AI255" i="16"/>
  <c r="AI256" i="16"/>
  <c r="AI257" i="16"/>
  <c r="AI258" i="16"/>
  <c r="AI259" i="16"/>
  <c r="AI260" i="16"/>
  <c r="AI261" i="16"/>
  <c r="AI262" i="16"/>
  <c r="AI263" i="16"/>
  <c r="AI264" i="16"/>
  <c r="AI265" i="16"/>
  <c r="AI266" i="16"/>
  <c r="AI267" i="16"/>
  <c r="AI268" i="16"/>
  <c r="AI269" i="16"/>
  <c r="AI270" i="16"/>
  <c r="AI271" i="16"/>
  <c r="AI272" i="16"/>
  <c r="AI273" i="16"/>
  <c r="AI274" i="16"/>
  <c r="AI275" i="16"/>
  <c r="AI276" i="16"/>
  <c r="AI277" i="16"/>
  <c r="AI278" i="16"/>
  <c r="AI279" i="16"/>
  <c r="AI280" i="16"/>
  <c r="AI281" i="16"/>
  <c r="AI282" i="16"/>
  <c r="AI283" i="16"/>
  <c r="AI284" i="16"/>
  <c r="AI285" i="16"/>
  <c r="AI286" i="16"/>
  <c r="AI287" i="16"/>
  <c r="AI288" i="16"/>
  <c r="AI289" i="16"/>
  <c r="AI290" i="16"/>
  <c r="AI291" i="16"/>
  <c r="AI292" i="16"/>
  <c r="AI293" i="16"/>
  <c r="AI294" i="16"/>
  <c r="AI295" i="16"/>
  <c r="AI296" i="16"/>
  <c r="AI297" i="16"/>
  <c r="AI7" i="16"/>
  <c r="AL5" i="16"/>
  <c r="AK5" i="16"/>
  <c r="AJ5" i="16"/>
  <c r="AI5" i="16"/>
  <c r="AH5" i="16"/>
  <c r="AG5" i="16"/>
  <c r="AF5" i="16"/>
  <c r="AE5" i="16"/>
  <c r="AI299" i="16" l="1"/>
  <c r="AA8" i="16"/>
  <c r="AB8" i="16"/>
  <c r="AA9" i="16"/>
  <c r="AB9" i="16"/>
  <c r="AA10" i="16"/>
  <c r="AB10" i="16"/>
  <c r="AA11" i="16"/>
  <c r="AB11" i="16"/>
  <c r="AA12" i="16"/>
  <c r="AB12" i="16"/>
  <c r="AA13" i="16"/>
  <c r="AB13" i="16"/>
  <c r="AA14" i="16"/>
  <c r="AB14" i="16"/>
  <c r="AA15" i="16"/>
  <c r="AB15" i="16"/>
  <c r="AA16" i="16"/>
  <c r="AB16" i="16"/>
  <c r="AA17" i="16"/>
  <c r="AB17" i="16"/>
  <c r="AA18" i="16"/>
  <c r="AB18" i="16"/>
  <c r="AA19" i="16"/>
  <c r="AB19" i="16"/>
  <c r="AA20" i="16"/>
  <c r="AB20" i="16"/>
  <c r="AA21" i="16"/>
  <c r="AB21" i="16"/>
  <c r="AA22" i="16"/>
  <c r="AB22" i="16"/>
  <c r="AA23" i="16"/>
  <c r="AB23" i="16"/>
  <c r="AA24" i="16"/>
  <c r="AB24" i="16"/>
  <c r="AA25" i="16"/>
  <c r="AB25" i="16"/>
  <c r="AA26" i="16"/>
  <c r="AB26" i="16"/>
  <c r="AA27" i="16"/>
  <c r="AB27" i="16"/>
  <c r="AA28" i="16"/>
  <c r="AB28" i="16"/>
  <c r="AA29" i="16"/>
  <c r="AB29" i="16"/>
  <c r="AA30" i="16"/>
  <c r="AB30" i="16"/>
  <c r="AA31" i="16"/>
  <c r="AB31" i="16"/>
  <c r="AA32" i="16"/>
  <c r="AB32" i="16"/>
  <c r="AD32" i="16" s="1"/>
  <c r="AA33" i="16"/>
  <c r="AB33" i="16"/>
  <c r="AA34" i="16"/>
  <c r="AB34" i="16"/>
  <c r="AA35" i="16"/>
  <c r="AB35" i="16"/>
  <c r="AA36" i="16"/>
  <c r="AB36" i="16"/>
  <c r="AD36" i="16" s="1"/>
  <c r="AA37" i="16"/>
  <c r="AB37" i="16"/>
  <c r="AA38" i="16"/>
  <c r="AB38" i="16"/>
  <c r="AA39" i="16"/>
  <c r="AB39" i="16"/>
  <c r="AA40" i="16"/>
  <c r="AB40" i="16"/>
  <c r="AA41" i="16"/>
  <c r="AB41" i="16"/>
  <c r="AA42" i="16"/>
  <c r="AB42" i="16"/>
  <c r="AA43" i="16"/>
  <c r="AB43" i="16"/>
  <c r="AA44" i="16"/>
  <c r="AB44" i="16"/>
  <c r="AA45" i="16"/>
  <c r="AB45" i="16"/>
  <c r="AA46" i="16"/>
  <c r="AB46" i="16"/>
  <c r="AA47" i="16"/>
  <c r="AB47" i="16"/>
  <c r="AA48" i="16"/>
  <c r="AB48" i="16"/>
  <c r="AD48" i="16" s="1"/>
  <c r="AA49" i="16"/>
  <c r="AB49" i="16"/>
  <c r="AA50" i="16"/>
  <c r="AB50" i="16"/>
  <c r="AA51" i="16"/>
  <c r="AB51" i="16"/>
  <c r="AA52" i="16"/>
  <c r="AB52" i="16"/>
  <c r="AA53" i="16"/>
  <c r="AB53" i="16"/>
  <c r="AA54" i="16"/>
  <c r="AB54" i="16"/>
  <c r="AA55" i="16"/>
  <c r="AB55" i="16"/>
  <c r="AA56" i="16"/>
  <c r="AB56" i="16"/>
  <c r="AA57" i="16"/>
  <c r="AB57" i="16"/>
  <c r="AA58" i="16"/>
  <c r="AB58" i="16"/>
  <c r="AA59" i="16"/>
  <c r="AB59" i="16"/>
  <c r="AA60" i="16"/>
  <c r="AB60" i="16"/>
  <c r="AA61" i="16"/>
  <c r="AB61" i="16"/>
  <c r="AA62" i="16"/>
  <c r="AB62" i="16"/>
  <c r="AA63" i="16"/>
  <c r="AB63" i="16"/>
  <c r="AA64" i="16"/>
  <c r="AB64" i="16"/>
  <c r="AA65" i="16"/>
  <c r="AB65" i="16"/>
  <c r="AA66" i="16"/>
  <c r="AB66" i="16"/>
  <c r="AA67" i="16"/>
  <c r="AB67" i="16"/>
  <c r="AA68" i="16"/>
  <c r="AB68" i="16"/>
  <c r="AA69" i="16"/>
  <c r="AB69" i="16"/>
  <c r="AA70" i="16"/>
  <c r="AB70" i="16"/>
  <c r="AA71" i="16"/>
  <c r="AB71" i="16"/>
  <c r="AA72" i="16"/>
  <c r="AB72" i="16"/>
  <c r="AA73" i="16"/>
  <c r="AB73" i="16"/>
  <c r="AA74" i="16"/>
  <c r="AB74" i="16"/>
  <c r="AA75" i="16"/>
  <c r="AB75" i="16"/>
  <c r="AA76" i="16"/>
  <c r="AB76" i="16"/>
  <c r="AA77" i="16"/>
  <c r="AB77" i="16"/>
  <c r="AA78" i="16"/>
  <c r="AB78" i="16"/>
  <c r="AA79" i="16"/>
  <c r="AB79" i="16"/>
  <c r="AA80" i="16"/>
  <c r="AB80" i="16"/>
  <c r="AA81" i="16"/>
  <c r="AB81" i="16"/>
  <c r="AA82" i="16"/>
  <c r="AB82" i="16"/>
  <c r="AA83" i="16"/>
  <c r="AB83" i="16"/>
  <c r="AA84" i="16"/>
  <c r="AB84" i="16"/>
  <c r="AA85" i="16"/>
  <c r="AB85" i="16"/>
  <c r="AA86" i="16"/>
  <c r="AB86" i="16"/>
  <c r="AA87" i="16"/>
  <c r="AB87" i="16"/>
  <c r="AA88" i="16"/>
  <c r="AB88" i="16"/>
  <c r="AA89" i="16"/>
  <c r="AB89" i="16"/>
  <c r="AA90" i="16"/>
  <c r="AB90" i="16"/>
  <c r="AA91" i="16"/>
  <c r="AB91" i="16"/>
  <c r="AA92" i="16"/>
  <c r="AB92" i="16"/>
  <c r="AA93" i="16"/>
  <c r="AB93" i="16"/>
  <c r="AA94" i="16"/>
  <c r="AB94" i="16"/>
  <c r="AA95" i="16"/>
  <c r="AB95" i="16"/>
  <c r="AA96" i="16"/>
  <c r="AD96" i="16" s="1"/>
  <c r="AB96" i="16"/>
  <c r="AA97" i="16"/>
  <c r="AB97" i="16"/>
  <c r="AA98" i="16"/>
  <c r="AB98" i="16"/>
  <c r="AA99" i="16"/>
  <c r="AB99" i="16"/>
  <c r="AD99" i="16" s="1"/>
  <c r="AA100" i="16"/>
  <c r="AB100" i="16"/>
  <c r="AA101" i="16"/>
  <c r="AB101" i="16"/>
  <c r="AA102" i="16"/>
  <c r="AB102" i="16"/>
  <c r="AA103" i="16"/>
  <c r="AB103" i="16"/>
  <c r="AA104" i="16"/>
  <c r="AB104" i="16"/>
  <c r="AA105" i="16"/>
  <c r="AB105" i="16"/>
  <c r="AA106" i="16"/>
  <c r="AB106" i="16"/>
  <c r="AA107" i="16"/>
  <c r="AB107" i="16"/>
  <c r="AA108" i="16"/>
  <c r="AB108" i="16"/>
  <c r="AA109" i="16"/>
  <c r="AB109" i="16"/>
  <c r="AA110" i="16"/>
  <c r="AB110" i="16"/>
  <c r="AA111" i="16"/>
  <c r="AB111" i="16"/>
  <c r="AA112" i="16"/>
  <c r="AB112" i="16"/>
  <c r="AA113" i="16"/>
  <c r="AB113" i="16"/>
  <c r="AA114" i="16"/>
  <c r="AM114" i="16" s="1"/>
  <c r="AB114" i="16"/>
  <c r="AA115" i="16"/>
  <c r="AB115" i="16"/>
  <c r="AA116" i="16"/>
  <c r="AD116" i="16" s="1"/>
  <c r="AB116" i="16"/>
  <c r="AA117" i="16"/>
  <c r="AB117" i="16"/>
  <c r="AA118" i="16"/>
  <c r="AB118" i="16"/>
  <c r="AA119" i="16"/>
  <c r="AB119" i="16"/>
  <c r="AA120" i="16"/>
  <c r="AM120" i="16" s="1"/>
  <c r="AB120" i="16"/>
  <c r="AA121" i="16"/>
  <c r="AB121" i="16"/>
  <c r="AA122" i="16"/>
  <c r="AB122" i="16"/>
  <c r="AA123" i="16"/>
  <c r="AB123" i="16"/>
  <c r="AA124" i="16"/>
  <c r="AB124" i="16"/>
  <c r="AA125" i="16"/>
  <c r="AB125" i="16"/>
  <c r="AA126" i="16"/>
  <c r="AB126" i="16"/>
  <c r="AA127" i="16"/>
  <c r="AB127" i="16"/>
  <c r="AA128" i="16"/>
  <c r="AM128" i="16" s="1"/>
  <c r="AB128" i="16"/>
  <c r="AA129" i="16"/>
  <c r="AB129" i="16"/>
  <c r="AA130" i="16"/>
  <c r="AM130" i="16" s="1"/>
  <c r="AB130" i="16"/>
  <c r="AA131" i="16"/>
  <c r="AB131" i="16"/>
  <c r="AA132" i="16"/>
  <c r="AB132" i="16"/>
  <c r="AA133" i="16"/>
  <c r="AB133" i="16"/>
  <c r="AA134" i="16"/>
  <c r="AB134" i="16"/>
  <c r="AA135" i="16"/>
  <c r="AB135" i="16"/>
  <c r="AA136" i="16"/>
  <c r="AD136" i="16" s="1"/>
  <c r="AB136" i="16"/>
  <c r="AA137" i="16"/>
  <c r="AB137" i="16"/>
  <c r="AM137" i="16" s="1"/>
  <c r="AA138" i="16"/>
  <c r="AB138" i="16"/>
  <c r="AD138" i="16" s="1"/>
  <c r="AA139" i="16"/>
  <c r="AM139" i="16" s="1"/>
  <c r="AB139" i="16"/>
  <c r="AA140" i="16"/>
  <c r="AB140" i="16"/>
  <c r="AA141" i="16"/>
  <c r="AB141" i="16"/>
  <c r="AA142" i="16"/>
  <c r="AB142" i="16"/>
  <c r="AA143" i="16"/>
  <c r="AD143" i="16" s="1"/>
  <c r="AB143" i="16"/>
  <c r="AA144" i="16"/>
  <c r="AB144" i="16"/>
  <c r="AA145" i="16"/>
  <c r="AD145" i="16" s="1"/>
  <c r="AB145" i="16"/>
  <c r="AA146" i="16"/>
  <c r="AB146" i="16"/>
  <c r="AA147" i="16"/>
  <c r="AM147" i="16" s="1"/>
  <c r="AB147" i="16"/>
  <c r="AA148" i="16"/>
  <c r="AB148" i="16"/>
  <c r="AA149" i="16"/>
  <c r="AB149" i="16"/>
  <c r="AA150" i="16"/>
  <c r="AB150" i="16"/>
  <c r="AA151" i="16"/>
  <c r="AM151" i="16" s="1"/>
  <c r="AB151" i="16"/>
  <c r="AA152" i="16"/>
  <c r="AB152" i="16"/>
  <c r="AA153" i="16"/>
  <c r="AB153" i="16"/>
  <c r="AA154" i="16"/>
  <c r="AB154" i="16"/>
  <c r="AA155" i="16"/>
  <c r="AB155" i="16"/>
  <c r="AA156" i="16"/>
  <c r="AB156" i="16"/>
  <c r="AA157" i="16"/>
  <c r="AB157" i="16"/>
  <c r="AA158" i="16"/>
  <c r="AB158" i="16"/>
  <c r="AA159" i="16"/>
  <c r="AM159" i="16" s="1"/>
  <c r="AB159" i="16"/>
  <c r="AA160" i="16"/>
  <c r="AB160" i="16"/>
  <c r="AA161" i="16"/>
  <c r="AD161" i="16" s="1"/>
  <c r="AB161" i="16"/>
  <c r="AA162" i="16"/>
  <c r="AB162" i="16"/>
  <c r="AA163" i="16"/>
  <c r="AB163" i="16"/>
  <c r="AA164" i="16"/>
  <c r="AB164" i="16"/>
  <c r="AA165" i="16"/>
  <c r="AB165" i="16"/>
  <c r="AA166" i="16"/>
  <c r="AB166" i="16"/>
  <c r="AA167" i="16"/>
  <c r="AM167" i="16" s="1"/>
  <c r="AB167" i="16"/>
  <c r="AA168" i="16"/>
  <c r="AB168" i="16"/>
  <c r="AA169" i="16"/>
  <c r="AB169" i="16"/>
  <c r="AA170" i="16"/>
  <c r="AB170" i="16"/>
  <c r="AA171" i="16"/>
  <c r="AB171" i="16"/>
  <c r="AA172" i="16"/>
  <c r="AB172" i="16"/>
  <c r="AA173" i="16"/>
  <c r="AB173" i="16"/>
  <c r="AA174" i="16"/>
  <c r="AB174" i="16"/>
  <c r="AA175" i="16"/>
  <c r="AM175" i="16" s="1"/>
  <c r="AB175" i="16"/>
  <c r="AA176" i="16"/>
  <c r="AB176" i="16"/>
  <c r="AA177" i="16"/>
  <c r="AB177" i="16"/>
  <c r="AA178" i="16"/>
  <c r="AB178" i="16"/>
  <c r="AA179" i="16"/>
  <c r="AM179" i="16" s="1"/>
  <c r="AB179" i="16"/>
  <c r="AA180" i="16"/>
  <c r="AB180" i="16"/>
  <c r="AA181" i="16"/>
  <c r="AB181" i="16"/>
  <c r="AA182" i="16"/>
  <c r="AB182" i="16"/>
  <c r="AA183" i="16"/>
  <c r="AB183" i="16"/>
  <c r="AA184" i="16"/>
  <c r="AB184" i="16"/>
  <c r="AA185" i="16"/>
  <c r="AB185" i="16"/>
  <c r="AA186" i="16"/>
  <c r="AB186" i="16"/>
  <c r="AA187" i="16"/>
  <c r="AB187" i="16"/>
  <c r="AA188" i="16"/>
  <c r="AB188" i="16"/>
  <c r="AA189" i="16"/>
  <c r="AB189" i="16"/>
  <c r="AA190" i="16"/>
  <c r="AB190" i="16"/>
  <c r="AA191" i="16"/>
  <c r="AM191" i="16" s="1"/>
  <c r="AB191" i="16"/>
  <c r="AA192" i="16"/>
  <c r="AB192" i="16"/>
  <c r="AA193" i="16"/>
  <c r="AB193" i="16"/>
  <c r="AA194" i="16"/>
  <c r="AM194" i="16" s="1"/>
  <c r="AB194" i="16"/>
  <c r="AA195" i="16"/>
  <c r="AB195" i="16"/>
  <c r="AA196" i="16"/>
  <c r="AB196" i="16"/>
  <c r="AA197" i="16"/>
  <c r="AB197" i="16"/>
  <c r="AA198" i="16"/>
  <c r="AB198" i="16"/>
  <c r="AA199" i="16"/>
  <c r="AB199" i="16"/>
  <c r="AA200" i="16"/>
  <c r="AB200" i="16"/>
  <c r="AA201" i="16"/>
  <c r="AB201" i="16"/>
  <c r="AA202" i="16"/>
  <c r="AB202" i="16"/>
  <c r="AA203" i="16"/>
  <c r="AB203" i="16"/>
  <c r="AA204" i="16"/>
  <c r="AM204" i="16" s="1"/>
  <c r="AB204" i="16"/>
  <c r="AA205" i="16"/>
  <c r="AB205" i="16"/>
  <c r="AA206" i="16"/>
  <c r="AB206" i="16"/>
  <c r="AA207" i="16"/>
  <c r="AD207" i="16" s="1"/>
  <c r="AB207" i="16"/>
  <c r="AA208" i="16"/>
  <c r="AD208" i="16" s="1"/>
  <c r="AB208" i="16"/>
  <c r="AA209" i="16"/>
  <c r="AM209" i="16" s="1"/>
  <c r="AB209" i="16"/>
  <c r="AA210" i="16"/>
  <c r="AM210" i="16" s="1"/>
  <c r="AB210" i="16"/>
  <c r="AA211" i="16"/>
  <c r="AM211" i="16" s="1"/>
  <c r="AB211" i="16"/>
  <c r="AA212" i="16"/>
  <c r="AB212" i="16"/>
  <c r="AA213" i="16"/>
  <c r="AB213" i="16"/>
  <c r="AA214" i="16"/>
  <c r="AB214" i="16"/>
  <c r="AA215" i="16"/>
  <c r="AB215" i="16"/>
  <c r="AA216" i="16"/>
  <c r="AB216" i="16"/>
  <c r="AA217" i="16"/>
  <c r="AB217" i="16"/>
  <c r="AA218" i="16"/>
  <c r="AB218" i="16"/>
  <c r="AA219" i="16"/>
  <c r="AM219" i="16" s="1"/>
  <c r="AB219" i="16"/>
  <c r="AA220" i="16"/>
  <c r="AB220" i="16"/>
  <c r="AA221" i="16"/>
  <c r="AB221" i="16"/>
  <c r="AA222" i="16"/>
  <c r="AB222" i="16"/>
  <c r="AA223" i="16"/>
  <c r="AM223" i="16" s="1"/>
  <c r="AB223" i="16"/>
  <c r="AA224" i="16"/>
  <c r="AD224" i="16" s="1"/>
  <c r="AB224" i="16"/>
  <c r="AA225" i="16"/>
  <c r="AB225" i="16"/>
  <c r="AA226" i="16"/>
  <c r="AB226" i="16"/>
  <c r="AA227" i="16"/>
  <c r="AB227" i="16"/>
  <c r="AA228" i="16"/>
  <c r="AB228" i="16"/>
  <c r="AA229" i="16"/>
  <c r="AB229" i="16"/>
  <c r="AA230" i="16"/>
  <c r="AB230" i="16"/>
  <c r="AA231" i="16"/>
  <c r="AB231" i="16"/>
  <c r="AA232" i="16"/>
  <c r="AB232" i="16"/>
  <c r="AD232" i="16" s="1"/>
  <c r="AA233" i="16"/>
  <c r="AB233" i="16"/>
  <c r="AD233" i="16" s="1"/>
  <c r="AA234" i="16"/>
  <c r="AB234" i="16"/>
  <c r="AA235" i="16"/>
  <c r="AB235" i="16"/>
  <c r="AA236" i="16"/>
  <c r="AB236" i="16"/>
  <c r="AA237" i="16"/>
  <c r="AB237" i="16"/>
  <c r="AA238" i="16"/>
  <c r="AB238" i="16"/>
  <c r="AA239" i="16"/>
  <c r="AB239" i="16"/>
  <c r="AD239" i="16" s="1"/>
  <c r="AA240" i="16"/>
  <c r="AB240" i="16"/>
  <c r="AA241" i="16"/>
  <c r="AB241" i="16"/>
  <c r="AD241" i="16" s="1"/>
  <c r="AA242" i="16"/>
  <c r="AB242" i="16"/>
  <c r="AM242" i="16" s="1"/>
  <c r="AA243" i="16"/>
  <c r="AM243" i="16" s="1"/>
  <c r="AB243" i="16"/>
  <c r="AA244" i="16"/>
  <c r="AB244" i="16"/>
  <c r="AA245" i="16"/>
  <c r="AB245" i="16"/>
  <c r="AA246" i="16"/>
  <c r="AB246" i="16"/>
  <c r="AA247" i="16"/>
  <c r="AB247" i="16"/>
  <c r="AA248" i="16"/>
  <c r="AB248" i="16"/>
  <c r="AA249" i="16"/>
  <c r="AB249" i="16"/>
  <c r="AA250" i="16"/>
  <c r="AB250" i="16"/>
  <c r="AA251" i="16"/>
  <c r="AB251" i="16"/>
  <c r="AA252" i="16"/>
  <c r="AB252" i="16"/>
  <c r="AA253" i="16"/>
  <c r="AB253" i="16"/>
  <c r="AA254" i="16"/>
  <c r="AB254" i="16"/>
  <c r="AA255" i="16"/>
  <c r="AB255" i="16"/>
  <c r="AA256" i="16"/>
  <c r="AB256" i="16"/>
  <c r="AA257" i="16"/>
  <c r="AB257" i="16"/>
  <c r="AA258" i="16"/>
  <c r="AB258" i="16"/>
  <c r="AA259" i="16"/>
  <c r="AB259" i="16"/>
  <c r="AA260" i="16"/>
  <c r="AB260" i="16"/>
  <c r="AA261" i="16"/>
  <c r="AB261" i="16"/>
  <c r="AA262" i="16"/>
  <c r="AB262" i="16"/>
  <c r="AA263" i="16"/>
  <c r="AB263" i="16"/>
  <c r="AA264" i="16"/>
  <c r="AB264" i="16"/>
  <c r="AA265" i="16"/>
  <c r="AB265" i="16"/>
  <c r="AA266" i="16"/>
  <c r="AB266" i="16"/>
  <c r="AA267" i="16"/>
  <c r="AB267" i="16"/>
  <c r="AA268" i="16"/>
  <c r="AB268" i="16"/>
  <c r="AA269" i="16"/>
  <c r="AB269" i="16"/>
  <c r="AA270" i="16"/>
  <c r="AB270" i="16"/>
  <c r="AA271" i="16"/>
  <c r="AB271" i="16"/>
  <c r="AA272" i="16"/>
  <c r="AB272" i="16"/>
  <c r="AA273" i="16"/>
  <c r="AB273" i="16"/>
  <c r="AD273" i="16" s="1"/>
  <c r="AA274" i="16"/>
  <c r="AB274" i="16"/>
  <c r="AA275" i="16"/>
  <c r="AB275" i="16"/>
  <c r="AA276" i="16"/>
  <c r="AB276" i="16"/>
  <c r="AA277" i="16"/>
  <c r="AB277" i="16"/>
  <c r="AA278" i="16"/>
  <c r="AB278" i="16"/>
  <c r="AA279" i="16"/>
  <c r="AB279" i="16"/>
  <c r="AA280" i="16"/>
  <c r="AB280" i="16"/>
  <c r="AA281" i="16"/>
  <c r="AB281" i="16"/>
  <c r="AA282" i="16"/>
  <c r="AB282" i="16"/>
  <c r="AA283" i="16"/>
  <c r="AB283" i="16"/>
  <c r="AA284" i="16"/>
  <c r="AB284" i="16"/>
  <c r="AA285" i="16"/>
  <c r="AB285" i="16"/>
  <c r="AA286" i="16"/>
  <c r="AB286" i="16"/>
  <c r="AA287" i="16"/>
  <c r="AB287" i="16"/>
  <c r="AA288" i="16"/>
  <c r="AB288" i="16"/>
  <c r="AA289" i="16"/>
  <c r="AB289" i="16"/>
  <c r="AA290" i="16"/>
  <c r="AB290" i="16"/>
  <c r="AA291" i="16"/>
  <c r="AB291" i="16"/>
  <c r="AA292" i="16"/>
  <c r="AB292" i="16"/>
  <c r="AA293" i="16"/>
  <c r="AB293" i="16"/>
  <c r="AA294" i="16"/>
  <c r="AB294" i="16"/>
  <c r="AA295" i="16"/>
  <c r="AB295" i="16"/>
  <c r="AA296" i="16"/>
  <c r="AB296" i="16"/>
  <c r="AD296" i="16" s="1"/>
  <c r="AA297" i="16"/>
  <c r="AB297" i="16"/>
  <c r="AB7" i="16"/>
  <c r="AA7" i="16"/>
  <c r="AM146" i="16" l="1"/>
  <c r="AM95" i="16"/>
  <c r="AM91" i="16"/>
  <c r="AD87" i="16"/>
  <c r="LL87" i="16" s="1"/>
  <c r="AM75" i="16"/>
  <c r="AD39" i="16"/>
  <c r="AM193" i="16"/>
  <c r="AM138" i="16"/>
  <c r="AD192" i="16"/>
  <c r="AV192" i="16" s="1"/>
  <c r="AE192" i="16" s="1"/>
  <c r="AM188" i="16"/>
  <c r="AM162" i="16"/>
  <c r="AD160" i="16"/>
  <c r="GD160" i="16" s="1"/>
  <c r="AG160" i="16" s="1"/>
  <c r="AD148" i="16"/>
  <c r="AM170" i="16"/>
  <c r="AM84" i="16"/>
  <c r="AM226" i="16"/>
  <c r="AD179" i="16"/>
  <c r="TK179" i="16" s="1"/>
  <c r="AL179" i="16" s="1"/>
  <c r="AD163" i="16"/>
  <c r="GD163" i="16" s="1"/>
  <c r="AG163" i="16" s="1"/>
  <c r="AM106" i="16"/>
  <c r="AM98" i="16"/>
  <c r="AD26" i="16"/>
  <c r="AD248" i="16"/>
  <c r="AM241" i="16"/>
  <c r="AM225" i="16"/>
  <c r="AD217" i="16"/>
  <c r="AD201" i="16"/>
  <c r="AD193" i="16"/>
  <c r="LL193" i="16" s="1"/>
  <c r="AD178" i="16"/>
  <c r="TK178" i="16" s="1"/>
  <c r="AL178" i="16" s="1"/>
  <c r="AD240" i="16"/>
  <c r="AM220" i="16"/>
  <c r="AD216" i="16"/>
  <c r="TK216" i="16" s="1"/>
  <c r="AL216" i="16" s="1"/>
  <c r="AD200" i="16"/>
  <c r="GD200" i="16" s="1"/>
  <c r="AG200" i="16" s="1"/>
  <c r="AD181" i="16"/>
  <c r="TK181" i="16" s="1"/>
  <c r="AL181" i="16" s="1"/>
  <c r="AM177" i="16"/>
  <c r="AM169" i="16"/>
  <c r="AM153" i="16"/>
  <c r="AD72" i="16"/>
  <c r="AM68" i="16"/>
  <c r="AM235" i="16"/>
  <c r="AM227" i="16"/>
  <c r="AD203" i="16"/>
  <c r="AD176" i="16"/>
  <c r="TK176" i="16" s="1"/>
  <c r="AL176" i="16" s="1"/>
  <c r="AM172" i="16"/>
  <c r="AD168" i="16"/>
  <c r="DM168" i="16" s="1"/>
  <c r="AF168" i="16" s="1"/>
  <c r="AM156" i="16"/>
  <c r="AD130" i="16"/>
  <c r="AD122" i="16"/>
  <c r="AV122" i="16" s="1"/>
  <c r="AE122" i="16" s="1"/>
  <c r="AD111" i="16"/>
  <c r="LL111" i="16" s="1"/>
  <c r="AD75" i="16"/>
  <c r="LL75" i="16" s="1"/>
  <c r="AD28" i="16"/>
  <c r="AV28" i="16" s="1"/>
  <c r="AE28" i="16" s="1"/>
  <c r="AM90" i="16"/>
  <c r="AM66" i="16"/>
  <c r="AM50" i="16"/>
  <c r="AD109" i="16"/>
  <c r="AM42" i="16"/>
  <c r="AD127" i="16"/>
  <c r="TK127" i="16" s="1"/>
  <c r="AL127" i="16" s="1"/>
  <c r="AM123" i="16"/>
  <c r="AM115" i="16"/>
  <c r="AM108" i="16"/>
  <c r="AD80" i="16"/>
  <c r="IU80" i="16" s="1"/>
  <c r="AH80" i="16" s="1"/>
  <c r="AD52" i="16"/>
  <c r="AM107" i="16"/>
  <c r="AD103" i="16"/>
  <c r="AV103" i="16" s="1"/>
  <c r="AE103" i="16" s="1"/>
  <c r="AM51" i="16"/>
  <c r="AM129" i="16"/>
  <c r="AD106" i="16"/>
  <c r="QT106" i="16" s="1"/>
  <c r="AK106" i="16" s="1"/>
  <c r="AM79" i="16"/>
  <c r="AM35" i="16"/>
  <c r="AD31" i="16"/>
  <c r="AD23" i="16"/>
  <c r="AM273" i="16"/>
  <c r="AD286" i="16"/>
  <c r="AD274" i="16"/>
  <c r="LL274" i="16" s="1"/>
  <c r="AD256" i="16"/>
  <c r="LL256" i="16" s="1"/>
  <c r="AM283" i="16"/>
  <c r="AM263" i="16"/>
  <c r="AM259" i="16"/>
  <c r="AM289" i="16"/>
  <c r="AD272" i="16"/>
  <c r="LL272" i="16" s="1"/>
  <c r="AD258" i="16"/>
  <c r="LL258" i="16" s="1"/>
  <c r="AD259" i="16"/>
  <c r="LL259" i="16" s="1"/>
  <c r="AM257" i="16"/>
  <c r="AD250" i="16"/>
  <c r="DM250" i="16" s="1"/>
  <c r="AF250" i="16" s="1"/>
  <c r="AD252" i="16"/>
  <c r="OC252" i="16" s="1"/>
  <c r="AJ252" i="16" s="1"/>
  <c r="AM251" i="16"/>
  <c r="AD249" i="16"/>
  <c r="DM249" i="16" s="1"/>
  <c r="AF249" i="16" s="1"/>
  <c r="AD8" i="16"/>
  <c r="GD8" i="16" s="1"/>
  <c r="AG8" i="16" s="1"/>
  <c r="AM20" i="16"/>
  <c r="AM19" i="16"/>
  <c r="AD228" i="16"/>
  <c r="AM104" i="16"/>
  <c r="AD100" i="16"/>
  <c r="LL100" i="16" s="1"/>
  <c r="AM64" i="16"/>
  <c r="AM60" i="16"/>
  <c r="AM56" i="16"/>
  <c r="AM34" i="16"/>
  <c r="AD288" i="16"/>
  <c r="DM288" i="16" s="1"/>
  <c r="AF288" i="16" s="1"/>
  <c r="AM254" i="16"/>
  <c r="AD235" i="16"/>
  <c r="AD227" i="16"/>
  <c r="AD209" i="16"/>
  <c r="AD202" i="16"/>
  <c r="TK202" i="16" s="1"/>
  <c r="AL202" i="16" s="1"/>
  <c r="AD184" i="16"/>
  <c r="IU184" i="16" s="1"/>
  <c r="AH184" i="16" s="1"/>
  <c r="AD173" i="16"/>
  <c r="TK173" i="16" s="1"/>
  <c r="AL173" i="16" s="1"/>
  <c r="AD165" i="16"/>
  <c r="LL165" i="16" s="1"/>
  <c r="AM154" i="16"/>
  <c r="AM136" i="16"/>
  <c r="AM121" i="16"/>
  <c r="AM111" i="16"/>
  <c r="AM99" i="16"/>
  <c r="AM92" i="16"/>
  <c r="AM82" i="16"/>
  <c r="AD74" i="16"/>
  <c r="TK74" i="16" s="1"/>
  <c r="AL74" i="16" s="1"/>
  <c r="AM59" i="16"/>
  <c r="AD44" i="16"/>
  <c r="AM18" i="16"/>
  <c r="AD236" i="16"/>
  <c r="AM195" i="16"/>
  <c r="AM122" i="16"/>
  <c r="AM268" i="16"/>
  <c r="AD234" i="16"/>
  <c r="TK234" i="16" s="1"/>
  <c r="AL234" i="16" s="1"/>
  <c r="AD220" i="16"/>
  <c r="AD212" i="16"/>
  <c r="AM187" i="16"/>
  <c r="AM183" i="16"/>
  <c r="AD164" i="16"/>
  <c r="GD164" i="16" s="1"/>
  <c r="AG164" i="16" s="1"/>
  <c r="AD157" i="16"/>
  <c r="DM157" i="16" s="1"/>
  <c r="AF157" i="16" s="1"/>
  <c r="AD149" i="16"/>
  <c r="LL149" i="16" s="1"/>
  <c r="AM131" i="16"/>
  <c r="AD120" i="16"/>
  <c r="DM120" i="16" s="1"/>
  <c r="AF120" i="16" s="1"/>
  <c r="AM88" i="16"/>
  <c r="AD77" i="16"/>
  <c r="IU77" i="16" s="1"/>
  <c r="AH77" i="16" s="1"/>
  <c r="AD40" i="16"/>
  <c r="AM203" i="16"/>
  <c r="AD219" i="16"/>
  <c r="QT219" i="16" s="1"/>
  <c r="AK219" i="16" s="1"/>
  <c r="AM171" i="16"/>
  <c r="AD152" i="16"/>
  <c r="QT152" i="16" s="1"/>
  <c r="AK152" i="16" s="1"/>
  <c r="AM43" i="16"/>
  <c r="AD244" i="16"/>
  <c r="AM163" i="16"/>
  <c r="AD159" i="16"/>
  <c r="AD16" i="16"/>
  <c r="DM16" i="16" s="1"/>
  <c r="AF16" i="16" s="1"/>
  <c r="AM274" i="16"/>
  <c r="AD251" i="16"/>
  <c r="AV251" i="16" s="1"/>
  <c r="AE251" i="16" s="1"/>
  <c r="AD243" i="16"/>
  <c r="AV243" i="16" s="1"/>
  <c r="AE243" i="16" s="1"/>
  <c r="AM236" i="16"/>
  <c r="AD225" i="16"/>
  <c r="AD218" i="16"/>
  <c r="AD204" i="16"/>
  <c r="AD196" i="16"/>
  <c r="DM196" i="16" s="1"/>
  <c r="AF196" i="16" s="1"/>
  <c r="AD189" i="16"/>
  <c r="QT189" i="16" s="1"/>
  <c r="AK189" i="16" s="1"/>
  <c r="AM178" i="16"/>
  <c r="AD155" i="16"/>
  <c r="LL155" i="16" s="1"/>
  <c r="AD147" i="16"/>
  <c r="LL147" i="16" s="1"/>
  <c r="AM144" i="16"/>
  <c r="AD115" i="16"/>
  <c r="AV115" i="16" s="1"/>
  <c r="AE115" i="16" s="1"/>
  <c r="AD112" i="16"/>
  <c r="QT112" i="16" s="1"/>
  <c r="AK112" i="16" s="1"/>
  <c r="AD90" i="16"/>
  <c r="TK90" i="16" s="1"/>
  <c r="AL90" i="16" s="1"/>
  <c r="AD83" i="16"/>
  <c r="LL83" i="16" s="1"/>
  <c r="AD42" i="16"/>
  <c r="LL42" i="16" s="1"/>
  <c r="AD14" i="16"/>
  <c r="GD14" i="16" s="1"/>
  <c r="AG14" i="16" s="1"/>
  <c r="TK239" i="16"/>
  <c r="AL239" i="16" s="1"/>
  <c r="QT239" i="16"/>
  <c r="AK239" i="16" s="1"/>
  <c r="OC239" i="16"/>
  <c r="AJ239" i="16" s="1"/>
  <c r="IU239" i="16"/>
  <c r="AH239" i="16" s="1"/>
  <c r="GD239" i="16"/>
  <c r="AG239" i="16" s="1"/>
  <c r="LL239" i="16"/>
  <c r="AV239" i="16"/>
  <c r="AE239" i="16" s="1"/>
  <c r="DM239" i="16"/>
  <c r="AF239" i="16" s="1"/>
  <c r="TK207" i="16"/>
  <c r="AL207" i="16" s="1"/>
  <c r="QT207" i="16"/>
  <c r="AK207" i="16" s="1"/>
  <c r="OC207" i="16"/>
  <c r="AJ207" i="16" s="1"/>
  <c r="LL207" i="16"/>
  <c r="IU207" i="16"/>
  <c r="AH207" i="16" s="1"/>
  <c r="GD207" i="16"/>
  <c r="AG207" i="16" s="1"/>
  <c r="DM207" i="16"/>
  <c r="AF207" i="16" s="1"/>
  <c r="AV207" i="16"/>
  <c r="AE207" i="16" s="1"/>
  <c r="TK184" i="16"/>
  <c r="AL184" i="16" s="1"/>
  <c r="QT168" i="16"/>
  <c r="AK168" i="16" s="1"/>
  <c r="GD168" i="16"/>
  <c r="AG168" i="16" s="1"/>
  <c r="AV168" i="16"/>
  <c r="AE168" i="16" s="1"/>
  <c r="DM103" i="16"/>
  <c r="AF103" i="16" s="1"/>
  <c r="TK160" i="16"/>
  <c r="AL160" i="16" s="1"/>
  <c r="IU160" i="16"/>
  <c r="AH160" i="16" s="1"/>
  <c r="DM160" i="16"/>
  <c r="AF160" i="16" s="1"/>
  <c r="AV152" i="16"/>
  <c r="AE152" i="16" s="1"/>
  <c r="LL80" i="16"/>
  <c r="GD80" i="16"/>
  <c r="AG80" i="16" s="1"/>
  <c r="AV80" i="16"/>
  <c r="AE80" i="16" s="1"/>
  <c r="TK112" i="16"/>
  <c r="AL112" i="16" s="1"/>
  <c r="LL112" i="16"/>
  <c r="IU112" i="16"/>
  <c r="AH112" i="16" s="1"/>
  <c r="DM112" i="16"/>
  <c r="AF112" i="16" s="1"/>
  <c r="AV112" i="16"/>
  <c r="AE112" i="16" s="1"/>
  <c r="TK224" i="16"/>
  <c r="AL224" i="16" s="1"/>
  <c r="QT224" i="16"/>
  <c r="AK224" i="16" s="1"/>
  <c r="OC224" i="16"/>
  <c r="AJ224" i="16" s="1"/>
  <c r="LL224" i="16"/>
  <c r="IU224" i="16"/>
  <c r="AH224" i="16" s="1"/>
  <c r="GD224" i="16"/>
  <c r="AG224" i="16" s="1"/>
  <c r="AV224" i="16"/>
  <c r="AE224" i="16" s="1"/>
  <c r="DM224" i="16"/>
  <c r="AF224" i="16" s="1"/>
  <c r="IU202" i="16"/>
  <c r="AH202" i="16" s="1"/>
  <c r="DM202" i="16"/>
  <c r="AF202" i="16" s="1"/>
  <c r="AV202" i="16"/>
  <c r="AE202" i="16" s="1"/>
  <c r="AD254" i="16"/>
  <c r="TK235" i="16"/>
  <c r="AL235" i="16" s="1"/>
  <c r="QT235" i="16"/>
  <c r="AK235" i="16" s="1"/>
  <c r="OC235" i="16"/>
  <c r="AJ235" i="16" s="1"/>
  <c r="LL235" i="16"/>
  <c r="IU235" i="16"/>
  <c r="AH235" i="16" s="1"/>
  <c r="GD235" i="16"/>
  <c r="AG235" i="16" s="1"/>
  <c r="DM235" i="16"/>
  <c r="AF235" i="16" s="1"/>
  <c r="AV235" i="16"/>
  <c r="AE235" i="16" s="1"/>
  <c r="AD281" i="16"/>
  <c r="LL281" i="16" s="1"/>
  <c r="AM271" i="16"/>
  <c r="AD267" i="16"/>
  <c r="LL267" i="16" s="1"/>
  <c r="AD260" i="16"/>
  <c r="AD257" i="16"/>
  <c r="AM247" i="16"/>
  <c r="AM238" i="16"/>
  <c r="AM231" i="16"/>
  <c r="AM222" i="16"/>
  <c r="AM215" i="16"/>
  <c r="AM206" i="16"/>
  <c r="AM199" i="16"/>
  <c r="AD186" i="16"/>
  <c r="AD180" i="16"/>
  <c r="AD177" i="16"/>
  <c r="AD170" i="16"/>
  <c r="AD154" i="16"/>
  <c r="AD144" i="16"/>
  <c r="AD141" i="16"/>
  <c r="AM135" i="16"/>
  <c r="AD131" i="16"/>
  <c r="AD125" i="16"/>
  <c r="AM119" i="16"/>
  <c r="AD91" i="16"/>
  <c r="AD85" i="16"/>
  <c r="AD82" i="16"/>
  <c r="AD76" i="16"/>
  <c r="AM63" i="16"/>
  <c r="AM52" i="16"/>
  <c r="AM47" i="16"/>
  <c r="AD18" i="16"/>
  <c r="GD18" i="16" s="1"/>
  <c r="AG18" i="16" s="1"/>
  <c r="AD11" i="16"/>
  <c r="AV11" i="16" s="1"/>
  <c r="AE11" i="16" s="1"/>
  <c r="DM243" i="16"/>
  <c r="AF243" i="16" s="1"/>
  <c r="TK218" i="16"/>
  <c r="AL218" i="16" s="1"/>
  <c r="QT218" i="16"/>
  <c r="AK218" i="16" s="1"/>
  <c r="OC218" i="16"/>
  <c r="AJ218" i="16" s="1"/>
  <c r="LL218" i="16"/>
  <c r="IU218" i="16"/>
  <c r="AH218" i="16" s="1"/>
  <c r="GD218" i="16"/>
  <c r="AG218" i="16" s="1"/>
  <c r="DM218" i="16"/>
  <c r="AF218" i="16" s="1"/>
  <c r="AV218" i="16"/>
  <c r="AE218" i="16" s="1"/>
  <c r="TK115" i="16"/>
  <c r="AL115" i="16" s="1"/>
  <c r="OC115" i="16"/>
  <c r="AJ115" i="16" s="1"/>
  <c r="DM115" i="16"/>
  <c r="AF115" i="16" s="1"/>
  <c r="TK256" i="16"/>
  <c r="AL256" i="16" s="1"/>
  <c r="QT256" i="16"/>
  <c r="AK256" i="16" s="1"/>
  <c r="OC256" i="16"/>
  <c r="AJ256" i="16" s="1"/>
  <c r="IU256" i="16"/>
  <c r="AH256" i="16" s="1"/>
  <c r="DM256" i="16"/>
  <c r="AF256" i="16" s="1"/>
  <c r="AM246" i="16"/>
  <c r="AM230" i="16"/>
  <c r="AM214" i="16"/>
  <c r="AD211" i="16"/>
  <c r="AM198" i="16"/>
  <c r="AD195" i="16"/>
  <c r="LL179" i="16"/>
  <c r="IU179" i="16"/>
  <c r="AH179" i="16" s="1"/>
  <c r="GD179" i="16"/>
  <c r="AG179" i="16" s="1"/>
  <c r="DM179" i="16"/>
  <c r="AF179" i="16" s="1"/>
  <c r="AV179" i="16"/>
  <c r="AE179" i="16" s="1"/>
  <c r="AM160" i="16"/>
  <c r="TK143" i="16"/>
  <c r="AL143" i="16" s="1"/>
  <c r="QT143" i="16"/>
  <c r="AK143" i="16" s="1"/>
  <c r="OC143" i="16"/>
  <c r="AJ143" i="16" s="1"/>
  <c r="LL143" i="16"/>
  <c r="GD143" i="16"/>
  <c r="AG143" i="16" s="1"/>
  <c r="DM143" i="16"/>
  <c r="AF143" i="16" s="1"/>
  <c r="IU143" i="16"/>
  <c r="AH143" i="16" s="1"/>
  <c r="AV143" i="16"/>
  <c r="AE143" i="16" s="1"/>
  <c r="AD140" i="16"/>
  <c r="LL127" i="16"/>
  <c r="AD124" i="16"/>
  <c r="AM112" i="16"/>
  <c r="AM103" i="16"/>
  <c r="TK96" i="16"/>
  <c r="AL96" i="16" s="1"/>
  <c r="QT96" i="16"/>
  <c r="AK96" i="16" s="1"/>
  <c r="OC96" i="16"/>
  <c r="AJ96" i="16" s="1"/>
  <c r="LL96" i="16"/>
  <c r="IU96" i="16"/>
  <c r="AH96" i="16" s="1"/>
  <c r="GD96" i="16"/>
  <c r="AG96" i="16" s="1"/>
  <c r="DM96" i="16"/>
  <c r="AF96" i="16" s="1"/>
  <c r="AV96" i="16"/>
  <c r="AE96" i="16" s="1"/>
  <c r="OC87" i="16"/>
  <c r="AJ87" i="16" s="1"/>
  <c r="TK87" i="16"/>
  <c r="AL87" i="16" s="1"/>
  <c r="IU87" i="16"/>
  <c r="AH87" i="16" s="1"/>
  <c r="AV87" i="16"/>
  <c r="AE87" i="16" s="1"/>
  <c r="TK75" i="16"/>
  <c r="AL75" i="16" s="1"/>
  <c r="QT75" i="16"/>
  <c r="AK75" i="16" s="1"/>
  <c r="OC75" i="16"/>
  <c r="AJ75" i="16" s="1"/>
  <c r="DM75" i="16"/>
  <c r="AF75" i="16" s="1"/>
  <c r="AV75" i="16"/>
  <c r="AE75" i="16" s="1"/>
  <c r="AM36" i="16"/>
  <c r="AD29" i="16"/>
  <c r="LL29" i="16" s="1"/>
  <c r="AD21" i="16"/>
  <c r="QT21" i="16" s="1"/>
  <c r="AK21" i="16" s="1"/>
  <c r="AM10" i="16"/>
  <c r="TK240" i="16"/>
  <c r="AL240" i="16" s="1"/>
  <c r="QT240" i="16"/>
  <c r="AK240" i="16" s="1"/>
  <c r="OC240" i="16"/>
  <c r="AJ240" i="16" s="1"/>
  <c r="LL240" i="16"/>
  <c r="IU240" i="16"/>
  <c r="AH240" i="16" s="1"/>
  <c r="GD240" i="16"/>
  <c r="AG240" i="16" s="1"/>
  <c r="AV240" i="16"/>
  <c r="AE240" i="16" s="1"/>
  <c r="DM240" i="16"/>
  <c r="AF240" i="16" s="1"/>
  <c r="TK208" i="16"/>
  <c r="AL208" i="16" s="1"/>
  <c r="QT208" i="16"/>
  <c r="AK208" i="16" s="1"/>
  <c r="OC208" i="16"/>
  <c r="AJ208" i="16" s="1"/>
  <c r="LL208" i="16"/>
  <c r="IU208" i="16"/>
  <c r="AH208" i="16" s="1"/>
  <c r="GD208" i="16"/>
  <c r="AG208" i="16" s="1"/>
  <c r="DM208" i="16"/>
  <c r="AF208" i="16" s="1"/>
  <c r="AV208" i="16"/>
  <c r="AE208" i="16" s="1"/>
  <c r="OC163" i="16"/>
  <c r="AJ163" i="16" s="1"/>
  <c r="LL163" i="16"/>
  <c r="IU163" i="16"/>
  <c r="AH163" i="16" s="1"/>
  <c r="DM163" i="16"/>
  <c r="AF163" i="16" s="1"/>
  <c r="OC147" i="16"/>
  <c r="AJ147" i="16" s="1"/>
  <c r="IU147" i="16"/>
  <c r="AH147" i="16" s="1"/>
  <c r="DM147" i="16"/>
  <c r="AF147" i="16" s="1"/>
  <c r="OC100" i="16"/>
  <c r="AJ100" i="16" s="1"/>
  <c r="AV100" i="16"/>
  <c r="AE100" i="16" s="1"/>
  <c r="GD100" i="16"/>
  <c r="AG100" i="16" s="1"/>
  <c r="AM262" i="16"/>
  <c r="AM240" i="16"/>
  <c r="TK233" i="16"/>
  <c r="AL233" i="16" s="1"/>
  <c r="LL233" i="16"/>
  <c r="IU233" i="16"/>
  <c r="AH233" i="16" s="1"/>
  <c r="GD233" i="16"/>
  <c r="AG233" i="16" s="1"/>
  <c r="DM233" i="16"/>
  <c r="AF233" i="16" s="1"/>
  <c r="AV233" i="16"/>
  <c r="AE233" i="16" s="1"/>
  <c r="OC233" i="16"/>
  <c r="AJ233" i="16" s="1"/>
  <c r="QT233" i="16"/>
  <c r="AK233" i="16" s="1"/>
  <c r="TK217" i="16"/>
  <c r="AL217" i="16" s="1"/>
  <c r="LL217" i="16"/>
  <c r="IU217" i="16"/>
  <c r="AH217" i="16" s="1"/>
  <c r="GD217" i="16"/>
  <c r="AG217" i="16" s="1"/>
  <c r="DM217" i="16"/>
  <c r="AF217" i="16" s="1"/>
  <c r="QT217" i="16"/>
  <c r="AK217" i="16" s="1"/>
  <c r="OC217" i="16"/>
  <c r="AJ217" i="16" s="1"/>
  <c r="AV217" i="16"/>
  <c r="AE217" i="16" s="1"/>
  <c r="AM208" i="16"/>
  <c r="TK201" i="16"/>
  <c r="AL201" i="16" s="1"/>
  <c r="LL201" i="16"/>
  <c r="QT201" i="16"/>
  <c r="AK201" i="16" s="1"/>
  <c r="OC201" i="16"/>
  <c r="AJ201" i="16" s="1"/>
  <c r="IU201" i="16"/>
  <c r="AH201" i="16" s="1"/>
  <c r="GD201" i="16"/>
  <c r="AG201" i="16" s="1"/>
  <c r="DM201" i="16"/>
  <c r="AF201" i="16" s="1"/>
  <c r="AV201" i="16"/>
  <c r="AE201" i="16" s="1"/>
  <c r="AM192" i="16"/>
  <c r="AM176" i="16"/>
  <c r="AD172" i="16"/>
  <c r="QT159" i="16"/>
  <c r="AK159" i="16" s="1"/>
  <c r="OC159" i="16"/>
  <c r="AJ159" i="16" s="1"/>
  <c r="LL159" i="16"/>
  <c r="TK159" i="16"/>
  <c r="AL159" i="16" s="1"/>
  <c r="IU159" i="16"/>
  <c r="AH159" i="16" s="1"/>
  <c r="GD159" i="16"/>
  <c r="AG159" i="16" s="1"/>
  <c r="DM159" i="16"/>
  <c r="AF159" i="16" s="1"/>
  <c r="AV159" i="16"/>
  <c r="AE159" i="16" s="1"/>
  <c r="AD156" i="16"/>
  <c r="TK136" i="16"/>
  <c r="AL136" i="16" s="1"/>
  <c r="QT136" i="16"/>
  <c r="AK136" i="16" s="1"/>
  <c r="OC136" i="16"/>
  <c r="AJ136" i="16" s="1"/>
  <c r="LL136" i="16"/>
  <c r="IU136" i="16"/>
  <c r="AH136" i="16" s="1"/>
  <c r="GD136" i="16"/>
  <c r="AG136" i="16" s="1"/>
  <c r="DM136" i="16"/>
  <c r="AF136" i="16" s="1"/>
  <c r="AV136" i="16"/>
  <c r="AE136" i="16" s="1"/>
  <c r="TK130" i="16"/>
  <c r="AL130" i="16" s="1"/>
  <c r="QT130" i="16"/>
  <c r="AK130" i="16" s="1"/>
  <c r="OC130" i="16"/>
  <c r="AJ130" i="16" s="1"/>
  <c r="LL130" i="16"/>
  <c r="IU130" i="16"/>
  <c r="AH130" i="16" s="1"/>
  <c r="GD130" i="16"/>
  <c r="AG130" i="16" s="1"/>
  <c r="DM130" i="16"/>
  <c r="AF130" i="16" s="1"/>
  <c r="AV130" i="16"/>
  <c r="AE130" i="16" s="1"/>
  <c r="OC111" i="16"/>
  <c r="AJ111" i="16" s="1"/>
  <c r="TK99" i="16"/>
  <c r="AL99" i="16" s="1"/>
  <c r="QT99" i="16"/>
  <c r="AK99" i="16" s="1"/>
  <c r="OC99" i="16"/>
  <c r="AJ99" i="16" s="1"/>
  <c r="LL99" i="16"/>
  <c r="IU99" i="16"/>
  <c r="AH99" i="16" s="1"/>
  <c r="GD99" i="16"/>
  <c r="AG99" i="16" s="1"/>
  <c r="DM99" i="16"/>
  <c r="AF99" i="16" s="1"/>
  <c r="AV99" i="16"/>
  <c r="AE99" i="16" s="1"/>
  <c r="AD93" i="16"/>
  <c r="GD90" i="16"/>
  <c r="AG90" i="16" s="1"/>
  <c r="IU90" i="16"/>
  <c r="AH90" i="16" s="1"/>
  <c r="AV90" i="16"/>
  <c r="AE90" i="16" s="1"/>
  <c r="AD84" i="16"/>
  <c r="AM72" i="16"/>
  <c r="AM55" i="16"/>
  <c r="AD13" i="16"/>
  <c r="DM13" i="16" s="1"/>
  <c r="AF13" i="16" s="1"/>
  <c r="OC192" i="16"/>
  <c r="AJ192" i="16" s="1"/>
  <c r="LL192" i="16"/>
  <c r="IU192" i="16"/>
  <c r="AH192" i="16" s="1"/>
  <c r="GD192" i="16"/>
  <c r="AG192" i="16" s="1"/>
  <c r="DM192" i="16"/>
  <c r="AF192" i="16" s="1"/>
  <c r="IU157" i="16"/>
  <c r="AH157" i="16" s="1"/>
  <c r="GD157" i="16"/>
  <c r="AG157" i="16" s="1"/>
  <c r="AM291" i="16"/>
  <c r="AM290" i="16"/>
  <c r="AD283" i="16"/>
  <c r="IU283" i="16" s="1"/>
  <c r="AH283" i="16" s="1"/>
  <c r="AD275" i="16"/>
  <c r="DM275" i="16" s="1"/>
  <c r="AF275" i="16" s="1"/>
  <c r="AM258" i="16"/>
  <c r="AD242" i="16"/>
  <c r="AD226" i="16"/>
  <c r="AD210" i="16"/>
  <c r="AD194" i="16"/>
  <c r="AD188" i="16"/>
  <c r="AD162" i="16"/>
  <c r="AM155" i="16"/>
  <c r="AD146" i="16"/>
  <c r="AM143" i="16"/>
  <c r="AD139" i="16"/>
  <c r="AD133" i="16"/>
  <c r="AM127" i="16"/>
  <c r="AD123" i="16"/>
  <c r="AD117" i="16"/>
  <c r="AD114" i="16"/>
  <c r="AD108" i="16"/>
  <c r="AM96" i="16"/>
  <c r="AM87" i="16"/>
  <c r="AM83" i="16"/>
  <c r="AM74" i="16"/>
  <c r="AD68" i="16"/>
  <c r="AV68" i="16" s="1"/>
  <c r="AE68" i="16" s="1"/>
  <c r="AM58" i="16"/>
  <c r="AM28" i="16"/>
  <c r="AV234" i="16"/>
  <c r="AE234" i="16" s="1"/>
  <c r="LL176" i="16"/>
  <c r="IU176" i="16"/>
  <c r="AH176" i="16" s="1"/>
  <c r="GD176" i="16"/>
  <c r="AG176" i="16" s="1"/>
  <c r="DM176" i="16"/>
  <c r="AF176" i="16" s="1"/>
  <c r="AV176" i="16"/>
  <c r="AE176" i="16" s="1"/>
  <c r="AM287" i="16"/>
  <c r="QT248" i="16"/>
  <c r="AK248" i="16" s="1"/>
  <c r="OC248" i="16"/>
  <c r="AJ248" i="16" s="1"/>
  <c r="LL248" i="16"/>
  <c r="IU248" i="16"/>
  <c r="AH248" i="16" s="1"/>
  <c r="GD248" i="16"/>
  <c r="AG248" i="16" s="1"/>
  <c r="AV248" i="16"/>
  <c r="AE248" i="16" s="1"/>
  <c r="DM248" i="16"/>
  <c r="AF248" i="16" s="1"/>
  <c r="TK248" i="16"/>
  <c r="AL248" i="16" s="1"/>
  <c r="AM244" i="16"/>
  <c r="TK236" i="16"/>
  <c r="AL236" i="16" s="1"/>
  <c r="QT236" i="16"/>
  <c r="AK236" i="16" s="1"/>
  <c r="OC236" i="16"/>
  <c r="AJ236" i="16" s="1"/>
  <c r="LL236" i="16"/>
  <c r="DM236" i="16"/>
  <c r="AF236" i="16" s="1"/>
  <c r="AV236" i="16"/>
  <c r="AE236" i="16" s="1"/>
  <c r="IU236" i="16"/>
  <c r="AH236" i="16" s="1"/>
  <c r="GD236" i="16"/>
  <c r="AG236" i="16" s="1"/>
  <c r="TK232" i="16"/>
  <c r="AL232" i="16" s="1"/>
  <c r="QT232" i="16"/>
  <c r="AK232" i="16" s="1"/>
  <c r="OC232" i="16"/>
  <c r="AJ232" i="16" s="1"/>
  <c r="LL232" i="16"/>
  <c r="IU232" i="16"/>
  <c r="AH232" i="16" s="1"/>
  <c r="GD232" i="16"/>
  <c r="AG232" i="16" s="1"/>
  <c r="DM232" i="16"/>
  <c r="AF232" i="16" s="1"/>
  <c r="AV232" i="16"/>
  <c r="AE232" i="16" s="1"/>
  <c r="AM228" i="16"/>
  <c r="TK220" i="16"/>
  <c r="AL220" i="16" s="1"/>
  <c r="QT220" i="16"/>
  <c r="AK220" i="16" s="1"/>
  <c r="OC220" i="16"/>
  <c r="AJ220" i="16" s="1"/>
  <c r="LL220" i="16"/>
  <c r="IU220" i="16"/>
  <c r="AH220" i="16" s="1"/>
  <c r="GD220" i="16"/>
  <c r="AG220" i="16" s="1"/>
  <c r="DM220" i="16"/>
  <c r="AF220" i="16" s="1"/>
  <c r="AV220" i="16"/>
  <c r="AE220" i="16" s="1"/>
  <c r="IU216" i="16"/>
  <c r="AH216" i="16" s="1"/>
  <c r="GD216" i="16"/>
  <c r="AG216" i="16" s="1"/>
  <c r="AM212" i="16"/>
  <c r="TK204" i="16"/>
  <c r="AL204" i="16" s="1"/>
  <c r="QT204" i="16"/>
  <c r="AK204" i="16" s="1"/>
  <c r="OC204" i="16"/>
  <c r="AJ204" i="16" s="1"/>
  <c r="LL204" i="16"/>
  <c r="IU204" i="16"/>
  <c r="AH204" i="16" s="1"/>
  <c r="GD204" i="16"/>
  <c r="AG204" i="16" s="1"/>
  <c r="DM204" i="16"/>
  <c r="AF204" i="16" s="1"/>
  <c r="AV204" i="16"/>
  <c r="AE204" i="16" s="1"/>
  <c r="IU200" i="16"/>
  <c r="AH200" i="16" s="1"/>
  <c r="AM196" i="16"/>
  <c r="IU181" i="16"/>
  <c r="AH181" i="16" s="1"/>
  <c r="GD181" i="16"/>
  <c r="AG181" i="16" s="1"/>
  <c r="DM181" i="16"/>
  <c r="AF181" i="16" s="1"/>
  <c r="LL181" i="16"/>
  <c r="AV181" i="16"/>
  <c r="AE181" i="16" s="1"/>
  <c r="LL178" i="16"/>
  <c r="IU178" i="16"/>
  <c r="AH178" i="16" s="1"/>
  <c r="GD178" i="16"/>
  <c r="AG178" i="16" s="1"/>
  <c r="DM178" i="16"/>
  <c r="AF178" i="16" s="1"/>
  <c r="AV178" i="16"/>
  <c r="AE178" i="16" s="1"/>
  <c r="OC149" i="16"/>
  <c r="AJ149" i="16" s="1"/>
  <c r="AM116" i="16"/>
  <c r="AD104" i="16"/>
  <c r="AD95" i="16"/>
  <c r="QT83" i="16"/>
  <c r="AK83" i="16" s="1"/>
  <c r="OC83" i="16"/>
  <c r="AJ83" i="16" s="1"/>
  <c r="QT77" i="16"/>
  <c r="AK77" i="16" s="1"/>
  <c r="OC77" i="16"/>
  <c r="AJ77" i="16" s="1"/>
  <c r="LL77" i="16"/>
  <c r="GD77" i="16"/>
  <c r="AG77" i="16" s="1"/>
  <c r="DM77" i="16"/>
  <c r="AF77" i="16" s="1"/>
  <c r="AD71" i="16"/>
  <c r="AM12" i="16"/>
  <c r="GD250" i="16"/>
  <c r="AG250" i="16" s="1"/>
  <c r="TK227" i="16"/>
  <c r="AL227" i="16" s="1"/>
  <c r="QT227" i="16"/>
  <c r="AK227" i="16" s="1"/>
  <c r="OC227" i="16"/>
  <c r="AJ227" i="16" s="1"/>
  <c r="LL227" i="16"/>
  <c r="IU227" i="16"/>
  <c r="AH227" i="16" s="1"/>
  <c r="GD227" i="16"/>
  <c r="AG227" i="16" s="1"/>
  <c r="DM227" i="16"/>
  <c r="AF227" i="16" s="1"/>
  <c r="AV227" i="16"/>
  <c r="AE227" i="16" s="1"/>
  <c r="TK109" i="16"/>
  <c r="AL109" i="16" s="1"/>
  <c r="OC109" i="16"/>
  <c r="AJ109" i="16" s="1"/>
  <c r="LL109" i="16"/>
  <c r="QT109" i="16"/>
  <c r="AK109" i="16" s="1"/>
  <c r="GD109" i="16"/>
  <c r="AG109" i="16" s="1"/>
  <c r="DM109" i="16"/>
  <c r="AF109" i="16" s="1"/>
  <c r="IU109" i="16"/>
  <c r="AH109" i="16" s="1"/>
  <c r="AV109" i="16"/>
  <c r="AE109" i="16" s="1"/>
  <c r="AM286" i="16"/>
  <c r="AD282" i="16"/>
  <c r="GD282" i="16" s="1"/>
  <c r="AG282" i="16" s="1"/>
  <c r="AM272" i="16"/>
  <c r="AD264" i="16"/>
  <c r="DM264" i="16" s="1"/>
  <c r="AF264" i="16" s="1"/>
  <c r="AM260" i="16"/>
  <c r="AM255" i="16"/>
  <c r="AM239" i="16"/>
  <c r="AD222" i="16"/>
  <c r="AM207" i="16"/>
  <c r="AD187" i="16"/>
  <c r="AM184" i="16"/>
  <c r="AM180" i="16"/>
  <c r="AD171" i="16"/>
  <c r="AM168" i="16"/>
  <c r="AM161" i="16"/>
  <c r="AM152" i="16"/>
  <c r="AM145" i="16"/>
  <c r="AD135" i="16"/>
  <c r="AD132" i="16"/>
  <c r="AD119" i="16"/>
  <c r="AD107" i="16"/>
  <c r="AD101" i="16"/>
  <c r="AD98" i="16"/>
  <c r="AD92" i="16"/>
  <c r="AM80" i="16"/>
  <c r="AM76" i="16"/>
  <c r="AM67" i="16"/>
  <c r="AD63" i="16"/>
  <c r="AD47" i="16"/>
  <c r="DM47" i="16" s="1"/>
  <c r="AF47" i="16" s="1"/>
  <c r="AD34" i="16"/>
  <c r="AV34" i="16" s="1"/>
  <c r="AE34" i="16" s="1"/>
  <c r="AM11" i="16"/>
  <c r="TK189" i="16"/>
  <c r="AL189" i="16" s="1"/>
  <c r="AV189" i="16"/>
  <c r="AE189" i="16" s="1"/>
  <c r="TK72" i="16"/>
  <c r="AL72" i="16" s="1"/>
  <c r="QT72" i="16"/>
  <c r="AK72" i="16" s="1"/>
  <c r="OC72" i="16"/>
  <c r="AJ72" i="16" s="1"/>
  <c r="LL72" i="16"/>
  <c r="IU72" i="16"/>
  <c r="AH72" i="16" s="1"/>
  <c r="GD72" i="16"/>
  <c r="AG72" i="16" s="1"/>
  <c r="DM72" i="16"/>
  <c r="AF72" i="16" s="1"/>
  <c r="AV72" i="16"/>
  <c r="AE72" i="16" s="1"/>
  <c r="TK244" i="16"/>
  <c r="AL244" i="16" s="1"/>
  <c r="QT244" i="16"/>
  <c r="AK244" i="16" s="1"/>
  <c r="OC244" i="16"/>
  <c r="AJ244" i="16" s="1"/>
  <c r="LL244" i="16"/>
  <c r="AV244" i="16"/>
  <c r="AE244" i="16" s="1"/>
  <c r="IU244" i="16"/>
  <c r="AH244" i="16" s="1"/>
  <c r="GD244" i="16"/>
  <c r="AG244" i="16" s="1"/>
  <c r="DM244" i="16"/>
  <c r="AF244" i="16" s="1"/>
  <c r="TK241" i="16"/>
  <c r="AL241" i="16" s="1"/>
  <c r="QT241" i="16"/>
  <c r="AK241" i="16" s="1"/>
  <c r="OC241" i="16"/>
  <c r="AJ241" i="16" s="1"/>
  <c r="IU241" i="16"/>
  <c r="AH241" i="16" s="1"/>
  <c r="GD241" i="16"/>
  <c r="AG241" i="16" s="1"/>
  <c r="DM241" i="16"/>
  <c r="AF241" i="16" s="1"/>
  <c r="LL241" i="16"/>
  <c r="AV241" i="16"/>
  <c r="AE241" i="16" s="1"/>
  <c r="TK228" i="16"/>
  <c r="AL228" i="16" s="1"/>
  <c r="QT228" i="16"/>
  <c r="AK228" i="16" s="1"/>
  <c r="OC228" i="16"/>
  <c r="AJ228" i="16" s="1"/>
  <c r="AV228" i="16"/>
  <c r="AE228" i="16" s="1"/>
  <c r="IU228" i="16"/>
  <c r="AH228" i="16" s="1"/>
  <c r="GD228" i="16"/>
  <c r="AG228" i="16" s="1"/>
  <c r="DM228" i="16"/>
  <c r="AF228" i="16" s="1"/>
  <c r="LL228" i="16"/>
  <c r="TK225" i="16"/>
  <c r="AL225" i="16" s="1"/>
  <c r="IU225" i="16"/>
  <c r="AH225" i="16" s="1"/>
  <c r="GD225" i="16"/>
  <c r="AG225" i="16" s="1"/>
  <c r="DM225" i="16"/>
  <c r="AF225" i="16" s="1"/>
  <c r="QT225" i="16"/>
  <c r="AK225" i="16" s="1"/>
  <c r="OC225" i="16"/>
  <c r="AJ225" i="16" s="1"/>
  <c r="LL225" i="16"/>
  <c r="AV225" i="16"/>
  <c r="AE225" i="16" s="1"/>
  <c r="TK219" i="16"/>
  <c r="AL219" i="16" s="1"/>
  <c r="AV219" i="16"/>
  <c r="AE219" i="16" s="1"/>
  <c r="TK212" i="16"/>
  <c r="AL212" i="16" s="1"/>
  <c r="QT212" i="16"/>
  <c r="AK212" i="16" s="1"/>
  <c r="OC212" i="16"/>
  <c r="AJ212" i="16" s="1"/>
  <c r="IU212" i="16"/>
  <c r="AH212" i="16" s="1"/>
  <c r="GD212" i="16"/>
  <c r="AG212" i="16" s="1"/>
  <c r="DM212" i="16"/>
  <c r="AF212" i="16" s="1"/>
  <c r="AV212" i="16"/>
  <c r="AE212" i="16" s="1"/>
  <c r="LL212" i="16"/>
  <c r="TK209" i="16"/>
  <c r="AL209" i="16" s="1"/>
  <c r="QT209" i="16"/>
  <c r="AK209" i="16" s="1"/>
  <c r="OC209" i="16"/>
  <c r="AJ209" i="16" s="1"/>
  <c r="IU209" i="16"/>
  <c r="AH209" i="16" s="1"/>
  <c r="GD209" i="16"/>
  <c r="AG209" i="16" s="1"/>
  <c r="DM209" i="16"/>
  <c r="AF209" i="16" s="1"/>
  <c r="LL209" i="16"/>
  <c r="AV209" i="16"/>
  <c r="AE209" i="16" s="1"/>
  <c r="TK203" i="16"/>
  <c r="AL203" i="16" s="1"/>
  <c r="QT203" i="16"/>
  <c r="AK203" i="16" s="1"/>
  <c r="OC203" i="16"/>
  <c r="AJ203" i="16" s="1"/>
  <c r="LL203" i="16"/>
  <c r="IU203" i="16"/>
  <c r="AH203" i="16" s="1"/>
  <c r="GD203" i="16"/>
  <c r="AG203" i="16" s="1"/>
  <c r="DM203" i="16"/>
  <c r="AF203" i="16" s="1"/>
  <c r="AV203" i="16"/>
  <c r="AE203" i="16" s="1"/>
  <c r="AV196" i="16"/>
  <c r="AE196" i="16" s="1"/>
  <c r="IU196" i="16"/>
  <c r="AH196" i="16" s="1"/>
  <c r="GD196" i="16"/>
  <c r="AG196" i="16" s="1"/>
  <c r="TK193" i="16"/>
  <c r="AL193" i="16" s="1"/>
  <c r="QT193" i="16"/>
  <c r="AK193" i="16" s="1"/>
  <c r="OC193" i="16"/>
  <c r="AJ193" i="16" s="1"/>
  <c r="IU193" i="16"/>
  <c r="AH193" i="16" s="1"/>
  <c r="GD193" i="16"/>
  <c r="AG193" i="16" s="1"/>
  <c r="DM193" i="16"/>
  <c r="AF193" i="16" s="1"/>
  <c r="AD183" i="16"/>
  <c r="AD167" i="16"/>
  <c r="QT164" i="16"/>
  <c r="AK164" i="16" s="1"/>
  <c r="LL164" i="16"/>
  <c r="IU164" i="16"/>
  <c r="AH164" i="16" s="1"/>
  <c r="TK161" i="16"/>
  <c r="AL161" i="16" s="1"/>
  <c r="IU161" i="16"/>
  <c r="AH161" i="16" s="1"/>
  <c r="GD161" i="16"/>
  <c r="AG161" i="16" s="1"/>
  <c r="DM161" i="16"/>
  <c r="AF161" i="16" s="1"/>
  <c r="QT161" i="16"/>
  <c r="AK161" i="16" s="1"/>
  <c r="OC161" i="16"/>
  <c r="AJ161" i="16" s="1"/>
  <c r="LL161" i="16"/>
  <c r="AV161" i="16"/>
  <c r="AE161" i="16" s="1"/>
  <c r="AD151" i="16"/>
  <c r="TK148" i="16"/>
  <c r="AL148" i="16" s="1"/>
  <c r="QT148" i="16"/>
  <c r="AK148" i="16" s="1"/>
  <c r="OC148" i="16"/>
  <c r="AJ148" i="16" s="1"/>
  <c r="LL148" i="16"/>
  <c r="AV148" i="16"/>
  <c r="AE148" i="16" s="1"/>
  <c r="IU148" i="16"/>
  <c r="AH148" i="16" s="1"/>
  <c r="GD148" i="16"/>
  <c r="AG148" i="16" s="1"/>
  <c r="DM148" i="16"/>
  <c r="AF148" i="16" s="1"/>
  <c r="TK145" i="16"/>
  <c r="AL145" i="16" s="1"/>
  <c r="QT145" i="16"/>
  <c r="AK145" i="16" s="1"/>
  <c r="OC145" i="16"/>
  <c r="AJ145" i="16" s="1"/>
  <c r="LL145" i="16"/>
  <c r="GD145" i="16"/>
  <c r="AG145" i="16" s="1"/>
  <c r="DM145" i="16"/>
  <c r="AF145" i="16" s="1"/>
  <c r="IU145" i="16"/>
  <c r="AH145" i="16" s="1"/>
  <c r="AV145" i="16"/>
  <c r="AE145" i="16" s="1"/>
  <c r="TK138" i="16"/>
  <c r="AL138" i="16" s="1"/>
  <c r="QT138" i="16"/>
  <c r="AK138" i="16" s="1"/>
  <c r="OC138" i="16"/>
  <c r="AJ138" i="16" s="1"/>
  <c r="LL138" i="16"/>
  <c r="IU138" i="16"/>
  <c r="AH138" i="16" s="1"/>
  <c r="GD138" i="16"/>
  <c r="AG138" i="16" s="1"/>
  <c r="DM138" i="16"/>
  <c r="AF138" i="16" s="1"/>
  <c r="AV138" i="16"/>
  <c r="AE138" i="16" s="1"/>
  <c r="AD128" i="16"/>
  <c r="DM122" i="16"/>
  <c r="AF122" i="16" s="1"/>
  <c r="IU122" i="16"/>
  <c r="AH122" i="16" s="1"/>
  <c r="TK116" i="16"/>
  <c r="AL116" i="16" s="1"/>
  <c r="QT116" i="16"/>
  <c r="AK116" i="16" s="1"/>
  <c r="OC116" i="16"/>
  <c r="AJ116" i="16" s="1"/>
  <c r="LL116" i="16"/>
  <c r="AV116" i="16"/>
  <c r="AE116" i="16" s="1"/>
  <c r="IU116" i="16"/>
  <c r="AH116" i="16" s="1"/>
  <c r="GD116" i="16"/>
  <c r="AG116" i="16" s="1"/>
  <c r="DM116" i="16"/>
  <c r="AF116" i="16" s="1"/>
  <c r="AM100" i="16"/>
  <c r="AD88" i="16"/>
  <c r="AD79" i="16"/>
  <c r="AD56" i="16"/>
  <c r="IU56" i="16" s="1"/>
  <c r="AH56" i="16" s="1"/>
  <c r="OC23" i="16"/>
  <c r="AJ23" i="16" s="1"/>
  <c r="IU23" i="16"/>
  <c r="AH23" i="16" s="1"/>
  <c r="QT23" i="16"/>
  <c r="AK23" i="16" s="1"/>
  <c r="LL23" i="16"/>
  <c r="TK23" i="16"/>
  <c r="AL23" i="16" s="1"/>
  <c r="GD23" i="16"/>
  <c r="AG23" i="16" s="1"/>
  <c r="DM23" i="16"/>
  <c r="AF23" i="16" s="1"/>
  <c r="AV23" i="16"/>
  <c r="AE23" i="16" s="1"/>
  <c r="OC71" i="16"/>
  <c r="AJ71" i="16" s="1"/>
  <c r="IU71" i="16"/>
  <c r="AH71" i="16" s="1"/>
  <c r="QT71" i="16"/>
  <c r="AK71" i="16" s="1"/>
  <c r="LL71" i="16"/>
  <c r="TK71" i="16"/>
  <c r="AL71" i="16" s="1"/>
  <c r="GD71" i="16"/>
  <c r="AG71" i="16" s="1"/>
  <c r="DM71" i="16"/>
  <c r="AF71" i="16" s="1"/>
  <c r="AV71" i="16"/>
  <c r="AE71" i="16" s="1"/>
  <c r="GD32" i="16"/>
  <c r="AG32" i="16" s="1"/>
  <c r="OC32" i="16"/>
  <c r="AJ32" i="16" s="1"/>
  <c r="IU32" i="16"/>
  <c r="AH32" i="16" s="1"/>
  <c r="QT32" i="16"/>
  <c r="AK32" i="16" s="1"/>
  <c r="LL32" i="16"/>
  <c r="TK32" i="16"/>
  <c r="AL32" i="16" s="1"/>
  <c r="AV32" i="16"/>
  <c r="AE32" i="16" s="1"/>
  <c r="DM32" i="16"/>
  <c r="AF32" i="16" s="1"/>
  <c r="OC39" i="16"/>
  <c r="AJ39" i="16" s="1"/>
  <c r="IU39" i="16"/>
  <c r="AH39" i="16" s="1"/>
  <c r="QT39" i="16"/>
  <c r="AK39" i="16" s="1"/>
  <c r="LL39" i="16"/>
  <c r="TK39" i="16"/>
  <c r="AL39" i="16" s="1"/>
  <c r="GD39" i="16"/>
  <c r="AG39" i="16" s="1"/>
  <c r="DM39" i="16"/>
  <c r="AF39" i="16" s="1"/>
  <c r="AV39" i="16"/>
  <c r="AE39" i="16" s="1"/>
  <c r="LL286" i="16"/>
  <c r="TK286" i="16"/>
  <c r="AL286" i="16" s="1"/>
  <c r="GD286" i="16"/>
  <c r="AG286" i="16" s="1"/>
  <c r="OC286" i="16"/>
  <c r="AJ286" i="16" s="1"/>
  <c r="IU286" i="16"/>
  <c r="AH286" i="16" s="1"/>
  <c r="QT286" i="16"/>
  <c r="AK286" i="16" s="1"/>
  <c r="AV286" i="16"/>
  <c r="AE286" i="16" s="1"/>
  <c r="DM286" i="16"/>
  <c r="AF286" i="16" s="1"/>
  <c r="AD27" i="16"/>
  <c r="TK282" i="16"/>
  <c r="AL282" i="16" s="1"/>
  <c r="OC56" i="16"/>
  <c r="AJ56" i="16" s="1"/>
  <c r="QT56" i="16"/>
  <c r="AK56" i="16" s="1"/>
  <c r="TK56" i="16"/>
  <c r="AL56" i="16" s="1"/>
  <c r="QT44" i="16"/>
  <c r="AK44" i="16" s="1"/>
  <c r="LL44" i="16"/>
  <c r="TK44" i="16"/>
  <c r="AL44" i="16" s="1"/>
  <c r="GD44" i="16"/>
  <c r="AG44" i="16" s="1"/>
  <c r="OC44" i="16"/>
  <c r="AJ44" i="16" s="1"/>
  <c r="IU44" i="16"/>
  <c r="AH44" i="16" s="1"/>
  <c r="AV44" i="16"/>
  <c r="AE44" i="16" s="1"/>
  <c r="DM44" i="16"/>
  <c r="AF44" i="16" s="1"/>
  <c r="LL26" i="16"/>
  <c r="TK26" i="16"/>
  <c r="AL26" i="16" s="1"/>
  <c r="GD26" i="16"/>
  <c r="AG26" i="16" s="1"/>
  <c r="OC26" i="16"/>
  <c r="AJ26" i="16" s="1"/>
  <c r="IU26" i="16"/>
  <c r="AH26" i="16" s="1"/>
  <c r="QT26" i="16"/>
  <c r="AK26" i="16" s="1"/>
  <c r="AV26" i="16"/>
  <c r="AE26" i="16" s="1"/>
  <c r="DM26" i="16"/>
  <c r="AF26" i="16" s="1"/>
  <c r="QT296" i="16"/>
  <c r="AK296" i="16" s="1"/>
  <c r="LL296" i="16"/>
  <c r="TK296" i="16"/>
  <c r="AL296" i="16" s="1"/>
  <c r="GD296" i="16"/>
  <c r="AG296" i="16" s="1"/>
  <c r="OC296" i="16"/>
  <c r="AJ296" i="16" s="1"/>
  <c r="IU296" i="16"/>
  <c r="AH296" i="16" s="1"/>
  <c r="AV296" i="16"/>
  <c r="AE296" i="16" s="1"/>
  <c r="DM296" i="16"/>
  <c r="AF296" i="16" s="1"/>
  <c r="IU273" i="16"/>
  <c r="AH273" i="16" s="1"/>
  <c r="QT273" i="16"/>
  <c r="AK273" i="16" s="1"/>
  <c r="LL273" i="16"/>
  <c r="TK273" i="16"/>
  <c r="AL273" i="16" s="1"/>
  <c r="GD273" i="16"/>
  <c r="AG273" i="16" s="1"/>
  <c r="OC273" i="16"/>
  <c r="AJ273" i="16" s="1"/>
  <c r="AV273" i="16"/>
  <c r="AE273" i="16" s="1"/>
  <c r="DM273" i="16"/>
  <c r="AF273" i="16" s="1"/>
  <c r="OC63" i="16"/>
  <c r="AJ63" i="16" s="1"/>
  <c r="IU63" i="16"/>
  <c r="AH63" i="16" s="1"/>
  <c r="QT63" i="16"/>
  <c r="AK63" i="16" s="1"/>
  <c r="LL63" i="16"/>
  <c r="TK63" i="16"/>
  <c r="AL63" i="16" s="1"/>
  <c r="GD63" i="16"/>
  <c r="AG63" i="16" s="1"/>
  <c r="DM63" i="16"/>
  <c r="AF63" i="16" s="1"/>
  <c r="AV63" i="16"/>
  <c r="AE63" i="16" s="1"/>
  <c r="AM295" i="16"/>
  <c r="AD291" i="16"/>
  <c r="AM278" i="16"/>
  <c r="AD265" i="16"/>
  <c r="IU265" i="16" s="1"/>
  <c r="AH265" i="16" s="1"/>
  <c r="AD59" i="16"/>
  <c r="AD53" i="16"/>
  <c r="AD50" i="16"/>
  <c r="AD35" i="16"/>
  <c r="AM32" i="16"/>
  <c r="AM23" i="16"/>
  <c r="QT36" i="16"/>
  <c r="AK36" i="16" s="1"/>
  <c r="LL36" i="16"/>
  <c r="TK36" i="16"/>
  <c r="AL36" i="16" s="1"/>
  <c r="GD36" i="16"/>
  <c r="AG36" i="16" s="1"/>
  <c r="OC36" i="16"/>
  <c r="AJ36" i="16" s="1"/>
  <c r="IU36" i="16"/>
  <c r="AH36" i="16" s="1"/>
  <c r="AV36" i="16"/>
  <c r="AE36" i="16" s="1"/>
  <c r="DM36" i="16"/>
  <c r="AF36" i="16" s="1"/>
  <c r="AD276" i="16"/>
  <c r="AV42" i="16"/>
  <c r="AE42" i="16" s="1"/>
  <c r="AM24" i="16"/>
  <c r="LL68" i="16"/>
  <c r="TK68" i="16"/>
  <c r="AL68" i="16" s="1"/>
  <c r="GD68" i="16"/>
  <c r="AG68" i="16" s="1"/>
  <c r="OC68" i="16"/>
  <c r="AJ68" i="16" s="1"/>
  <c r="IU68" i="16"/>
  <c r="AH68" i="16" s="1"/>
  <c r="GD40" i="16"/>
  <c r="AG40" i="16" s="1"/>
  <c r="OC40" i="16"/>
  <c r="AJ40" i="16" s="1"/>
  <c r="IU40" i="16"/>
  <c r="AH40" i="16" s="1"/>
  <c r="QT40" i="16"/>
  <c r="AK40" i="16" s="1"/>
  <c r="LL40" i="16"/>
  <c r="TK40" i="16"/>
  <c r="AL40" i="16" s="1"/>
  <c r="AV40" i="16"/>
  <c r="AE40" i="16" s="1"/>
  <c r="DM40" i="16"/>
  <c r="AF40" i="16" s="1"/>
  <c r="OC31" i="16"/>
  <c r="AJ31" i="16" s="1"/>
  <c r="IU31" i="16"/>
  <c r="AH31" i="16" s="1"/>
  <c r="QT31" i="16"/>
  <c r="AK31" i="16" s="1"/>
  <c r="LL31" i="16"/>
  <c r="TK31" i="16"/>
  <c r="AL31" i="16" s="1"/>
  <c r="GD31" i="16"/>
  <c r="AG31" i="16" s="1"/>
  <c r="DM31" i="16"/>
  <c r="AF31" i="16" s="1"/>
  <c r="AV31" i="16"/>
  <c r="AE31" i="16" s="1"/>
  <c r="LL28" i="16"/>
  <c r="TK28" i="16"/>
  <c r="AL28" i="16" s="1"/>
  <c r="GD28" i="16"/>
  <c r="AG28" i="16" s="1"/>
  <c r="OC28" i="16"/>
  <c r="AJ28" i="16" s="1"/>
  <c r="IU28" i="16"/>
  <c r="AH28" i="16" s="1"/>
  <c r="TK13" i="16"/>
  <c r="AL13" i="16" s="1"/>
  <c r="AD10" i="16"/>
  <c r="GD48" i="16"/>
  <c r="AG48" i="16" s="1"/>
  <c r="OC48" i="16"/>
  <c r="AJ48" i="16" s="1"/>
  <c r="IU48" i="16"/>
  <c r="AH48" i="16" s="1"/>
  <c r="QT48" i="16"/>
  <c r="AK48" i="16" s="1"/>
  <c r="LL48" i="16"/>
  <c r="TK48" i="16"/>
  <c r="AL48" i="16" s="1"/>
  <c r="AV48" i="16"/>
  <c r="AE48" i="16" s="1"/>
  <c r="DM48" i="16"/>
  <c r="AF48" i="16" s="1"/>
  <c r="AM294" i="16"/>
  <c r="IU274" i="16"/>
  <c r="AH274" i="16" s="1"/>
  <c r="QT274" i="16"/>
  <c r="AK274" i="16" s="1"/>
  <c r="GD274" i="16"/>
  <c r="AG274" i="16" s="1"/>
  <c r="DM274" i="16"/>
  <c r="AF274" i="16" s="1"/>
  <c r="AV274" i="16"/>
  <c r="AE274" i="16" s="1"/>
  <c r="AD271" i="16"/>
  <c r="AM71" i="16"/>
  <c r="AD64" i="16"/>
  <c r="AD55" i="16"/>
  <c r="QT52" i="16"/>
  <c r="AK52" i="16" s="1"/>
  <c r="LL52" i="16"/>
  <c r="TK52" i="16"/>
  <c r="AL52" i="16" s="1"/>
  <c r="GD52" i="16"/>
  <c r="AG52" i="16" s="1"/>
  <c r="OC52" i="16"/>
  <c r="AJ52" i="16" s="1"/>
  <c r="IU52" i="16"/>
  <c r="AH52" i="16" s="1"/>
  <c r="AV52" i="16"/>
  <c r="AE52" i="16" s="1"/>
  <c r="DM52" i="16"/>
  <c r="AF52" i="16" s="1"/>
  <c r="AD37" i="16"/>
  <c r="QT34" i="16"/>
  <c r="AK34" i="16" s="1"/>
  <c r="AD19" i="16"/>
  <c r="AM16" i="16"/>
  <c r="AD45" i="16"/>
  <c r="AM15" i="16"/>
  <c r="AD297" i="16"/>
  <c r="AD290" i="16"/>
  <c r="AD284" i="16"/>
  <c r="AD280" i="16"/>
  <c r="AM276" i="16"/>
  <c r="AD67" i="16"/>
  <c r="AD61" i="16"/>
  <c r="AD58" i="16"/>
  <c r="AD43" i="16"/>
  <c r="AM40" i="16"/>
  <c r="AM31" i="16"/>
  <c r="AM27" i="16"/>
  <c r="AD24" i="16"/>
  <c r="AD15" i="16"/>
  <c r="AD12" i="16"/>
  <c r="AD9" i="16"/>
  <c r="QT9" i="16" s="1"/>
  <c r="AD292" i="16"/>
  <c r="AD289" i="16"/>
  <c r="AM279" i="16"/>
  <c r="AM275" i="16"/>
  <c r="AM270" i="16"/>
  <c r="AD266" i="16"/>
  <c r="AD69" i="16"/>
  <c r="AD66" i="16"/>
  <c r="AD60" i="16"/>
  <c r="AD51" i="16"/>
  <c r="AM48" i="16"/>
  <c r="AM44" i="16"/>
  <c r="AM39" i="16"/>
  <c r="AM26" i="16"/>
  <c r="AD20" i="16"/>
  <c r="AM8" i="16"/>
  <c r="AD268" i="16"/>
  <c r="OC268" i="16" s="1"/>
  <c r="AJ268" i="16" s="1"/>
  <c r="AM267" i="16"/>
  <c r="AD270" i="16"/>
  <c r="AD255" i="16"/>
  <c r="AD223" i="16"/>
  <c r="AD206" i="16"/>
  <c r="AM264" i="16"/>
  <c r="AM186" i="16"/>
  <c r="AD134" i="16"/>
  <c r="AM134" i="16"/>
  <c r="AD118" i="16"/>
  <c r="AM118" i="16"/>
  <c r="AD113" i="16"/>
  <c r="AM113" i="16"/>
  <c r="AD97" i="16"/>
  <c r="AM97" i="16"/>
  <c r="AM297" i="16"/>
  <c r="AD295" i="16"/>
  <c r="AD285" i="16"/>
  <c r="AM285" i="16"/>
  <c r="AM282" i="16"/>
  <c r="AD278" i="16"/>
  <c r="AM265" i="16"/>
  <c r="AD263" i="16"/>
  <c r="AD253" i="16"/>
  <c r="AM253" i="16"/>
  <c r="AM250" i="16"/>
  <c r="AD246" i="16"/>
  <c r="AM233" i="16"/>
  <c r="AD231" i="16"/>
  <c r="AD221" i="16"/>
  <c r="AM221" i="16"/>
  <c r="AM218" i="16"/>
  <c r="AD214" i="16"/>
  <c r="AM201" i="16"/>
  <c r="AD199" i="16"/>
  <c r="AD182" i="16"/>
  <c r="AM182" i="16"/>
  <c r="AD166" i="16"/>
  <c r="AM166" i="16"/>
  <c r="AD150" i="16"/>
  <c r="AM150" i="16"/>
  <c r="AM140" i="16"/>
  <c r="AD129" i="16"/>
  <c r="AM124" i="16"/>
  <c r="AD293" i="16"/>
  <c r="AM293" i="16"/>
  <c r="AM284" i="16"/>
  <c r="AM252" i="16"/>
  <c r="AD229" i="16"/>
  <c r="AM229" i="16"/>
  <c r="AM280" i="16"/>
  <c r="AM216" i="16"/>
  <c r="AD94" i="16"/>
  <c r="AM94" i="16"/>
  <c r="AD89" i="16"/>
  <c r="AM89" i="16"/>
  <c r="AD62" i="16"/>
  <c r="AM62" i="16"/>
  <c r="AD57" i="16"/>
  <c r="AM57" i="16"/>
  <c r="AD46" i="16"/>
  <c r="AM46" i="16"/>
  <c r="AD41" i="16"/>
  <c r="AM41" i="16"/>
  <c r="AD30" i="16"/>
  <c r="AM30" i="16"/>
  <c r="AD261" i="16"/>
  <c r="AM261" i="16"/>
  <c r="AD197" i="16"/>
  <c r="AM197" i="16"/>
  <c r="AM248" i="16"/>
  <c r="AD110" i="16"/>
  <c r="AM110" i="16"/>
  <c r="AD73" i="16"/>
  <c r="AM73" i="16"/>
  <c r="AD25" i="16"/>
  <c r="AM25" i="16"/>
  <c r="AM292" i="16"/>
  <c r="AD279" i="16"/>
  <c r="AM266" i="16"/>
  <c r="AM234" i="16"/>
  <c r="AM217" i="16"/>
  <c r="AD215" i="16"/>
  <c r="AD205" i="16"/>
  <c r="AM205" i="16"/>
  <c r="AM202" i="16"/>
  <c r="AD198" i="16"/>
  <c r="AM190" i="16"/>
  <c r="AD190" i="16"/>
  <c r="AD185" i="16"/>
  <c r="AM185" i="16"/>
  <c r="AM174" i="16"/>
  <c r="AD174" i="16"/>
  <c r="AD158" i="16"/>
  <c r="AM158" i="16"/>
  <c r="AD137" i="16"/>
  <c r="AM132" i="16"/>
  <c r="AD121" i="16"/>
  <c r="AD142" i="16"/>
  <c r="AM142" i="16"/>
  <c r="AD126" i="16"/>
  <c r="AM126" i="16"/>
  <c r="AD105" i="16"/>
  <c r="AM105" i="16"/>
  <c r="AD78" i="16"/>
  <c r="AM78" i="16"/>
  <c r="AD294" i="16"/>
  <c r="AM281" i="16"/>
  <c r="AD269" i="16"/>
  <c r="AM269" i="16"/>
  <c r="AD262" i="16"/>
  <c r="AM249" i="16"/>
  <c r="AD247" i="16"/>
  <c r="AD237" i="16"/>
  <c r="AM237" i="16"/>
  <c r="AD230" i="16"/>
  <c r="AM288" i="16"/>
  <c r="AM256" i="16"/>
  <c r="AM224" i="16"/>
  <c r="AD169" i="16"/>
  <c r="AM164" i="16"/>
  <c r="AD153" i="16"/>
  <c r="AM148" i="16"/>
  <c r="AD287" i="16"/>
  <c r="AD277" i="16"/>
  <c r="AM277" i="16"/>
  <c r="AD238" i="16"/>
  <c r="AD245" i="16"/>
  <c r="AM245" i="16"/>
  <c r="AD213" i="16"/>
  <c r="AM213" i="16"/>
  <c r="AD191" i="16"/>
  <c r="AD175" i="16"/>
  <c r="AM296" i="16"/>
  <c r="AM232" i="16"/>
  <c r="AM200" i="16"/>
  <c r="AD102" i="16"/>
  <c r="AM102" i="16"/>
  <c r="AD86" i="16"/>
  <c r="AM86" i="16"/>
  <c r="AD81" i="16"/>
  <c r="AM81" i="16"/>
  <c r="AD70" i="16"/>
  <c r="AM70" i="16"/>
  <c r="AD65" i="16"/>
  <c r="AM65" i="16"/>
  <c r="AD54" i="16"/>
  <c r="AM54" i="16"/>
  <c r="AD49" i="16"/>
  <c r="AM49" i="16"/>
  <c r="AD38" i="16"/>
  <c r="AM38" i="16"/>
  <c r="AD33" i="16"/>
  <c r="AM33" i="16"/>
  <c r="AD22" i="16"/>
  <c r="AM22" i="16"/>
  <c r="AD17" i="16"/>
  <c r="AM17" i="16"/>
  <c r="AM189" i="16"/>
  <c r="AM181" i="16"/>
  <c r="AM173" i="16"/>
  <c r="AM165" i="16"/>
  <c r="AM157" i="16"/>
  <c r="AM149" i="16"/>
  <c r="AM141" i="16"/>
  <c r="AM133" i="16"/>
  <c r="AM125" i="16"/>
  <c r="AM117" i="16"/>
  <c r="AM109" i="16"/>
  <c r="AM101" i="16"/>
  <c r="AM93" i="16"/>
  <c r="AM85" i="16"/>
  <c r="AM77" i="16"/>
  <c r="AM69" i="16"/>
  <c r="AM61" i="16"/>
  <c r="AM53" i="16"/>
  <c r="AM45" i="16"/>
  <c r="AM37" i="16"/>
  <c r="AM29" i="16"/>
  <c r="AM21" i="16"/>
  <c r="AM13" i="16"/>
  <c r="AM14" i="16"/>
  <c r="AM9" i="16"/>
  <c r="AN9" i="16"/>
  <c r="AO9" i="16"/>
  <c r="AP9" i="16"/>
  <c r="AQ9" i="16"/>
  <c r="AR9" i="16"/>
  <c r="AS9" i="16"/>
  <c r="AT9" i="16"/>
  <c r="AU9" i="16"/>
  <c r="AN10" i="16"/>
  <c r="AO10" i="16"/>
  <c r="AP10" i="16"/>
  <c r="AQ10" i="16"/>
  <c r="AR10" i="16"/>
  <c r="AS10" i="16"/>
  <c r="AT10" i="16"/>
  <c r="AU10" i="16"/>
  <c r="AN11" i="16"/>
  <c r="AO11" i="16"/>
  <c r="AQ11" i="16"/>
  <c r="AR11" i="16"/>
  <c r="AS11" i="16"/>
  <c r="AT11" i="16"/>
  <c r="AU11" i="16"/>
  <c r="AN12" i="16"/>
  <c r="AO12" i="16"/>
  <c r="AP12" i="16"/>
  <c r="AQ12" i="16"/>
  <c r="AR12" i="16"/>
  <c r="AS12" i="16"/>
  <c r="AT12" i="16"/>
  <c r="AU12" i="16"/>
  <c r="AS13" i="16"/>
  <c r="AN13" i="16"/>
  <c r="AO13" i="16"/>
  <c r="AP13" i="16"/>
  <c r="AQ13" i="16"/>
  <c r="AR13" i="16"/>
  <c r="AT13" i="16"/>
  <c r="AU13" i="16"/>
  <c r="AN14" i="16"/>
  <c r="AO14" i="16"/>
  <c r="AP14" i="16"/>
  <c r="AQ14" i="16"/>
  <c r="AR14" i="16"/>
  <c r="AS14" i="16"/>
  <c r="AT14" i="16"/>
  <c r="AU14" i="16"/>
  <c r="AN15" i="16"/>
  <c r="AO15" i="16"/>
  <c r="AP15" i="16"/>
  <c r="AQ15" i="16"/>
  <c r="AR15" i="16"/>
  <c r="AS15" i="16"/>
  <c r="AT15" i="16"/>
  <c r="AU15" i="16"/>
  <c r="AN16" i="16"/>
  <c r="AO16" i="16"/>
  <c r="AP16" i="16"/>
  <c r="AQ16" i="16"/>
  <c r="AR16" i="16"/>
  <c r="AS16" i="16"/>
  <c r="AT16" i="16"/>
  <c r="AU16" i="16"/>
  <c r="AS17" i="16"/>
  <c r="AN17" i="16"/>
  <c r="AO17" i="16"/>
  <c r="AP17" i="16"/>
  <c r="AQ17" i="16"/>
  <c r="AR17" i="16"/>
  <c r="AT17" i="16"/>
  <c r="AU17" i="16"/>
  <c r="AN18" i="16"/>
  <c r="AO18" i="16"/>
  <c r="AP18" i="16"/>
  <c r="AQ18" i="16"/>
  <c r="AR18" i="16"/>
  <c r="AS18" i="16"/>
  <c r="AT18" i="16"/>
  <c r="AU18" i="16"/>
  <c r="AN19" i="16"/>
  <c r="AO19" i="16"/>
  <c r="AP19" i="16"/>
  <c r="AQ19" i="16"/>
  <c r="AR19" i="16"/>
  <c r="AS19" i="16"/>
  <c r="AT19" i="16"/>
  <c r="AU19" i="16"/>
  <c r="AN20" i="16"/>
  <c r="AO20" i="16"/>
  <c r="AP20" i="16"/>
  <c r="AQ20" i="16"/>
  <c r="AR20" i="16"/>
  <c r="AS20" i="16"/>
  <c r="AT20" i="16"/>
  <c r="AU20" i="16"/>
  <c r="AN21" i="16"/>
  <c r="AO21" i="16"/>
  <c r="AP21" i="16"/>
  <c r="AQ21" i="16"/>
  <c r="AR21" i="16"/>
  <c r="AS21" i="16"/>
  <c r="AT21" i="16"/>
  <c r="AU21" i="16"/>
  <c r="AN22" i="16"/>
  <c r="AO22" i="16"/>
  <c r="AP22" i="16"/>
  <c r="AQ22" i="16"/>
  <c r="AR22" i="16"/>
  <c r="AS22" i="16"/>
  <c r="AT22" i="16"/>
  <c r="AU22" i="16"/>
  <c r="AN23" i="16"/>
  <c r="AO23" i="16"/>
  <c r="AP23" i="16"/>
  <c r="AQ23" i="16"/>
  <c r="AR23" i="16"/>
  <c r="AS23" i="16"/>
  <c r="AT23" i="16"/>
  <c r="AU23" i="16"/>
  <c r="AN24" i="16"/>
  <c r="AO24" i="16"/>
  <c r="AP24" i="16"/>
  <c r="AQ24" i="16"/>
  <c r="AR24" i="16"/>
  <c r="AS24" i="16"/>
  <c r="AT24" i="16"/>
  <c r="AU24" i="16"/>
  <c r="AS25" i="16"/>
  <c r="AN25" i="16"/>
  <c r="AO25" i="16"/>
  <c r="AP25" i="16"/>
  <c r="AQ25" i="16"/>
  <c r="AR25" i="16"/>
  <c r="AT25" i="16"/>
  <c r="AU25" i="16"/>
  <c r="AN26" i="16"/>
  <c r="AO26" i="16"/>
  <c r="AP26" i="16"/>
  <c r="AQ26" i="16"/>
  <c r="AR26" i="16"/>
  <c r="AS26" i="16"/>
  <c r="AT26" i="16"/>
  <c r="AU26" i="16"/>
  <c r="AN27" i="16"/>
  <c r="AO27" i="16"/>
  <c r="AP27" i="16"/>
  <c r="AQ27" i="16"/>
  <c r="AR27" i="16"/>
  <c r="AS27" i="16"/>
  <c r="AT27" i="16"/>
  <c r="AU27" i="16"/>
  <c r="AS28" i="16"/>
  <c r="AN28" i="16"/>
  <c r="AO28" i="16"/>
  <c r="AP28" i="16"/>
  <c r="AQ28" i="16"/>
  <c r="AR28" i="16"/>
  <c r="AT28" i="16"/>
  <c r="AU28" i="16"/>
  <c r="AN29" i="16"/>
  <c r="AO29" i="16"/>
  <c r="AP29" i="16"/>
  <c r="AQ29" i="16"/>
  <c r="AR29" i="16"/>
  <c r="AS29" i="16"/>
  <c r="AT29" i="16"/>
  <c r="AU29" i="16"/>
  <c r="AN30" i="16"/>
  <c r="AO30" i="16"/>
  <c r="AP30" i="16"/>
  <c r="AQ30" i="16"/>
  <c r="AR30" i="16"/>
  <c r="AS30" i="16"/>
  <c r="AT30" i="16"/>
  <c r="AU30" i="16"/>
  <c r="AN31" i="16"/>
  <c r="AO31" i="16"/>
  <c r="AP31" i="16"/>
  <c r="AQ31" i="16"/>
  <c r="AR31" i="16"/>
  <c r="AS31" i="16"/>
  <c r="AT31" i="16"/>
  <c r="AU31" i="16"/>
  <c r="AN32" i="16"/>
  <c r="AO32" i="16"/>
  <c r="AP32" i="16"/>
  <c r="AQ32" i="16"/>
  <c r="AR32" i="16"/>
  <c r="AS32" i="16"/>
  <c r="AT32" i="16"/>
  <c r="AU32" i="16"/>
  <c r="AN33" i="16"/>
  <c r="AO33" i="16"/>
  <c r="AP33" i="16"/>
  <c r="AQ33" i="16"/>
  <c r="AR33" i="16"/>
  <c r="AS33" i="16"/>
  <c r="AT33" i="16"/>
  <c r="AU33" i="16"/>
  <c r="AN34" i="16"/>
  <c r="AO34" i="16"/>
  <c r="AP34" i="16"/>
  <c r="AQ34" i="16"/>
  <c r="AR34" i="16"/>
  <c r="AS34" i="16"/>
  <c r="AT34" i="16"/>
  <c r="AU34" i="16"/>
  <c r="AN35" i="16"/>
  <c r="AO35" i="16"/>
  <c r="AP35" i="16"/>
  <c r="AQ35" i="16"/>
  <c r="AR35" i="16"/>
  <c r="AS35" i="16"/>
  <c r="AT35" i="16"/>
  <c r="AU35" i="16"/>
  <c r="AN36" i="16"/>
  <c r="AO36" i="16"/>
  <c r="AP36" i="16"/>
  <c r="AQ36" i="16"/>
  <c r="AR36" i="16"/>
  <c r="AS36" i="16"/>
  <c r="AT36" i="16"/>
  <c r="AU36" i="16"/>
  <c r="QT28" i="16" l="1"/>
  <c r="AK28" i="16" s="1"/>
  <c r="QT68" i="16"/>
  <c r="AK68" i="16" s="1"/>
  <c r="IU29" i="16"/>
  <c r="AH29" i="16" s="1"/>
  <c r="GD56" i="16"/>
  <c r="AG56" i="16" s="1"/>
  <c r="AV193" i="16"/>
  <c r="AE193" i="16" s="1"/>
  <c r="TK77" i="16"/>
  <c r="AL77" i="16" s="1"/>
  <c r="QT149" i="16"/>
  <c r="AK149" i="16" s="1"/>
  <c r="OC178" i="16"/>
  <c r="AJ178" i="16" s="1"/>
  <c r="OC181" i="16"/>
  <c r="AJ181" i="16" s="1"/>
  <c r="LL200" i="16"/>
  <c r="OC176" i="16"/>
  <c r="AJ176" i="16" s="1"/>
  <c r="QT192" i="16"/>
  <c r="AK192" i="16" s="1"/>
  <c r="QT111" i="16"/>
  <c r="AK111" i="16" s="1"/>
  <c r="QT100" i="16"/>
  <c r="AK100" i="16" s="1"/>
  <c r="QT147" i="16"/>
  <c r="AK147" i="16" s="1"/>
  <c r="QT163" i="16"/>
  <c r="AK163" i="16" s="1"/>
  <c r="GD75" i="16"/>
  <c r="AG75" i="16" s="1"/>
  <c r="DM87" i="16"/>
  <c r="AF87" i="16" s="1"/>
  <c r="OC127" i="16"/>
  <c r="AJ127" i="16" s="1"/>
  <c r="OC179" i="16"/>
  <c r="AJ179" i="16" s="1"/>
  <c r="GD115" i="16"/>
  <c r="AG115" i="16" s="1"/>
  <c r="AV173" i="16"/>
  <c r="AE173" i="16" s="1"/>
  <c r="OC80" i="16"/>
  <c r="AJ80" i="16" s="1"/>
  <c r="LL160" i="16"/>
  <c r="IU168" i="16"/>
  <c r="AH168" i="16" s="1"/>
  <c r="DM28" i="16"/>
  <c r="AF28" i="16" s="1"/>
  <c r="DM68" i="16"/>
  <c r="AF68" i="16" s="1"/>
  <c r="DM56" i="16"/>
  <c r="AF56" i="16" s="1"/>
  <c r="AV77" i="16"/>
  <c r="AE77" i="16" s="1"/>
  <c r="OC155" i="16"/>
  <c r="AJ155" i="16" s="1"/>
  <c r="QT178" i="16"/>
  <c r="AK178" i="16" s="1"/>
  <c r="QT181" i="16"/>
  <c r="AK181" i="16" s="1"/>
  <c r="OC200" i="16"/>
  <c r="AJ200" i="16" s="1"/>
  <c r="QT176" i="16"/>
  <c r="AK176" i="16" s="1"/>
  <c r="TK192" i="16"/>
  <c r="AL192" i="16" s="1"/>
  <c r="TK111" i="16"/>
  <c r="AL111" i="16" s="1"/>
  <c r="TK100" i="16"/>
  <c r="AL100" i="16" s="1"/>
  <c r="TK147" i="16"/>
  <c r="AL147" i="16" s="1"/>
  <c r="TK163" i="16"/>
  <c r="AL163" i="16" s="1"/>
  <c r="IU75" i="16"/>
  <c r="AH75" i="16" s="1"/>
  <c r="GD87" i="16"/>
  <c r="AG87" i="16" s="1"/>
  <c r="AV127" i="16"/>
  <c r="AE127" i="16" s="1"/>
  <c r="QT179" i="16"/>
  <c r="AK179" i="16" s="1"/>
  <c r="IU115" i="16"/>
  <c r="AH115" i="16" s="1"/>
  <c r="DM173" i="16"/>
  <c r="AF173" i="16" s="1"/>
  <c r="QT80" i="16"/>
  <c r="AK80" i="16" s="1"/>
  <c r="OC160" i="16"/>
  <c r="AJ160" i="16" s="1"/>
  <c r="LL168" i="16"/>
  <c r="DM42" i="16"/>
  <c r="AF42" i="16" s="1"/>
  <c r="AV56" i="16"/>
  <c r="AE56" i="16" s="1"/>
  <c r="OC165" i="16"/>
  <c r="AJ165" i="16" s="1"/>
  <c r="QT200" i="16"/>
  <c r="AK200" i="16" s="1"/>
  <c r="TK106" i="16"/>
  <c r="AL106" i="16" s="1"/>
  <c r="AV111" i="16"/>
  <c r="AE111" i="16" s="1"/>
  <c r="GD120" i="16"/>
  <c r="AG120" i="16" s="1"/>
  <c r="DM100" i="16"/>
  <c r="AF100" i="16" s="1"/>
  <c r="AV147" i="16"/>
  <c r="AE147" i="16" s="1"/>
  <c r="AV163" i="16"/>
  <c r="AE163" i="16" s="1"/>
  <c r="QT87" i="16"/>
  <c r="AK87" i="16" s="1"/>
  <c r="DM127" i="16"/>
  <c r="AF127" i="16" s="1"/>
  <c r="LL115" i="16"/>
  <c r="IU173" i="16"/>
  <c r="AH173" i="16" s="1"/>
  <c r="TK80" i="16"/>
  <c r="AL80" i="16" s="1"/>
  <c r="QT160" i="16"/>
  <c r="AK160" i="16" s="1"/>
  <c r="OC168" i="16"/>
  <c r="AJ168" i="16" s="1"/>
  <c r="TK200" i="16"/>
  <c r="AL200" i="16" s="1"/>
  <c r="IU111" i="16"/>
  <c r="AH111" i="16" s="1"/>
  <c r="GD127" i="16"/>
  <c r="AG127" i="16" s="1"/>
  <c r="IU42" i="16"/>
  <c r="AH42" i="16" s="1"/>
  <c r="LL56" i="16"/>
  <c r="AV200" i="16"/>
  <c r="AE200" i="16" s="1"/>
  <c r="DM111" i="16"/>
  <c r="AF111" i="16" s="1"/>
  <c r="IU100" i="16"/>
  <c r="AH100" i="16" s="1"/>
  <c r="GD147" i="16"/>
  <c r="AG147" i="16" s="1"/>
  <c r="IU127" i="16"/>
  <c r="AH127" i="16" s="1"/>
  <c r="QT115" i="16"/>
  <c r="AK115" i="16" s="1"/>
  <c r="DM80" i="16"/>
  <c r="AF80" i="16" s="1"/>
  <c r="AV160" i="16"/>
  <c r="AE160" i="16" s="1"/>
  <c r="TK168" i="16"/>
  <c r="AL168" i="16" s="1"/>
  <c r="DM200" i="16"/>
  <c r="AF200" i="16" s="1"/>
  <c r="GD111" i="16"/>
  <c r="AG111" i="16" s="1"/>
  <c r="QT127" i="16"/>
  <c r="AK127" i="16" s="1"/>
  <c r="AV149" i="16"/>
  <c r="AE149" i="16" s="1"/>
  <c r="GD122" i="16"/>
  <c r="AG122" i="16" s="1"/>
  <c r="DM219" i="16"/>
  <c r="AF219" i="16" s="1"/>
  <c r="LL189" i="16"/>
  <c r="TK83" i="16"/>
  <c r="AL83" i="16" s="1"/>
  <c r="LL216" i="16"/>
  <c r="LL157" i="16"/>
  <c r="GD103" i="16"/>
  <c r="AG103" i="16" s="1"/>
  <c r="DM184" i="16"/>
  <c r="AF184" i="16" s="1"/>
  <c r="LL122" i="16"/>
  <c r="GD219" i="16"/>
  <c r="AG219" i="16" s="1"/>
  <c r="DM189" i="16"/>
  <c r="AF189" i="16" s="1"/>
  <c r="AV83" i="16"/>
  <c r="AE83" i="16" s="1"/>
  <c r="OC216" i="16"/>
  <c r="AJ216" i="16" s="1"/>
  <c r="OC157" i="16"/>
  <c r="AJ157" i="16" s="1"/>
  <c r="IU103" i="16"/>
  <c r="AH103" i="16" s="1"/>
  <c r="GD184" i="16"/>
  <c r="AG184" i="16" s="1"/>
  <c r="OC122" i="16"/>
  <c r="AJ122" i="16" s="1"/>
  <c r="IU219" i="16"/>
  <c r="AH219" i="16" s="1"/>
  <c r="GD189" i="16"/>
  <c r="AG189" i="16" s="1"/>
  <c r="DM83" i="16"/>
  <c r="AF83" i="16" s="1"/>
  <c r="QT216" i="16"/>
  <c r="AK216" i="16" s="1"/>
  <c r="QT157" i="16"/>
  <c r="AK157" i="16" s="1"/>
  <c r="LL103" i="16"/>
  <c r="LL184" i="16"/>
  <c r="QT122" i="16"/>
  <c r="AK122" i="16" s="1"/>
  <c r="LL219" i="16"/>
  <c r="IU189" i="16"/>
  <c r="AH189" i="16" s="1"/>
  <c r="GD83" i="16"/>
  <c r="AG83" i="16" s="1"/>
  <c r="DM216" i="16"/>
  <c r="AF216" i="16" s="1"/>
  <c r="TK157" i="16"/>
  <c r="AL157" i="16" s="1"/>
  <c r="OC103" i="16"/>
  <c r="AJ103" i="16" s="1"/>
  <c r="OC184" i="16"/>
  <c r="AJ184" i="16" s="1"/>
  <c r="TK122" i="16"/>
  <c r="AL122" i="16" s="1"/>
  <c r="OC219" i="16"/>
  <c r="AJ219" i="16" s="1"/>
  <c r="OC189" i="16"/>
  <c r="AJ189" i="16" s="1"/>
  <c r="IU83" i="16"/>
  <c r="AH83" i="16" s="1"/>
  <c r="AV216" i="16"/>
  <c r="AE216" i="16" s="1"/>
  <c r="AV157" i="16"/>
  <c r="AE157" i="16" s="1"/>
  <c r="QT103" i="16"/>
  <c r="AK103" i="16" s="1"/>
  <c r="QT184" i="16"/>
  <c r="AK184" i="16" s="1"/>
  <c r="TK103" i="16"/>
  <c r="AL103" i="16" s="1"/>
  <c r="AV184" i="16"/>
  <c r="AE184" i="16" s="1"/>
  <c r="QT29" i="16"/>
  <c r="AK29" i="16" s="1"/>
  <c r="DM29" i="16"/>
  <c r="AF29" i="16" s="1"/>
  <c r="AV29" i="16"/>
  <c r="AE29" i="16" s="1"/>
  <c r="OC29" i="16"/>
  <c r="AJ29" i="16" s="1"/>
  <c r="GD29" i="16"/>
  <c r="AG29" i="16" s="1"/>
  <c r="TK29" i="16"/>
  <c r="AL29" i="16" s="1"/>
  <c r="DM106" i="16"/>
  <c r="AF106" i="16" s="1"/>
  <c r="IU120" i="16"/>
  <c r="AH120" i="16" s="1"/>
  <c r="TK120" i="16"/>
  <c r="AL120" i="16" s="1"/>
  <c r="AV74" i="16"/>
  <c r="AE74" i="16" s="1"/>
  <c r="GD106" i="16"/>
  <c r="AG106" i="16" s="1"/>
  <c r="LL120" i="16"/>
  <c r="GD112" i="16"/>
  <c r="AG112" i="16" s="1"/>
  <c r="IU106" i="16"/>
  <c r="AH106" i="16" s="1"/>
  <c r="OC120" i="16"/>
  <c r="AJ120" i="16" s="1"/>
  <c r="LL106" i="16"/>
  <c r="QT120" i="16"/>
  <c r="AK120" i="16" s="1"/>
  <c r="AV106" i="16"/>
  <c r="AE106" i="16" s="1"/>
  <c r="OC106" i="16"/>
  <c r="AJ106" i="16" s="1"/>
  <c r="AV120" i="16"/>
  <c r="AE120" i="16" s="1"/>
  <c r="OC112" i="16"/>
  <c r="AJ112" i="16" s="1"/>
  <c r="LL282" i="16"/>
  <c r="QT282" i="16"/>
  <c r="AK282" i="16" s="1"/>
  <c r="LL250" i="16"/>
  <c r="AV282" i="16"/>
  <c r="AE282" i="16" s="1"/>
  <c r="DM282" i="16"/>
  <c r="AF282" i="16" s="1"/>
  <c r="IU282" i="16"/>
  <c r="AH282" i="16" s="1"/>
  <c r="OC282" i="16"/>
  <c r="AJ282" i="16" s="1"/>
  <c r="GD249" i="16"/>
  <c r="AG249" i="16" s="1"/>
  <c r="GD272" i="16"/>
  <c r="AG272" i="16" s="1"/>
  <c r="GD258" i="16"/>
  <c r="AG258" i="16" s="1"/>
  <c r="DM272" i="16"/>
  <c r="AF272" i="16" s="1"/>
  <c r="IU258" i="16"/>
  <c r="AH258" i="16" s="1"/>
  <c r="OC274" i="16"/>
  <c r="AJ274" i="16" s="1"/>
  <c r="TK274" i="16"/>
  <c r="AL274" i="16" s="1"/>
  <c r="GD275" i="16"/>
  <c r="AG275" i="16" s="1"/>
  <c r="AV272" i="16"/>
  <c r="AE272" i="16" s="1"/>
  <c r="QT272" i="16"/>
  <c r="AK272" i="16" s="1"/>
  <c r="GD267" i="16"/>
  <c r="AG267" i="16" s="1"/>
  <c r="LL252" i="16"/>
  <c r="IU267" i="16"/>
  <c r="AH267" i="16" s="1"/>
  <c r="QT281" i="16"/>
  <c r="AK281" i="16" s="1"/>
  <c r="AV256" i="16"/>
  <c r="AE256" i="16" s="1"/>
  <c r="OC250" i="16"/>
  <c r="AJ250" i="16" s="1"/>
  <c r="GD256" i="16"/>
  <c r="AG256" i="16" s="1"/>
  <c r="AV250" i="16"/>
  <c r="AE250" i="16" s="1"/>
  <c r="IU250" i="16"/>
  <c r="AH250" i="16" s="1"/>
  <c r="IU272" i="16"/>
  <c r="AH272" i="16" s="1"/>
  <c r="OC258" i="16"/>
  <c r="AJ258" i="16" s="1"/>
  <c r="AV259" i="16"/>
  <c r="AE259" i="16" s="1"/>
  <c r="OC272" i="16"/>
  <c r="AJ272" i="16" s="1"/>
  <c r="IU252" i="16"/>
  <c r="AH252" i="16" s="1"/>
  <c r="QT258" i="16"/>
  <c r="AK258" i="16" s="1"/>
  <c r="DM259" i="16"/>
  <c r="AF259" i="16" s="1"/>
  <c r="TK258" i="16"/>
  <c r="AL258" i="16" s="1"/>
  <c r="OC259" i="16"/>
  <c r="AJ259" i="16" s="1"/>
  <c r="TK272" i="16"/>
  <c r="AL272" i="16" s="1"/>
  <c r="AV258" i="16"/>
  <c r="AE258" i="16" s="1"/>
  <c r="QT259" i="16"/>
  <c r="AK259" i="16" s="1"/>
  <c r="DM258" i="16"/>
  <c r="AF258" i="16" s="1"/>
  <c r="TK259" i="16"/>
  <c r="AL259" i="16" s="1"/>
  <c r="DM251" i="16"/>
  <c r="AF251" i="16" s="1"/>
  <c r="QT250" i="16"/>
  <c r="AK250" i="16" s="1"/>
  <c r="TK252" i="16"/>
  <c r="AL252" i="16" s="1"/>
  <c r="GD259" i="16"/>
  <c r="AG259" i="16" s="1"/>
  <c r="QT252" i="16"/>
  <c r="AK252" i="16" s="1"/>
  <c r="OC264" i="16"/>
  <c r="AJ264" i="16" s="1"/>
  <c r="GD251" i="16"/>
  <c r="AG251" i="16" s="1"/>
  <c r="TK250" i="16"/>
  <c r="AL250" i="16" s="1"/>
  <c r="GD252" i="16"/>
  <c r="AG252" i="16" s="1"/>
  <c r="IU259" i="16"/>
  <c r="AH259" i="16" s="1"/>
  <c r="LL251" i="16"/>
  <c r="AV252" i="16"/>
  <c r="AE252" i="16" s="1"/>
  <c r="DM252" i="16"/>
  <c r="AF252" i="16" s="1"/>
  <c r="IU281" i="16"/>
  <c r="AH281" i="16" s="1"/>
  <c r="DM281" i="16"/>
  <c r="AF281" i="16" s="1"/>
  <c r="AV281" i="16"/>
  <c r="AE281" i="16" s="1"/>
  <c r="AV288" i="16"/>
  <c r="AE288" i="16" s="1"/>
  <c r="OC281" i="16"/>
  <c r="AJ281" i="16" s="1"/>
  <c r="GD281" i="16"/>
  <c r="AG281" i="16" s="1"/>
  <c r="TK281" i="16"/>
  <c r="AL281" i="16" s="1"/>
  <c r="TK267" i="16"/>
  <c r="AL267" i="16" s="1"/>
  <c r="GD265" i="16"/>
  <c r="AG265" i="16" s="1"/>
  <c r="TK265" i="16"/>
  <c r="AL265" i="16" s="1"/>
  <c r="QT267" i="16"/>
  <c r="AK267" i="16" s="1"/>
  <c r="OC265" i="16"/>
  <c r="AJ265" i="16" s="1"/>
  <c r="AV267" i="16"/>
  <c r="AE267" i="16" s="1"/>
  <c r="OC267" i="16"/>
  <c r="AJ267" i="16" s="1"/>
  <c r="DM267" i="16"/>
  <c r="AF267" i="16" s="1"/>
  <c r="IU249" i="16"/>
  <c r="AH249" i="16" s="1"/>
  <c r="OC249" i="16"/>
  <c r="AJ249" i="16" s="1"/>
  <c r="QT249" i="16"/>
  <c r="AK249" i="16" s="1"/>
  <c r="TK249" i="16"/>
  <c r="AL249" i="16" s="1"/>
  <c r="AV249" i="16"/>
  <c r="AE249" i="16" s="1"/>
  <c r="LL249" i="16"/>
  <c r="AV8" i="16"/>
  <c r="AE8" i="16" s="1"/>
  <c r="DM8" i="16"/>
  <c r="AF8" i="16" s="1"/>
  <c r="QT8" i="16"/>
  <c r="AK8" i="16" s="1"/>
  <c r="TK8" i="16"/>
  <c r="AL8" i="16" s="1"/>
  <c r="LL8" i="16"/>
  <c r="IU8" i="16"/>
  <c r="AH8" i="16" s="1"/>
  <c r="OC8" i="16"/>
  <c r="AJ8" i="16" s="1"/>
  <c r="TK18" i="16"/>
  <c r="AL18" i="16" s="1"/>
  <c r="GD13" i="16"/>
  <c r="AG13" i="16" s="1"/>
  <c r="TK16" i="16"/>
  <c r="AL16" i="16" s="1"/>
  <c r="AV16" i="16"/>
  <c r="AE16" i="16" s="1"/>
  <c r="QT16" i="16"/>
  <c r="AK16" i="16" s="1"/>
  <c r="QT11" i="16"/>
  <c r="AK11" i="16" s="1"/>
  <c r="IU11" i="16"/>
  <c r="AH11" i="16" s="1"/>
  <c r="OC13" i="16"/>
  <c r="AJ13" i="16" s="1"/>
  <c r="LL13" i="16"/>
  <c r="QT13" i="16"/>
  <c r="AK13" i="16" s="1"/>
  <c r="IU13" i="16"/>
  <c r="AH13" i="16" s="1"/>
  <c r="AV13" i="16"/>
  <c r="AE13" i="16" s="1"/>
  <c r="OC11" i="16"/>
  <c r="AJ11" i="16" s="1"/>
  <c r="GD11" i="16"/>
  <c r="AG11" i="16" s="1"/>
  <c r="TK11" i="16"/>
  <c r="AL11" i="16" s="1"/>
  <c r="LL11" i="16"/>
  <c r="DM11" i="16"/>
  <c r="AF11" i="16" s="1"/>
  <c r="IU34" i="16"/>
  <c r="AH34" i="16" s="1"/>
  <c r="GD243" i="16"/>
  <c r="AG243" i="16" s="1"/>
  <c r="TK152" i="16"/>
  <c r="AL152" i="16" s="1"/>
  <c r="AV18" i="16"/>
  <c r="AE18" i="16" s="1"/>
  <c r="OC34" i="16"/>
  <c r="AJ34" i="16" s="1"/>
  <c r="QT42" i="16"/>
  <c r="AK42" i="16" s="1"/>
  <c r="LL275" i="16"/>
  <c r="OC288" i="16"/>
  <c r="AJ288" i="16" s="1"/>
  <c r="LL16" i="16"/>
  <c r="OC164" i="16"/>
  <c r="AJ164" i="16" s="1"/>
  <c r="LL196" i="16"/>
  <c r="IU251" i="16"/>
  <c r="AH251" i="16" s="1"/>
  <c r="GD74" i="16"/>
  <c r="AG74" i="16" s="1"/>
  <c r="TK149" i="16"/>
  <c r="AL149" i="16" s="1"/>
  <c r="TK155" i="16"/>
  <c r="AL155" i="16" s="1"/>
  <c r="TK165" i="16"/>
  <c r="AL165" i="16" s="1"/>
  <c r="GD234" i="16"/>
  <c r="AG234" i="16" s="1"/>
  <c r="DM90" i="16"/>
  <c r="AF90" i="16" s="1"/>
  <c r="IU243" i="16"/>
  <c r="AH243" i="16" s="1"/>
  <c r="GD173" i="16"/>
  <c r="AG173" i="16" s="1"/>
  <c r="GD202" i="16"/>
  <c r="AG202" i="16" s="1"/>
  <c r="DM152" i="16"/>
  <c r="AF152" i="16" s="1"/>
  <c r="DM74" i="16"/>
  <c r="AF74" i="16" s="1"/>
  <c r="QT155" i="16"/>
  <c r="AK155" i="16" s="1"/>
  <c r="GD288" i="16"/>
  <c r="AG288" i="16" s="1"/>
  <c r="AV165" i="16"/>
  <c r="AE165" i="16" s="1"/>
  <c r="QT18" i="16"/>
  <c r="AK18" i="16" s="1"/>
  <c r="TK34" i="16"/>
  <c r="AL34" i="16" s="1"/>
  <c r="AV283" i="16"/>
  <c r="AE283" i="16" s="1"/>
  <c r="OC42" i="16"/>
  <c r="AJ42" i="16" s="1"/>
  <c r="TK14" i="16"/>
  <c r="AL14" i="16" s="1"/>
  <c r="IU275" i="16"/>
  <c r="AH275" i="16" s="1"/>
  <c r="TK288" i="16"/>
  <c r="AL288" i="16" s="1"/>
  <c r="IU16" i="16"/>
  <c r="AH16" i="16" s="1"/>
  <c r="TK164" i="16"/>
  <c r="AL164" i="16" s="1"/>
  <c r="OC196" i="16"/>
  <c r="AJ196" i="16" s="1"/>
  <c r="OC251" i="16"/>
  <c r="AJ251" i="16" s="1"/>
  <c r="LL74" i="16"/>
  <c r="IU149" i="16"/>
  <c r="AH149" i="16" s="1"/>
  <c r="DM155" i="16"/>
  <c r="AF155" i="16" s="1"/>
  <c r="DM165" i="16"/>
  <c r="AF165" i="16" s="1"/>
  <c r="LL234" i="16"/>
  <c r="LL90" i="16"/>
  <c r="OC243" i="16"/>
  <c r="AJ243" i="16" s="1"/>
  <c r="LL173" i="16"/>
  <c r="LL202" i="16"/>
  <c r="IU152" i="16"/>
  <c r="AH152" i="16" s="1"/>
  <c r="LL18" i="16"/>
  <c r="TK275" i="16"/>
  <c r="AL275" i="16" s="1"/>
  <c r="QT165" i="16"/>
  <c r="AK165" i="16" s="1"/>
  <c r="DM234" i="16"/>
  <c r="AF234" i="16" s="1"/>
  <c r="IU74" i="16"/>
  <c r="AH74" i="16" s="1"/>
  <c r="AV155" i="16"/>
  <c r="AE155" i="16" s="1"/>
  <c r="IU234" i="16"/>
  <c r="AH234" i="16" s="1"/>
  <c r="LL243" i="16"/>
  <c r="IU18" i="16"/>
  <c r="AH18" i="16" s="1"/>
  <c r="LL34" i="16"/>
  <c r="DM21" i="16"/>
  <c r="AF21" i="16" s="1"/>
  <c r="GD42" i="16"/>
  <c r="AG42" i="16" s="1"/>
  <c r="TK47" i="16"/>
  <c r="AL47" i="16" s="1"/>
  <c r="OC275" i="16"/>
  <c r="AJ275" i="16" s="1"/>
  <c r="LL288" i="16"/>
  <c r="OC16" i="16"/>
  <c r="AJ16" i="16" s="1"/>
  <c r="AV164" i="16"/>
  <c r="AE164" i="16" s="1"/>
  <c r="QT196" i="16"/>
  <c r="AK196" i="16" s="1"/>
  <c r="QT251" i="16"/>
  <c r="AK251" i="16" s="1"/>
  <c r="OC74" i="16"/>
  <c r="AJ74" i="16" s="1"/>
  <c r="DM149" i="16"/>
  <c r="AF149" i="16" s="1"/>
  <c r="GD155" i="16"/>
  <c r="AG155" i="16" s="1"/>
  <c r="GD165" i="16"/>
  <c r="AG165" i="16" s="1"/>
  <c r="OC234" i="16"/>
  <c r="AJ234" i="16" s="1"/>
  <c r="OC90" i="16"/>
  <c r="AJ90" i="16" s="1"/>
  <c r="QT243" i="16"/>
  <c r="AK243" i="16" s="1"/>
  <c r="OC173" i="16"/>
  <c r="AJ173" i="16" s="1"/>
  <c r="OC202" i="16"/>
  <c r="AJ202" i="16" s="1"/>
  <c r="LL152" i="16"/>
  <c r="IU288" i="16"/>
  <c r="AH288" i="16" s="1"/>
  <c r="DM18" i="16"/>
  <c r="AF18" i="16" s="1"/>
  <c r="GD34" i="16"/>
  <c r="AG34" i="16" s="1"/>
  <c r="GD152" i="16"/>
  <c r="AG152" i="16" s="1"/>
  <c r="OC18" i="16"/>
  <c r="AJ18" i="16" s="1"/>
  <c r="DM34" i="16"/>
  <c r="AF34" i="16" s="1"/>
  <c r="TK42" i="16"/>
  <c r="AL42" i="16" s="1"/>
  <c r="AV275" i="16"/>
  <c r="AE275" i="16" s="1"/>
  <c r="QT288" i="16"/>
  <c r="AK288" i="16" s="1"/>
  <c r="GD16" i="16"/>
  <c r="AG16" i="16" s="1"/>
  <c r="DM164" i="16"/>
  <c r="AF164" i="16" s="1"/>
  <c r="TK196" i="16"/>
  <c r="AL196" i="16" s="1"/>
  <c r="TK251" i="16"/>
  <c r="AL251" i="16" s="1"/>
  <c r="QT74" i="16"/>
  <c r="AK74" i="16" s="1"/>
  <c r="GD149" i="16"/>
  <c r="AG149" i="16" s="1"/>
  <c r="IU155" i="16"/>
  <c r="AH155" i="16" s="1"/>
  <c r="IU165" i="16"/>
  <c r="AH165" i="16" s="1"/>
  <c r="QT234" i="16"/>
  <c r="AK234" i="16" s="1"/>
  <c r="QT90" i="16"/>
  <c r="AK90" i="16" s="1"/>
  <c r="TK243" i="16"/>
  <c r="AL243" i="16" s="1"/>
  <c r="QT173" i="16"/>
  <c r="AK173" i="16" s="1"/>
  <c r="QT202" i="16"/>
  <c r="AK202" i="16" s="1"/>
  <c r="OC152" i="16"/>
  <c r="AJ152" i="16" s="1"/>
  <c r="AV14" i="16"/>
  <c r="AE14" i="16" s="1"/>
  <c r="QT275" i="16"/>
  <c r="AK275" i="16" s="1"/>
  <c r="DM14" i="16"/>
  <c r="AF14" i="16" s="1"/>
  <c r="DM9" i="16"/>
  <c r="AF9" i="16" s="1"/>
  <c r="LL9" i="16"/>
  <c r="TK9" i="16"/>
  <c r="AL9" i="16" s="1"/>
  <c r="OC9" i="16"/>
  <c r="AJ9" i="16" s="1"/>
  <c r="GD9" i="16"/>
  <c r="AG9" i="16" s="1"/>
  <c r="AV9" i="16"/>
  <c r="AE9" i="16" s="1"/>
  <c r="IU9" i="16"/>
  <c r="GD264" i="16"/>
  <c r="AG264" i="16" s="1"/>
  <c r="IU264" i="16"/>
  <c r="AH264" i="16" s="1"/>
  <c r="LL264" i="16"/>
  <c r="TK264" i="16"/>
  <c r="AL264" i="16" s="1"/>
  <c r="AV264" i="16"/>
  <c r="AE264" i="16" s="1"/>
  <c r="QT264" i="16"/>
  <c r="AK264" i="16" s="1"/>
  <c r="LL14" i="16"/>
  <c r="QT14" i="16"/>
  <c r="AK14" i="16" s="1"/>
  <c r="IU14" i="16"/>
  <c r="AH14" i="16" s="1"/>
  <c r="OC14" i="16"/>
  <c r="AJ14" i="16" s="1"/>
  <c r="TK213" i="16"/>
  <c r="AL213" i="16" s="1"/>
  <c r="QT213" i="16"/>
  <c r="AK213" i="16" s="1"/>
  <c r="OC213" i="16"/>
  <c r="AJ213" i="16" s="1"/>
  <c r="LL213" i="16"/>
  <c r="IU213" i="16"/>
  <c r="AH213" i="16" s="1"/>
  <c r="GD213" i="16"/>
  <c r="AG213" i="16" s="1"/>
  <c r="DM213" i="16"/>
  <c r="AF213" i="16" s="1"/>
  <c r="AV213" i="16"/>
  <c r="AE213" i="16" s="1"/>
  <c r="TK121" i="16"/>
  <c r="AL121" i="16" s="1"/>
  <c r="QT121" i="16"/>
  <c r="AK121" i="16" s="1"/>
  <c r="OC121" i="16"/>
  <c r="AJ121" i="16" s="1"/>
  <c r="LL121" i="16"/>
  <c r="GD121" i="16"/>
  <c r="AG121" i="16" s="1"/>
  <c r="DM121" i="16"/>
  <c r="AF121" i="16" s="1"/>
  <c r="IU121" i="16"/>
  <c r="AH121" i="16" s="1"/>
  <c r="AV121" i="16"/>
  <c r="AE121" i="16" s="1"/>
  <c r="TK162" i="16"/>
  <c r="AL162" i="16" s="1"/>
  <c r="QT162" i="16"/>
  <c r="AK162" i="16" s="1"/>
  <c r="OC162" i="16"/>
  <c r="AJ162" i="16" s="1"/>
  <c r="LL162" i="16"/>
  <c r="IU162" i="16"/>
  <c r="AH162" i="16" s="1"/>
  <c r="GD162" i="16"/>
  <c r="AG162" i="16" s="1"/>
  <c r="DM162" i="16"/>
  <c r="AF162" i="16" s="1"/>
  <c r="AV162" i="16"/>
  <c r="AE162" i="16" s="1"/>
  <c r="TK195" i="16"/>
  <c r="AL195" i="16" s="1"/>
  <c r="QT195" i="16"/>
  <c r="AK195" i="16" s="1"/>
  <c r="OC195" i="16"/>
  <c r="AJ195" i="16" s="1"/>
  <c r="LL195" i="16"/>
  <c r="IU195" i="16"/>
  <c r="AH195" i="16" s="1"/>
  <c r="GD195" i="16"/>
  <c r="AG195" i="16" s="1"/>
  <c r="DM195" i="16"/>
  <c r="AF195" i="16" s="1"/>
  <c r="AV195" i="16"/>
  <c r="AE195" i="16" s="1"/>
  <c r="TK86" i="16"/>
  <c r="AL86" i="16" s="1"/>
  <c r="QT86" i="16"/>
  <c r="AK86" i="16" s="1"/>
  <c r="OC86" i="16"/>
  <c r="AJ86" i="16" s="1"/>
  <c r="LL86" i="16"/>
  <c r="GD86" i="16"/>
  <c r="AG86" i="16" s="1"/>
  <c r="DM86" i="16"/>
  <c r="AF86" i="16" s="1"/>
  <c r="IU86" i="16"/>
  <c r="AH86" i="16" s="1"/>
  <c r="AV86" i="16"/>
  <c r="AE86" i="16" s="1"/>
  <c r="TK142" i="16"/>
  <c r="AL142" i="16" s="1"/>
  <c r="QT142" i="16"/>
  <c r="AK142" i="16" s="1"/>
  <c r="OC142" i="16"/>
  <c r="AJ142" i="16" s="1"/>
  <c r="LL142" i="16"/>
  <c r="GD142" i="16"/>
  <c r="AG142" i="16" s="1"/>
  <c r="DM142" i="16"/>
  <c r="AF142" i="16" s="1"/>
  <c r="IU142" i="16"/>
  <c r="AH142" i="16" s="1"/>
  <c r="AV142" i="16"/>
  <c r="AE142" i="16" s="1"/>
  <c r="QT215" i="16"/>
  <c r="AK215" i="16" s="1"/>
  <c r="OC215" i="16"/>
  <c r="AJ215" i="16" s="1"/>
  <c r="LL215" i="16"/>
  <c r="TK215" i="16"/>
  <c r="AL215" i="16" s="1"/>
  <c r="IU215" i="16"/>
  <c r="AH215" i="16" s="1"/>
  <c r="GD215" i="16"/>
  <c r="AG215" i="16" s="1"/>
  <c r="DM215" i="16"/>
  <c r="AF215" i="16" s="1"/>
  <c r="AV215" i="16"/>
  <c r="AE215" i="16" s="1"/>
  <c r="TK261" i="16"/>
  <c r="AL261" i="16" s="1"/>
  <c r="QT261" i="16"/>
  <c r="AK261" i="16" s="1"/>
  <c r="OC261" i="16"/>
  <c r="AJ261" i="16" s="1"/>
  <c r="IU261" i="16"/>
  <c r="AH261" i="16" s="1"/>
  <c r="GD261" i="16"/>
  <c r="AG261" i="16" s="1"/>
  <c r="DM261" i="16"/>
  <c r="AF261" i="16" s="1"/>
  <c r="LL261" i="16"/>
  <c r="AV261" i="16"/>
  <c r="AE261" i="16" s="1"/>
  <c r="TK129" i="16"/>
  <c r="AL129" i="16" s="1"/>
  <c r="QT129" i="16"/>
  <c r="AK129" i="16" s="1"/>
  <c r="OC129" i="16"/>
  <c r="AJ129" i="16" s="1"/>
  <c r="LL129" i="16"/>
  <c r="IU129" i="16"/>
  <c r="AH129" i="16" s="1"/>
  <c r="GD129" i="16"/>
  <c r="AG129" i="16" s="1"/>
  <c r="DM129" i="16"/>
  <c r="AF129" i="16" s="1"/>
  <c r="AV129" i="16"/>
  <c r="AE129" i="16" s="1"/>
  <c r="TK199" i="16"/>
  <c r="AL199" i="16" s="1"/>
  <c r="QT199" i="16"/>
  <c r="AK199" i="16" s="1"/>
  <c r="OC199" i="16"/>
  <c r="AJ199" i="16" s="1"/>
  <c r="LL199" i="16"/>
  <c r="IU199" i="16"/>
  <c r="AH199" i="16" s="1"/>
  <c r="GD199" i="16"/>
  <c r="AG199" i="16" s="1"/>
  <c r="DM199" i="16"/>
  <c r="AF199" i="16" s="1"/>
  <c r="AV199" i="16"/>
  <c r="AE199" i="16" s="1"/>
  <c r="TK246" i="16"/>
  <c r="AL246" i="16" s="1"/>
  <c r="QT246" i="16"/>
  <c r="AK246" i="16" s="1"/>
  <c r="OC246" i="16"/>
  <c r="AJ246" i="16" s="1"/>
  <c r="IU246" i="16"/>
  <c r="AH246" i="16" s="1"/>
  <c r="GD246" i="16"/>
  <c r="AG246" i="16" s="1"/>
  <c r="LL246" i="16"/>
  <c r="DM246" i="16"/>
  <c r="AF246" i="16" s="1"/>
  <c r="AV246" i="16"/>
  <c r="AE246" i="16" s="1"/>
  <c r="QT255" i="16"/>
  <c r="AK255" i="16" s="1"/>
  <c r="OC255" i="16"/>
  <c r="AJ255" i="16" s="1"/>
  <c r="TK255" i="16"/>
  <c r="AL255" i="16" s="1"/>
  <c r="LL255" i="16"/>
  <c r="IU255" i="16"/>
  <c r="AH255" i="16" s="1"/>
  <c r="GD255" i="16"/>
  <c r="AG255" i="16" s="1"/>
  <c r="AV255" i="16"/>
  <c r="AE255" i="16" s="1"/>
  <c r="DM255" i="16"/>
  <c r="AF255" i="16" s="1"/>
  <c r="OC283" i="16"/>
  <c r="AJ283" i="16" s="1"/>
  <c r="IU21" i="16"/>
  <c r="AH21" i="16" s="1"/>
  <c r="GD47" i="16"/>
  <c r="AG47" i="16" s="1"/>
  <c r="TK79" i="16"/>
  <c r="AL79" i="16" s="1"/>
  <c r="QT79" i="16"/>
  <c r="AK79" i="16" s="1"/>
  <c r="OC79" i="16"/>
  <c r="AJ79" i="16" s="1"/>
  <c r="LL79" i="16"/>
  <c r="GD79" i="16"/>
  <c r="AG79" i="16" s="1"/>
  <c r="DM79" i="16"/>
  <c r="AF79" i="16" s="1"/>
  <c r="IU79" i="16"/>
  <c r="AH79" i="16" s="1"/>
  <c r="AV79" i="16"/>
  <c r="AE79" i="16" s="1"/>
  <c r="TK101" i="16"/>
  <c r="AL101" i="16" s="1"/>
  <c r="QT101" i="16"/>
  <c r="AK101" i="16" s="1"/>
  <c r="OC101" i="16"/>
  <c r="AJ101" i="16" s="1"/>
  <c r="LL101" i="16"/>
  <c r="GD101" i="16"/>
  <c r="AG101" i="16" s="1"/>
  <c r="DM101" i="16"/>
  <c r="AF101" i="16" s="1"/>
  <c r="IU101" i="16"/>
  <c r="AH101" i="16" s="1"/>
  <c r="AV101" i="16"/>
  <c r="AE101" i="16" s="1"/>
  <c r="OC95" i="16"/>
  <c r="AJ95" i="16" s="1"/>
  <c r="LL95" i="16"/>
  <c r="TK95" i="16"/>
  <c r="AL95" i="16" s="1"/>
  <c r="QT95" i="16"/>
  <c r="AK95" i="16" s="1"/>
  <c r="IU95" i="16"/>
  <c r="AH95" i="16" s="1"/>
  <c r="GD95" i="16"/>
  <c r="AG95" i="16" s="1"/>
  <c r="DM95" i="16"/>
  <c r="AF95" i="16" s="1"/>
  <c r="AV95" i="16"/>
  <c r="AE95" i="16" s="1"/>
  <c r="TK114" i="16"/>
  <c r="AL114" i="16" s="1"/>
  <c r="QT114" i="16"/>
  <c r="AK114" i="16" s="1"/>
  <c r="OC114" i="16"/>
  <c r="AJ114" i="16" s="1"/>
  <c r="LL114" i="16"/>
  <c r="IU114" i="16"/>
  <c r="AH114" i="16" s="1"/>
  <c r="GD114" i="16"/>
  <c r="AG114" i="16" s="1"/>
  <c r="DM114" i="16"/>
  <c r="AF114" i="16" s="1"/>
  <c r="AV114" i="16"/>
  <c r="AE114" i="16" s="1"/>
  <c r="TK93" i="16"/>
  <c r="AL93" i="16" s="1"/>
  <c r="QT93" i="16"/>
  <c r="AK93" i="16" s="1"/>
  <c r="OC93" i="16"/>
  <c r="AJ93" i="16" s="1"/>
  <c r="LL93" i="16"/>
  <c r="IU93" i="16"/>
  <c r="AH93" i="16" s="1"/>
  <c r="GD93" i="16"/>
  <c r="AG93" i="16" s="1"/>
  <c r="DM93" i="16"/>
  <c r="AF93" i="16" s="1"/>
  <c r="AV93" i="16"/>
  <c r="AE93" i="16" s="1"/>
  <c r="TK177" i="16"/>
  <c r="AL177" i="16" s="1"/>
  <c r="QT177" i="16"/>
  <c r="AK177" i="16" s="1"/>
  <c r="OC177" i="16"/>
  <c r="AJ177" i="16" s="1"/>
  <c r="LL177" i="16"/>
  <c r="IU177" i="16"/>
  <c r="AH177" i="16" s="1"/>
  <c r="GD177" i="16"/>
  <c r="AG177" i="16" s="1"/>
  <c r="DM177" i="16"/>
  <c r="AF177" i="16" s="1"/>
  <c r="AV177" i="16"/>
  <c r="AE177" i="16" s="1"/>
  <c r="TK102" i="16"/>
  <c r="AL102" i="16" s="1"/>
  <c r="QT102" i="16"/>
  <c r="AK102" i="16" s="1"/>
  <c r="OC102" i="16"/>
  <c r="AJ102" i="16" s="1"/>
  <c r="LL102" i="16"/>
  <c r="GD102" i="16"/>
  <c r="AG102" i="16" s="1"/>
  <c r="DM102" i="16"/>
  <c r="AF102" i="16" s="1"/>
  <c r="AV102" i="16"/>
  <c r="AE102" i="16" s="1"/>
  <c r="IU102" i="16"/>
  <c r="AH102" i="16" s="1"/>
  <c r="QT247" i="16"/>
  <c r="AK247" i="16" s="1"/>
  <c r="OC247" i="16"/>
  <c r="AJ247" i="16" s="1"/>
  <c r="TK247" i="16"/>
  <c r="AL247" i="16" s="1"/>
  <c r="IU247" i="16"/>
  <c r="AH247" i="16" s="1"/>
  <c r="GD247" i="16"/>
  <c r="AG247" i="16" s="1"/>
  <c r="LL247" i="16"/>
  <c r="AV247" i="16"/>
  <c r="AE247" i="16" s="1"/>
  <c r="DM247" i="16"/>
  <c r="AF247" i="16" s="1"/>
  <c r="TK78" i="16"/>
  <c r="AL78" i="16" s="1"/>
  <c r="QT78" i="16"/>
  <c r="AK78" i="16" s="1"/>
  <c r="OC78" i="16"/>
  <c r="AJ78" i="16" s="1"/>
  <c r="LL78" i="16"/>
  <c r="GD78" i="16"/>
  <c r="AG78" i="16" s="1"/>
  <c r="DM78" i="16"/>
  <c r="AF78" i="16" s="1"/>
  <c r="IU78" i="16"/>
  <c r="AH78" i="16" s="1"/>
  <c r="AV78" i="16"/>
  <c r="AE78" i="16" s="1"/>
  <c r="TK190" i="16"/>
  <c r="AL190" i="16" s="1"/>
  <c r="QT190" i="16"/>
  <c r="AK190" i="16" s="1"/>
  <c r="OC190" i="16"/>
  <c r="AJ190" i="16" s="1"/>
  <c r="LL190" i="16"/>
  <c r="IU190" i="16"/>
  <c r="AH190" i="16" s="1"/>
  <c r="GD190" i="16"/>
  <c r="AG190" i="16" s="1"/>
  <c r="DM190" i="16"/>
  <c r="AF190" i="16" s="1"/>
  <c r="AV190" i="16"/>
  <c r="AE190" i="16" s="1"/>
  <c r="TK229" i="16"/>
  <c r="AL229" i="16" s="1"/>
  <c r="QT229" i="16"/>
  <c r="AK229" i="16" s="1"/>
  <c r="OC229" i="16"/>
  <c r="AJ229" i="16" s="1"/>
  <c r="LL229" i="16"/>
  <c r="IU229" i="16"/>
  <c r="AH229" i="16" s="1"/>
  <c r="GD229" i="16"/>
  <c r="AG229" i="16" s="1"/>
  <c r="DM229" i="16"/>
  <c r="AF229" i="16" s="1"/>
  <c r="AV229" i="16"/>
  <c r="AE229" i="16" s="1"/>
  <c r="TK214" i="16"/>
  <c r="AL214" i="16" s="1"/>
  <c r="QT214" i="16"/>
  <c r="AK214" i="16" s="1"/>
  <c r="OC214" i="16"/>
  <c r="AJ214" i="16" s="1"/>
  <c r="LL214" i="16"/>
  <c r="IU214" i="16"/>
  <c r="AH214" i="16" s="1"/>
  <c r="GD214" i="16"/>
  <c r="AG214" i="16" s="1"/>
  <c r="DM214" i="16"/>
  <c r="AF214" i="16" s="1"/>
  <c r="AV214" i="16"/>
  <c r="AE214" i="16" s="1"/>
  <c r="DM283" i="16"/>
  <c r="AF283" i="16" s="1"/>
  <c r="AV21" i="16"/>
  <c r="AE21" i="16" s="1"/>
  <c r="LL47" i="16"/>
  <c r="QT119" i="16"/>
  <c r="AK119" i="16" s="1"/>
  <c r="OC119" i="16"/>
  <c r="AJ119" i="16" s="1"/>
  <c r="LL119" i="16"/>
  <c r="TK119" i="16"/>
  <c r="AL119" i="16" s="1"/>
  <c r="GD119" i="16"/>
  <c r="AG119" i="16" s="1"/>
  <c r="DM119" i="16"/>
  <c r="AF119" i="16" s="1"/>
  <c r="IU119" i="16"/>
  <c r="AH119" i="16" s="1"/>
  <c r="AV119" i="16"/>
  <c r="AE119" i="16" s="1"/>
  <c r="TK123" i="16"/>
  <c r="AL123" i="16" s="1"/>
  <c r="QT123" i="16"/>
  <c r="AK123" i="16" s="1"/>
  <c r="OC123" i="16"/>
  <c r="AJ123" i="16" s="1"/>
  <c r="LL123" i="16"/>
  <c r="IU123" i="16"/>
  <c r="AH123" i="16" s="1"/>
  <c r="GD123" i="16"/>
  <c r="AG123" i="16" s="1"/>
  <c r="DM123" i="16"/>
  <c r="AF123" i="16" s="1"/>
  <c r="AV123" i="16"/>
  <c r="AE123" i="16" s="1"/>
  <c r="TK188" i="16"/>
  <c r="AL188" i="16" s="1"/>
  <c r="QT188" i="16"/>
  <c r="AK188" i="16" s="1"/>
  <c r="OC188" i="16"/>
  <c r="AJ188" i="16" s="1"/>
  <c r="LL188" i="16"/>
  <c r="GD188" i="16"/>
  <c r="AG188" i="16" s="1"/>
  <c r="AV188" i="16"/>
  <c r="AE188" i="16" s="1"/>
  <c r="IU188" i="16"/>
  <c r="AH188" i="16" s="1"/>
  <c r="DM188" i="16"/>
  <c r="AF188" i="16" s="1"/>
  <c r="TK172" i="16"/>
  <c r="AL172" i="16" s="1"/>
  <c r="QT172" i="16"/>
  <c r="AK172" i="16" s="1"/>
  <c r="OC172" i="16"/>
  <c r="AJ172" i="16" s="1"/>
  <c r="LL172" i="16"/>
  <c r="IU172" i="16"/>
  <c r="AH172" i="16" s="1"/>
  <c r="GD172" i="16"/>
  <c r="AG172" i="16" s="1"/>
  <c r="DM172" i="16"/>
  <c r="AF172" i="16" s="1"/>
  <c r="AV172" i="16"/>
  <c r="AE172" i="16" s="1"/>
  <c r="TK131" i="16"/>
  <c r="AL131" i="16" s="1"/>
  <c r="QT131" i="16"/>
  <c r="AK131" i="16" s="1"/>
  <c r="OC131" i="16"/>
  <c r="AJ131" i="16" s="1"/>
  <c r="LL131" i="16"/>
  <c r="IU131" i="16"/>
  <c r="AH131" i="16" s="1"/>
  <c r="GD131" i="16"/>
  <c r="AG131" i="16" s="1"/>
  <c r="DM131" i="16"/>
  <c r="AF131" i="16" s="1"/>
  <c r="AV131" i="16"/>
  <c r="AE131" i="16" s="1"/>
  <c r="TK186" i="16"/>
  <c r="AL186" i="16" s="1"/>
  <c r="QT186" i="16"/>
  <c r="AK186" i="16" s="1"/>
  <c r="OC186" i="16"/>
  <c r="AJ186" i="16" s="1"/>
  <c r="LL186" i="16"/>
  <c r="IU186" i="16"/>
  <c r="AH186" i="16" s="1"/>
  <c r="GD186" i="16"/>
  <c r="AG186" i="16" s="1"/>
  <c r="DM186" i="16"/>
  <c r="AF186" i="16" s="1"/>
  <c r="AV186" i="16"/>
  <c r="AE186" i="16" s="1"/>
  <c r="TK257" i="16"/>
  <c r="AL257" i="16" s="1"/>
  <c r="QT257" i="16"/>
  <c r="AK257" i="16" s="1"/>
  <c r="OC257" i="16"/>
  <c r="AJ257" i="16" s="1"/>
  <c r="LL257" i="16"/>
  <c r="IU257" i="16"/>
  <c r="AH257" i="16" s="1"/>
  <c r="GD257" i="16"/>
  <c r="AG257" i="16" s="1"/>
  <c r="DM257" i="16"/>
  <c r="AF257" i="16" s="1"/>
  <c r="AV257" i="16"/>
  <c r="AE257" i="16" s="1"/>
  <c r="TK237" i="16"/>
  <c r="AL237" i="16" s="1"/>
  <c r="QT237" i="16"/>
  <c r="AK237" i="16" s="1"/>
  <c r="OC237" i="16"/>
  <c r="AJ237" i="16" s="1"/>
  <c r="IU237" i="16"/>
  <c r="AH237" i="16" s="1"/>
  <c r="GD237" i="16"/>
  <c r="AG237" i="16" s="1"/>
  <c r="DM237" i="16"/>
  <c r="AF237" i="16" s="1"/>
  <c r="LL237" i="16"/>
  <c r="AV237" i="16"/>
  <c r="AE237" i="16" s="1"/>
  <c r="TK73" i="16"/>
  <c r="AL73" i="16" s="1"/>
  <c r="QT73" i="16"/>
  <c r="AK73" i="16" s="1"/>
  <c r="IU73" i="16"/>
  <c r="AH73" i="16" s="1"/>
  <c r="OC73" i="16"/>
  <c r="AJ73" i="16" s="1"/>
  <c r="LL73" i="16"/>
  <c r="GD73" i="16"/>
  <c r="AG73" i="16" s="1"/>
  <c r="DM73" i="16"/>
  <c r="AF73" i="16" s="1"/>
  <c r="AV73" i="16"/>
  <c r="AE73" i="16" s="1"/>
  <c r="TK245" i="16"/>
  <c r="AL245" i="16" s="1"/>
  <c r="QT245" i="16"/>
  <c r="AK245" i="16" s="1"/>
  <c r="OC245" i="16"/>
  <c r="AJ245" i="16" s="1"/>
  <c r="IU245" i="16"/>
  <c r="AH245" i="16" s="1"/>
  <c r="GD245" i="16"/>
  <c r="AG245" i="16" s="1"/>
  <c r="DM245" i="16"/>
  <c r="AF245" i="16" s="1"/>
  <c r="LL245" i="16"/>
  <c r="AV245" i="16"/>
  <c r="AE245" i="16" s="1"/>
  <c r="TK169" i="16"/>
  <c r="AL169" i="16" s="1"/>
  <c r="IU169" i="16"/>
  <c r="AH169" i="16" s="1"/>
  <c r="GD169" i="16"/>
  <c r="AG169" i="16" s="1"/>
  <c r="DM169" i="16"/>
  <c r="AF169" i="16" s="1"/>
  <c r="OC169" i="16"/>
  <c r="AJ169" i="16" s="1"/>
  <c r="AV169" i="16"/>
  <c r="AE169" i="16" s="1"/>
  <c r="QT169" i="16"/>
  <c r="AK169" i="16" s="1"/>
  <c r="LL169" i="16"/>
  <c r="TK137" i="16"/>
  <c r="AL137" i="16" s="1"/>
  <c r="IU137" i="16"/>
  <c r="AH137" i="16" s="1"/>
  <c r="QT137" i="16"/>
  <c r="AK137" i="16" s="1"/>
  <c r="OC137" i="16"/>
  <c r="AJ137" i="16" s="1"/>
  <c r="LL137" i="16"/>
  <c r="GD137" i="16"/>
  <c r="AG137" i="16" s="1"/>
  <c r="DM137" i="16"/>
  <c r="AF137" i="16" s="1"/>
  <c r="AV137" i="16"/>
  <c r="AE137" i="16" s="1"/>
  <c r="TK110" i="16"/>
  <c r="AL110" i="16" s="1"/>
  <c r="QT110" i="16"/>
  <c r="AK110" i="16" s="1"/>
  <c r="OC110" i="16"/>
  <c r="AJ110" i="16" s="1"/>
  <c r="LL110" i="16"/>
  <c r="GD110" i="16"/>
  <c r="AG110" i="16" s="1"/>
  <c r="DM110" i="16"/>
  <c r="AF110" i="16" s="1"/>
  <c r="IU110" i="16"/>
  <c r="AH110" i="16" s="1"/>
  <c r="AV110" i="16"/>
  <c r="AE110" i="16" s="1"/>
  <c r="TK150" i="16"/>
  <c r="AL150" i="16" s="1"/>
  <c r="QT150" i="16"/>
  <c r="AK150" i="16" s="1"/>
  <c r="OC150" i="16"/>
  <c r="AJ150" i="16" s="1"/>
  <c r="LL150" i="16"/>
  <c r="GD150" i="16"/>
  <c r="AG150" i="16" s="1"/>
  <c r="DM150" i="16"/>
  <c r="AF150" i="16" s="1"/>
  <c r="IU150" i="16"/>
  <c r="AH150" i="16" s="1"/>
  <c r="AV150" i="16"/>
  <c r="AE150" i="16" s="1"/>
  <c r="TK253" i="16"/>
  <c r="AL253" i="16" s="1"/>
  <c r="QT253" i="16"/>
  <c r="AK253" i="16" s="1"/>
  <c r="OC253" i="16"/>
  <c r="AJ253" i="16" s="1"/>
  <c r="LL253" i="16"/>
  <c r="IU253" i="16"/>
  <c r="AH253" i="16" s="1"/>
  <c r="GD253" i="16"/>
  <c r="AG253" i="16" s="1"/>
  <c r="DM253" i="16"/>
  <c r="AF253" i="16" s="1"/>
  <c r="AV253" i="16"/>
  <c r="AE253" i="16" s="1"/>
  <c r="TK134" i="16"/>
  <c r="AL134" i="16" s="1"/>
  <c r="QT134" i="16"/>
  <c r="AK134" i="16" s="1"/>
  <c r="OC134" i="16"/>
  <c r="AJ134" i="16" s="1"/>
  <c r="LL134" i="16"/>
  <c r="GD134" i="16"/>
  <c r="AG134" i="16" s="1"/>
  <c r="DM134" i="16"/>
  <c r="AF134" i="16" s="1"/>
  <c r="IU134" i="16"/>
  <c r="AH134" i="16" s="1"/>
  <c r="AV134" i="16"/>
  <c r="AE134" i="16" s="1"/>
  <c r="GD283" i="16"/>
  <c r="AG283" i="16" s="1"/>
  <c r="OC21" i="16"/>
  <c r="AJ21" i="16" s="1"/>
  <c r="QT47" i="16"/>
  <c r="AK47" i="16" s="1"/>
  <c r="TK128" i="16"/>
  <c r="AL128" i="16" s="1"/>
  <c r="OC128" i="16"/>
  <c r="AJ128" i="16" s="1"/>
  <c r="LL128" i="16"/>
  <c r="IU128" i="16"/>
  <c r="AH128" i="16" s="1"/>
  <c r="QT128" i="16"/>
  <c r="AK128" i="16" s="1"/>
  <c r="GD128" i="16"/>
  <c r="AG128" i="16" s="1"/>
  <c r="DM128" i="16"/>
  <c r="AF128" i="16" s="1"/>
  <c r="AV128" i="16"/>
  <c r="AE128" i="16" s="1"/>
  <c r="TK132" i="16"/>
  <c r="AL132" i="16" s="1"/>
  <c r="QT132" i="16"/>
  <c r="AK132" i="16" s="1"/>
  <c r="OC132" i="16"/>
  <c r="AJ132" i="16" s="1"/>
  <c r="LL132" i="16"/>
  <c r="AV132" i="16"/>
  <c r="AE132" i="16" s="1"/>
  <c r="IU132" i="16"/>
  <c r="AH132" i="16" s="1"/>
  <c r="GD132" i="16"/>
  <c r="AG132" i="16" s="1"/>
  <c r="DM132" i="16"/>
  <c r="AF132" i="16" s="1"/>
  <c r="TK194" i="16"/>
  <c r="AL194" i="16" s="1"/>
  <c r="QT194" i="16"/>
  <c r="AK194" i="16" s="1"/>
  <c r="OC194" i="16"/>
  <c r="AJ194" i="16" s="1"/>
  <c r="LL194" i="16"/>
  <c r="IU194" i="16"/>
  <c r="AH194" i="16" s="1"/>
  <c r="GD194" i="16"/>
  <c r="AG194" i="16" s="1"/>
  <c r="DM194" i="16"/>
  <c r="AF194" i="16" s="1"/>
  <c r="AV194" i="16"/>
  <c r="AE194" i="16" s="1"/>
  <c r="TK211" i="16"/>
  <c r="AL211" i="16" s="1"/>
  <c r="QT211" i="16"/>
  <c r="AK211" i="16" s="1"/>
  <c r="OC211" i="16"/>
  <c r="AJ211" i="16" s="1"/>
  <c r="LL211" i="16"/>
  <c r="IU211" i="16"/>
  <c r="AH211" i="16" s="1"/>
  <c r="GD211" i="16"/>
  <c r="AG211" i="16" s="1"/>
  <c r="DM211" i="16"/>
  <c r="AF211" i="16" s="1"/>
  <c r="AV211" i="16"/>
  <c r="AE211" i="16" s="1"/>
  <c r="TK260" i="16"/>
  <c r="AL260" i="16" s="1"/>
  <c r="QT260" i="16"/>
  <c r="AK260" i="16" s="1"/>
  <c r="OC260" i="16"/>
  <c r="AJ260" i="16" s="1"/>
  <c r="LL260" i="16"/>
  <c r="AV260" i="16"/>
  <c r="AE260" i="16" s="1"/>
  <c r="DM260" i="16"/>
  <c r="AF260" i="16" s="1"/>
  <c r="IU260" i="16"/>
  <c r="AH260" i="16" s="1"/>
  <c r="GD260" i="16"/>
  <c r="AG260" i="16" s="1"/>
  <c r="TK156" i="16"/>
  <c r="AL156" i="16" s="1"/>
  <c r="QT156" i="16"/>
  <c r="AK156" i="16" s="1"/>
  <c r="OC156" i="16"/>
  <c r="AJ156" i="16" s="1"/>
  <c r="LL156" i="16"/>
  <c r="IU156" i="16"/>
  <c r="AH156" i="16" s="1"/>
  <c r="GD156" i="16"/>
  <c r="AG156" i="16" s="1"/>
  <c r="DM156" i="16"/>
  <c r="AF156" i="16" s="1"/>
  <c r="AV156" i="16"/>
  <c r="AE156" i="16" s="1"/>
  <c r="TK238" i="16"/>
  <c r="AL238" i="16" s="1"/>
  <c r="QT238" i="16"/>
  <c r="AK238" i="16" s="1"/>
  <c r="OC238" i="16"/>
  <c r="AJ238" i="16" s="1"/>
  <c r="IU238" i="16"/>
  <c r="AH238" i="16" s="1"/>
  <c r="GD238" i="16"/>
  <c r="AG238" i="16" s="1"/>
  <c r="LL238" i="16"/>
  <c r="DM238" i="16"/>
  <c r="AF238" i="16" s="1"/>
  <c r="AV238" i="16"/>
  <c r="AE238" i="16" s="1"/>
  <c r="TK262" i="16"/>
  <c r="AL262" i="16" s="1"/>
  <c r="QT262" i="16"/>
  <c r="AK262" i="16" s="1"/>
  <c r="OC262" i="16"/>
  <c r="AJ262" i="16" s="1"/>
  <c r="IU262" i="16"/>
  <c r="AH262" i="16" s="1"/>
  <c r="GD262" i="16"/>
  <c r="AG262" i="16" s="1"/>
  <c r="LL262" i="16"/>
  <c r="DM262" i="16"/>
  <c r="AF262" i="16" s="1"/>
  <c r="AV262" i="16"/>
  <c r="AE262" i="16" s="1"/>
  <c r="TK105" i="16"/>
  <c r="AL105" i="16" s="1"/>
  <c r="QT105" i="16"/>
  <c r="AK105" i="16" s="1"/>
  <c r="IU105" i="16"/>
  <c r="AH105" i="16" s="1"/>
  <c r="GD105" i="16"/>
  <c r="AG105" i="16" s="1"/>
  <c r="DM105" i="16"/>
  <c r="AF105" i="16" s="1"/>
  <c r="OC105" i="16"/>
  <c r="AJ105" i="16" s="1"/>
  <c r="LL105" i="16"/>
  <c r="AV105" i="16"/>
  <c r="AE105" i="16" s="1"/>
  <c r="TK198" i="16"/>
  <c r="AL198" i="16" s="1"/>
  <c r="QT198" i="16"/>
  <c r="AK198" i="16" s="1"/>
  <c r="OC198" i="16"/>
  <c r="AJ198" i="16" s="1"/>
  <c r="LL198" i="16"/>
  <c r="IU198" i="16"/>
  <c r="AH198" i="16" s="1"/>
  <c r="GD198" i="16"/>
  <c r="AG198" i="16" s="1"/>
  <c r="DM198" i="16"/>
  <c r="AF198" i="16" s="1"/>
  <c r="AV198" i="16"/>
  <c r="AE198" i="16" s="1"/>
  <c r="TK89" i="16"/>
  <c r="AL89" i="16" s="1"/>
  <c r="QT89" i="16"/>
  <c r="AK89" i="16" s="1"/>
  <c r="GD89" i="16"/>
  <c r="AG89" i="16" s="1"/>
  <c r="DM89" i="16"/>
  <c r="AF89" i="16" s="1"/>
  <c r="OC89" i="16"/>
  <c r="AJ89" i="16" s="1"/>
  <c r="LL89" i="16"/>
  <c r="IU89" i="16"/>
  <c r="AH89" i="16" s="1"/>
  <c r="AV89" i="16"/>
  <c r="AE89" i="16" s="1"/>
  <c r="TK263" i="16"/>
  <c r="AL263" i="16" s="1"/>
  <c r="QT263" i="16"/>
  <c r="AK263" i="16" s="1"/>
  <c r="OC263" i="16"/>
  <c r="AJ263" i="16" s="1"/>
  <c r="LL263" i="16"/>
  <c r="IU263" i="16"/>
  <c r="AH263" i="16" s="1"/>
  <c r="GD263" i="16"/>
  <c r="AG263" i="16" s="1"/>
  <c r="AV263" i="16"/>
  <c r="AE263" i="16" s="1"/>
  <c r="DM263" i="16"/>
  <c r="AF263" i="16" s="1"/>
  <c r="TK283" i="16"/>
  <c r="AL283" i="16" s="1"/>
  <c r="GD21" i="16"/>
  <c r="AG21" i="16" s="1"/>
  <c r="IU47" i="16"/>
  <c r="AH47" i="16" s="1"/>
  <c r="QT151" i="16"/>
  <c r="AK151" i="16" s="1"/>
  <c r="OC151" i="16"/>
  <c r="AJ151" i="16" s="1"/>
  <c r="LL151" i="16"/>
  <c r="TK151" i="16"/>
  <c r="AL151" i="16" s="1"/>
  <c r="GD151" i="16"/>
  <c r="AG151" i="16" s="1"/>
  <c r="DM151" i="16"/>
  <c r="AF151" i="16" s="1"/>
  <c r="IU151" i="16"/>
  <c r="AH151" i="16" s="1"/>
  <c r="AV151" i="16"/>
  <c r="AE151" i="16" s="1"/>
  <c r="TK135" i="16"/>
  <c r="AL135" i="16" s="1"/>
  <c r="QT135" i="16"/>
  <c r="AK135" i="16" s="1"/>
  <c r="OC135" i="16"/>
  <c r="AJ135" i="16" s="1"/>
  <c r="LL135" i="16"/>
  <c r="IU135" i="16"/>
  <c r="AH135" i="16" s="1"/>
  <c r="GD135" i="16"/>
  <c r="AG135" i="16" s="1"/>
  <c r="DM135" i="16"/>
  <c r="AF135" i="16" s="1"/>
  <c r="AV135" i="16"/>
  <c r="AE135" i="16" s="1"/>
  <c r="TK187" i="16"/>
  <c r="AL187" i="16" s="1"/>
  <c r="QT187" i="16"/>
  <c r="AK187" i="16" s="1"/>
  <c r="OC187" i="16"/>
  <c r="AJ187" i="16" s="1"/>
  <c r="LL187" i="16"/>
  <c r="IU187" i="16"/>
  <c r="AH187" i="16" s="1"/>
  <c r="GD187" i="16"/>
  <c r="AG187" i="16" s="1"/>
  <c r="DM187" i="16"/>
  <c r="AF187" i="16" s="1"/>
  <c r="AV187" i="16"/>
  <c r="AE187" i="16" s="1"/>
  <c r="TK133" i="16"/>
  <c r="AL133" i="16" s="1"/>
  <c r="QT133" i="16"/>
  <c r="AK133" i="16" s="1"/>
  <c r="OC133" i="16"/>
  <c r="AJ133" i="16" s="1"/>
  <c r="LL133" i="16"/>
  <c r="GD133" i="16"/>
  <c r="AG133" i="16" s="1"/>
  <c r="DM133" i="16"/>
  <c r="AF133" i="16" s="1"/>
  <c r="IU133" i="16"/>
  <c r="AH133" i="16" s="1"/>
  <c r="AV133" i="16"/>
  <c r="AE133" i="16" s="1"/>
  <c r="TK210" i="16"/>
  <c r="AL210" i="16" s="1"/>
  <c r="QT210" i="16"/>
  <c r="AK210" i="16" s="1"/>
  <c r="OC210" i="16"/>
  <c r="AJ210" i="16" s="1"/>
  <c r="LL210" i="16"/>
  <c r="IU210" i="16"/>
  <c r="AH210" i="16" s="1"/>
  <c r="GD210" i="16"/>
  <c r="AG210" i="16" s="1"/>
  <c r="DM210" i="16"/>
  <c r="AF210" i="16" s="1"/>
  <c r="AV210" i="16"/>
  <c r="AE210" i="16" s="1"/>
  <c r="TK76" i="16"/>
  <c r="AL76" i="16" s="1"/>
  <c r="QT76" i="16"/>
  <c r="AK76" i="16" s="1"/>
  <c r="OC76" i="16"/>
  <c r="AJ76" i="16" s="1"/>
  <c r="LL76" i="16"/>
  <c r="AV76" i="16"/>
  <c r="AE76" i="16" s="1"/>
  <c r="IU76" i="16"/>
  <c r="AH76" i="16" s="1"/>
  <c r="GD76" i="16"/>
  <c r="AG76" i="16" s="1"/>
  <c r="DM76" i="16"/>
  <c r="AF76" i="16" s="1"/>
  <c r="TK141" i="16"/>
  <c r="AL141" i="16" s="1"/>
  <c r="QT141" i="16"/>
  <c r="AK141" i="16" s="1"/>
  <c r="OC141" i="16"/>
  <c r="AJ141" i="16" s="1"/>
  <c r="LL141" i="16"/>
  <c r="GD141" i="16"/>
  <c r="AG141" i="16" s="1"/>
  <c r="DM141" i="16"/>
  <c r="AF141" i="16" s="1"/>
  <c r="IU141" i="16"/>
  <c r="AH141" i="16" s="1"/>
  <c r="AV141" i="16"/>
  <c r="AE141" i="16" s="1"/>
  <c r="TK153" i="16"/>
  <c r="AL153" i="16" s="1"/>
  <c r="GD153" i="16"/>
  <c r="AG153" i="16" s="1"/>
  <c r="DM153" i="16"/>
  <c r="AF153" i="16" s="1"/>
  <c r="QT153" i="16"/>
  <c r="AK153" i="16" s="1"/>
  <c r="OC153" i="16"/>
  <c r="AJ153" i="16" s="1"/>
  <c r="LL153" i="16"/>
  <c r="IU153" i="16"/>
  <c r="AH153" i="16" s="1"/>
  <c r="AV153" i="16"/>
  <c r="AE153" i="16" s="1"/>
  <c r="TK185" i="16"/>
  <c r="AL185" i="16" s="1"/>
  <c r="QT185" i="16"/>
  <c r="AK185" i="16" s="1"/>
  <c r="OC185" i="16"/>
  <c r="AJ185" i="16" s="1"/>
  <c r="LL185" i="16"/>
  <c r="IU185" i="16"/>
  <c r="AH185" i="16" s="1"/>
  <c r="GD185" i="16"/>
  <c r="AG185" i="16" s="1"/>
  <c r="DM185" i="16"/>
  <c r="AF185" i="16" s="1"/>
  <c r="AV185" i="16"/>
  <c r="AE185" i="16" s="1"/>
  <c r="TK118" i="16"/>
  <c r="AL118" i="16" s="1"/>
  <c r="OC118" i="16"/>
  <c r="AJ118" i="16" s="1"/>
  <c r="LL118" i="16"/>
  <c r="QT118" i="16"/>
  <c r="AK118" i="16" s="1"/>
  <c r="GD118" i="16"/>
  <c r="AG118" i="16" s="1"/>
  <c r="DM118" i="16"/>
  <c r="AF118" i="16" s="1"/>
  <c r="IU118" i="16"/>
  <c r="AH118" i="16" s="1"/>
  <c r="AV118" i="16"/>
  <c r="AE118" i="16" s="1"/>
  <c r="TK158" i="16"/>
  <c r="AL158" i="16" s="1"/>
  <c r="QT158" i="16"/>
  <c r="AK158" i="16" s="1"/>
  <c r="OC158" i="16"/>
  <c r="AJ158" i="16" s="1"/>
  <c r="LL158" i="16"/>
  <c r="IU158" i="16"/>
  <c r="AH158" i="16" s="1"/>
  <c r="GD158" i="16"/>
  <c r="AG158" i="16" s="1"/>
  <c r="DM158" i="16"/>
  <c r="AF158" i="16" s="1"/>
  <c r="AV158" i="16"/>
  <c r="AE158" i="16" s="1"/>
  <c r="TK166" i="16"/>
  <c r="AL166" i="16" s="1"/>
  <c r="QT166" i="16"/>
  <c r="AK166" i="16" s="1"/>
  <c r="OC166" i="16"/>
  <c r="AJ166" i="16" s="1"/>
  <c r="LL166" i="16"/>
  <c r="IU166" i="16"/>
  <c r="AH166" i="16" s="1"/>
  <c r="GD166" i="16"/>
  <c r="AG166" i="16" s="1"/>
  <c r="DM166" i="16"/>
  <c r="AF166" i="16" s="1"/>
  <c r="AV166" i="16"/>
  <c r="AE166" i="16" s="1"/>
  <c r="TK221" i="16"/>
  <c r="AL221" i="16" s="1"/>
  <c r="QT221" i="16"/>
  <c r="AK221" i="16" s="1"/>
  <c r="OC221" i="16"/>
  <c r="AJ221" i="16" s="1"/>
  <c r="IU221" i="16"/>
  <c r="AH221" i="16" s="1"/>
  <c r="GD221" i="16"/>
  <c r="AG221" i="16" s="1"/>
  <c r="DM221" i="16"/>
  <c r="AF221" i="16" s="1"/>
  <c r="LL221" i="16"/>
  <c r="AV221" i="16"/>
  <c r="AE221" i="16" s="1"/>
  <c r="TK97" i="16"/>
  <c r="AL97" i="16" s="1"/>
  <c r="QT97" i="16"/>
  <c r="AK97" i="16" s="1"/>
  <c r="IU97" i="16"/>
  <c r="AH97" i="16" s="1"/>
  <c r="GD97" i="16"/>
  <c r="AG97" i="16" s="1"/>
  <c r="DM97" i="16"/>
  <c r="AF97" i="16" s="1"/>
  <c r="OC97" i="16"/>
  <c r="AJ97" i="16" s="1"/>
  <c r="LL97" i="16"/>
  <c r="AV97" i="16"/>
  <c r="AE97" i="16" s="1"/>
  <c r="LL283" i="16"/>
  <c r="TK21" i="16"/>
  <c r="AL21" i="16" s="1"/>
  <c r="OC47" i="16"/>
  <c r="AJ47" i="16" s="1"/>
  <c r="TK167" i="16"/>
  <c r="AL167" i="16" s="1"/>
  <c r="QT167" i="16"/>
  <c r="AK167" i="16" s="1"/>
  <c r="OC167" i="16"/>
  <c r="AJ167" i="16" s="1"/>
  <c r="LL167" i="16"/>
  <c r="IU167" i="16"/>
  <c r="AH167" i="16" s="1"/>
  <c r="GD167" i="16"/>
  <c r="AG167" i="16" s="1"/>
  <c r="DM167" i="16"/>
  <c r="AF167" i="16" s="1"/>
  <c r="AV167" i="16"/>
  <c r="AE167" i="16" s="1"/>
  <c r="TK139" i="16"/>
  <c r="AL139" i="16" s="1"/>
  <c r="QT139" i="16"/>
  <c r="AK139" i="16" s="1"/>
  <c r="OC139" i="16"/>
  <c r="AJ139" i="16" s="1"/>
  <c r="LL139" i="16"/>
  <c r="IU139" i="16"/>
  <c r="AH139" i="16" s="1"/>
  <c r="GD139" i="16"/>
  <c r="AG139" i="16" s="1"/>
  <c r="DM139" i="16"/>
  <c r="AF139" i="16" s="1"/>
  <c r="AV139" i="16"/>
  <c r="AE139" i="16" s="1"/>
  <c r="TK226" i="16"/>
  <c r="AL226" i="16" s="1"/>
  <c r="QT226" i="16"/>
  <c r="AK226" i="16" s="1"/>
  <c r="OC226" i="16"/>
  <c r="AJ226" i="16" s="1"/>
  <c r="LL226" i="16"/>
  <c r="IU226" i="16"/>
  <c r="AH226" i="16" s="1"/>
  <c r="GD226" i="16"/>
  <c r="AG226" i="16" s="1"/>
  <c r="AV226" i="16"/>
  <c r="AE226" i="16" s="1"/>
  <c r="DM226" i="16"/>
  <c r="AF226" i="16" s="1"/>
  <c r="TK82" i="16"/>
  <c r="AL82" i="16" s="1"/>
  <c r="QT82" i="16"/>
  <c r="AK82" i="16" s="1"/>
  <c r="OC82" i="16"/>
  <c r="AJ82" i="16" s="1"/>
  <c r="LL82" i="16"/>
  <c r="IU82" i="16"/>
  <c r="AH82" i="16" s="1"/>
  <c r="GD82" i="16"/>
  <c r="AG82" i="16" s="1"/>
  <c r="DM82" i="16"/>
  <c r="AF82" i="16" s="1"/>
  <c r="AV82" i="16"/>
  <c r="AE82" i="16" s="1"/>
  <c r="TK144" i="16"/>
  <c r="AL144" i="16" s="1"/>
  <c r="QT144" i="16"/>
  <c r="AK144" i="16" s="1"/>
  <c r="OC144" i="16"/>
  <c r="AJ144" i="16" s="1"/>
  <c r="LL144" i="16"/>
  <c r="IU144" i="16"/>
  <c r="AH144" i="16" s="1"/>
  <c r="GD144" i="16"/>
  <c r="AG144" i="16" s="1"/>
  <c r="DM144" i="16"/>
  <c r="AF144" i="16" s="1"/>
  <c r="AV144" i="16"/>
  <c r="AE144" i="16" s="1"/>
  <c r="OC88" i="16"/>
  <c r="AJ88" i="16" s="1"/>
  <c r="LL88" i="16"/>
  <c r="IU88" i="16"/>
  <c r="AH88" i="16" s="1"/>
  <c r="QT88" i="16"/>
  <c r="AK88" i="16" s="1"/>
  <c r="TK88" i="16"/>
  <c r="AL88" i="16" s="1"/>
  <c r="GD88" i="16"/>
  <c r="AG88" i="16" s="1"/>
  <c r="DM88" i="16"/>
  <c r="AF88" i="16" s="1"/>
  <c r="AV88" i="16"/>
  <c r="AE88" i="16" s="1"/>
  <c r="TK171" i="16"/>
  <c r="AL171" i="16" s="1"/>
  <c r="QT171" i="16"/>
  <c r="AK171" i="16" s="1"/>
  <c r="OC171" i="16"/>
  <c r="AJ171" i="16" s="1"/>
  <c r="LL171" i="16"/>
  <c r="IU171" i="16"/>
  <c r="AH171" i="16" s="1"/>
  <c r="GD171" i="16"/>
  <c r="AG171" i="16" s="1"/>
  <c r="DM171" i="16"/>
  <c r="AF171" i="16" s="1"/>
  <c r="AV171" i="16"/>
  <c r="AE171" i="16" s="1"/>
  <c r="TK117" i="16"/>
  <c r="AL117" i="16" s="1"/>
  <c r="OC117" i="16"/>
  <c r="AJ117" i="16" s="1"/>
  <c r="LL117" i="16"/>
  <c r="GD117" i="16"/>
  <c r="AG117" i="16" s="1"/>
  <c r="DM117" i="16"/>
  <c r="AF117" i="16" s="1"/>
  <c r="QT117" i="16"/>
  <c r="AK117" i="16" s="1"/>
  <c r="IU117" i="16"/>
  <c r="AH117" i="16" s="1"/>
  <c r="AV117" i="16"/>
  <c r="AE117" i="16" s="1"/>
  <c r="TK180" i="16"/>
  <c r="AL180" i="16" s="1"/>
  <c r="QT180" i="16"/>
  <c r="AK180" i="16" s="1"/>
  <c r="OC180" i="16"/>
  <c r="AJ180" i="16" s="1"/>
  <c r="LL180" i="16"/>
  <c r="AV180" i="16"/>
  <c r="AE180" i="16" s="1"/>
  <c r="IU180" i="16"/>
  <c r="AH180" i="16" s="1"/>
  <c r="GD180" i="16"/>
  <c r="AG180" i="16" s="1"/>
  <c r="DM180" i="16"/>
  <c r="AF180" i="16" s="1"/>
  <c r="TK81" i="16"/>
  <c r="AL81" i="16" s="1"/>
  <c r="QT81" i="16"/>
  <c r="AK81" i="16" s="1"/>
  <c r="OC81" i="16"/>
  <c r="AJ81" i="16" s="1"/>
  <c r="LL81" i="16"/>
  <c r="GD81" i="16"/>
  <c r="AG81" i="16" s="1"/>
  <c r="DM81" i="16"/>
  <c r="AF81" i="16" s="1"/>
  <c r="IU81" i="16"/>
  <c r="AH81" i="16" s="1"/>
  <c r="AV81" i="16"/>
  <c r="AE81" i="16" s="1"/>
  <c r="TK175" i="16"/>
  <c r="AL175" i="16" s="1"/>
  <c r="QT175" i="16"/>
  <c r="AK175" i="16" s="1"/>
  <c r="OC175" i="16"/>
  <c r="AJ175" i="16" s="1"/>
  <c r="LL175" i="16"/>
  <c r="IU175" i="16"/>
  <c r="AH175" i="16" s="1"/>
  <c r="GD175" i="16"/>
  <c r="AG175" i="16" s="1"/>
  <c r="DM175" i="16"/>
  <c r="AF175" i="16" s="1"/>
  <c r="AV175" i="16"/>
  <c r="AE175" i="16" s="1"/>
  <c r="TK126" i="16"/>
  <c r="AL126" i="16" s="1"/>
  <c r="OC126" i="16"/>
  <c r="AJ126" i="16" s="1"/>
  <c r="LL126" i="16"/>
  <c r="QT126" i="16"/>
  <c r="AK126" i="16" s="1"/>
  <c r="IU126" i="16"/>
  <c r="AH126" i="16" s="1"/>
  <c r="GD126" i="16"/>
  <c r="AG126" i="16" s="1"/>
  <c r="DM126" i="16"/>
  <c r="AF126" i="16" s="1"/>
  <c r="AV126" i="16"/>
  <c r="AE126" i="16" s="1"/>
  <c r="TK174" i="16"/>
  <c r="AL174" i="16" s="1"/>
  <c r="QT174" i="16"/>
  <c r="AK174" i="16" s="1"/>
  <c r="OC174" i="16"/>
  <c r="AJ174" i="16" s="1"/>
  <c r="LL174" i="16"/>
  <c r="IU174" i="16"/>
  <c r="AH174" i="16" s="1"/>
  <c r="GD174" i="16"/>
  <c r="AG174" i="16" s="1"/>
  <c r="DM174" i="16"/>
  <c r="AF174" i="16" s="1"/>
  <c r="AV174" i="16"/>
  <c r="AE174" i="16" s="1"/>
  <c r="TK197" i="16"/>
  <c r="AL197" i="16" s="1"/>
  <c r="QT197" i="16"/>
  <c r="AK197" i="16" s="1"/>
  <c r="OC197" i="16"/>
  <c r="AJ197" i="16" s="1"/>
  <c r="LL197" i="16"/>
  <c r="IU197" i="16"/>
  <c r="AH197" i="16" s="1"/>
  <c r="GD197" i="16"/>
  <c r="AG197" i="16" s="1"/>
  <c r="DM197" i="16"/>
  <c r="AF197" i="16" s="1"/>
  <c r="AV197" i="16"/>
  <c r="AE197" i="16" s="1"/>
  <c r="TK94" i="16"/>
  <c r="AL94" i="16" s="1"/>
  <c r="QT94" i="16"/>
  <c r="AK94" i="16" s="1"/>
  <c r="OC94" i="16"/>
  <c r="AJ94" i="16" s="1"/>
  <c r="LL94" i="16"/>
  <c r="IU94" i="16"/>
  <c r="AH94" i="16" s="1"/>
  <c r="GD94" i="16"/>
  <c r="AG94" i="16" s="1"/>
  <c r="DM94" i="16"/>
  <c r="AF94" i="16" s="1"/>
  <c r="AV94" i="16"/>
  <c r="AE94" i="16" s="1"/>
  <c r="TK231" i="16"/>
  <c r="AL231" i="16" s="1"/>
  <c r="QT231" i="16"/>
  <c r="AK231" i="16" s="1"/>
  <c r="OC231" i="16"/>
  <c r="AJ231" i="16" s="1"/>
  <c r="LL231" i="16"/>
  <c r="IU231" i="16"/>
  <c r="AH231" i="16" s="1"/>
  <c r="GD231" i="16"/>
  <c r="AG231" i="16" s="1"/>
  <c r="DM231" i="16"/>
  <c r="AF231" i="16" s="1"/>
  <c r="AV231" i="16"/>
  <c r="AE231" i="16" s="1"/>
  <c r="TK206" i="16"/>
  <c r="AL206" i="16" s="1"/>
  <c r="QT206" i="16"/>
  <c r="AK206" i="16" s="1"/>
  <c r="OC206" i="16"/>
  <c r="AJ206" i="16" s="1"/>
  <c r="IU206" i="16"/>
  <c r="AH206" i="16" s="1"/>
  <c r="GD206" i="16"/>
  <c r="AG206" i="16" s="1"/>
  <c r="DM206" i="16"/>
  <c r="AF206" i="16" s="1"/>
  <c r="LL206" i="16"/>
  <c r="AV206" i="16"/>
  <c r="AE206" i="16" s="1"/>
  <c r="QT283" i="16"/>
  <c r="AK283" i="16" s="1"/>
  <c r="LL21" i="16"/>
  <c r="AV47" i="16"/>
  <c r="AE47" i="16" s="1"/>
  <c r="QT183" i="16"/>
  <c r="AK183" i="16" s="1"/>
  <c r="OC183" i="16"/>
  <c r="AJ183" i="16" s="1"/>
  <c r="LL183" i="16"/>
  <c r="TK183" i="16"/>
  <c r="AL183" i="16" s="1"/>
  <c r="IU183" i="16"/>
  <c r="AH183" i="16" s="1"/>
  <c r="GD183" i="16"/>
  <c r="AG183" i="16" s="1"/>
  <c r="DM183" i="16"/>
  <c r="AF183" i="16" s="1"/>
  <c r="AV183" i="16"/>
  <c r="AE183" i="16" s="1"/>
  <c r="TK92" i="16"/>
  <c r="AL92" i="16" s="1"/>
  <c r="QT92" i="16"/>
  <c r="AK92" i="16" s="1"/>
  <c r="OC92" i="16"/>
  <c r="AJ92" i="16" s="1"/>
  <c r="LL92" i="16"/>
  <c r="AV92" i="16"/>
  <c r="AE92" i="16" s="1"/>
  <c r="GD92" i="16"/>
  <c r="AG92" i="16" s="1"/>
  <c r="DM92" i="16"/>
  <c r="AF92" i="16" s="1"/>
  <c r="IU92" i="16"/>
  <c r="AH92" i="16" s="1"/>
  <c r="TK222" i="16"/>
  <c r="AL222" i="16" s="1"/>
  <c r="QT222" i="16"/>
  <c r="AK222" i="16" s="1"/>
  <c r="OC222" i="16"/>
  <c r="AJ222" i="16" s="1"/>
  <c r="IU222" i="16"/>
  <c r="AH222" i="16" s="1"/>
  <c r="GD222" i="16"/>
  <c r="AG222" i="16" s="1"/>
  <c r="DM222" i="16"/>
  <c r="AF222" i="16" s="1"/>
  <c r="LL222" i="16"/>
  <c r="AV222" i="16"/>
  <c r="AE222" i="16" s="1"/>
  <c r="TK242" i="16"/>
  <c r="AL242" i="16" s="1"/>
  <c r="QT242" i="16"/>
  <c r="AK242" i="16" s="1"/>
  <c r="OC242" i="16"/>
  <c r="AJ242" i="16" s="1"/>
  <c r="LL242" i="16"/>
  <c r="IU242" i="16"/>
  <c r="AH242" i="16" s="1"/>
  <c r="GD242" i="16"/>
  <c r="AG242" i="16" s="1"/>
  <c r="AV242" i="16"/>
  <c r="AE242" i="16" s="1"/>
  <c r="DM242" i="16"/>
  <c r="AF242" i="16" s="1"/>
  <c r="TK124" i="16"/>
  <c r="AL124" i="16" s="1"/>
  <c r="QT124" i="16"/>
  <c r="AK124" i="16" s="1"/>
  <c r="OC124" i="16"/>
  <c r="AJ124" i="16" s="1"/>
  <c r="LL124" i="16"/>
  <c r="AV124" i="16"/>
  <c r="AE124" i="16" s="1"/>
  <c r="DM124" i="16"/>
  <c r="AF124" i="16" s="1"/>
  <c r="GD124" i="16"/>
  <c r="AG124" i="16" s="1"/>
  <c r="IU124" i="16"/>
  <c r="AH124" i="16" s="1"/>
  <c r="TK85" i="16"/>
  <c r="AL85" i="16" s="1"/>
  <c r="QT85" i="16"/>
  <c r="AK85" i="16" s="1"/>
  <c r="OC85" i="16"/>
  <c r="AJ85" i="16" s="1"/>
  <c r="LL85" i="16"/>
  <c r="GD85" i="16"/>
  <c r="AG85" i="16" s="1"/>
  <c r="DM85" i="16"/>
  <c r="AF85" i="16" s="1"/>
  <c r="IU85" i="16"/>
  <c r="AH85" i="16" s="1"/>
  <c r="AV85" i="16"/>
  <c r="AE85" i="16" s="1"/>
  <c r="TK154" i="16"/>
  <c r="AL154" i="16" s="1"/>
  <c r="QT154" i="16"/>
  <c r="AK154" i="16" s="1"/>
  <c r="OC154" i="16"/>
  <c r="AJ154" i="16" s="1"/>
  <c r="LL154" i="16"/>
  <c r="GD154" i="16"/>
  <c r="AG154" i="16" s="1"/>
  <c r="DM154" i="16"/>
  <c r="AF154" i="16" s="1"/>
  <c r="IU154" i="16"/>
  <c r="AH154" i="16" s="1"/>
  <c r="AV154" i="16"/>
  <c r="AE154" i="16" s="1"/>
  <c r="TK107" i="16"/>
  <c r="AL107" i="16" s="1"/>
  <c r="QT107" i="16"/>
  <c r="AK107" i="16" s="1"/>
  <c r="OC107" i="16"/>
  <c r="AJ107" i="16" s="1"/>
  <c r="LL107" i="16"/>
  <c r="IU107" i="16"/>
  <c r="AH107" i="16" s="1"/>
  <c r="GD107" i="16"/>
  <c r="AG107" i="16" s="1"/>
  <c r="DM107" i="16"/>
  <c r="AF107" i="16" s="1"/>
  <c r="AV107" i="16"/>
  <c r="AE107" i="16" s="1"/>
  <c r="TK104" i="16"/>
  <c r="AL104" i="16" s="1"/>
  <c r="QT104" i="16"/>
  <c r="AK104" i="16" s="1"/>
  <c r="OC104" i="16"/>
  <c r="AJ104" i="16" s="1"/>
  <c r="LL104" i="16"/>
  <c r="IU104" i="16"/>
  <c r="AH104" i="16" s="1"/>
  <c r="GD104" i="16"/>
  <c r="AG104" i="16" s="1"/>
  <c r="DM104" i="16"/>
  <c r="AF104" i="16" s="1"/>
  <c r="AV104" i="16"/>
  <c r="AE104" i="16" s="1"/>
  <c r="TK125" i="16"/>
  <c r="AL125" i="16" s="1"/>
  <c r="OC125" i="16"/>
  <c r="AJ125" i="16" s="1"/>
  <c r="LL125" i="16"/>
  <c r="QT125" i="16"/>
  <c r="AK125" i="16" s="1"/>
  <c r="IU125" i="16"/>
  <c r="AH125" i="16" s="1"/>
  <c r="GD125" i="16"/>
  <c r="AG125" i="16" s="1"/>
  <c r="DM125" i="16"/>
  <c r="AF125" i="16" s="1"/>
  <c r="AV125" i="16"/>
  <c r="AE125" i="16" s="1"/>
  <c r="QT191" i="16"/>
  <c r="AK191" i="16" s="1"/>
  <c r="OC191" i="16"/>
  <c r="AJ191" i="16" s="1"/>
  <c r="LL191" i="16"/>
  <c r="TK191" i="16"/>
  <c r="AL191" i="16" s="1"/>
  <c r="IU191" i="16"/>
  <c r="AH191" i="16" s="1"/>
  <c r="GD191" i="16"/>
  <c r="AG191" i="16" s="1"/>
  <c r="DM191" i="16"/>
  <c r="AF191" i="16" s="1"/>
  <c r="AV191" i="16"/>
  <c r="AE191" i="16" s="1"/>
  <c r="TK230" i="16"/>
  <c r="AL230" i="16" s="1"/>
  <c r="QT230" i="16"/>
  <c r="AK230" i="16" s="1"/>
  <c r="OC230" i="16"/>
  <c r="AJ230" i="16" s="1"/>
  <c r="LL230" i="16"/>
  <c r="IU230" i="16"/>
  <c r="AH230" i="16" s="1"/>
  <c r="GD230" i="16"/>
  <c r="AG230" i="16" s="1"/>
  <c r="DM230" i="16"/>
  <c r="AF230" i="16" s="1"/>
  <c r="AV230" i="16"/>
  <c r="AE230" i="16" s="1"/>
  <c r="TK205" i="16"/>
  <c r="AL205" i="16" s="1"/>
  <c r="QT205" i="16"/>
  <c r="AK205" i="16" s="1"/>
  <c r="OC205" i="16"/>
  <c r="AJ205" i="16" s="1"/>
  <c r="IU205" i="16"/>
  <c r="AH205" i="16" s="1"/>
  <c r="GD205" i="16"/>
  <c r="AG205" i="16" s="1"/>
  <c r="DM205" i="16"/>
  <c r="AF205" i="16" s="1"/>
  <c r="LL205" i="16"/>
  <c r="AV205" i="16"/>
  <c r="AE205" i="16" s="1"/>
  <c r="TK182" i="16"/>
  <c r="AL182" i="16" s="1"/>
  <c r="QT182" i="16"/>
  <c r="AK182" i="16" s="1"/>
  <c r="OC182" i="16"/>
  <c r="AJ182" i="16" s="1"/>
  <c r="LL182" i="16"/>
  <c r="IU182" i="16"/>
  <c r="AH182" i="16" s="1"/>
  <c r="GD182" i="16"/>
  <c r="AG182" i="16" s="1"/>
  <c r="DM182" i="16"/>
  <c r="AF182" i="16" s="1"/>
  <c r="AV182" i="16"/>
  <c r="AE182" i="16" s="1"/>
  <c r="TK113" i="16"/>
  <c r="AL113" i="16" s="1"/>
  <c r="QT113" i="16"/>
  <c r="AK113" i="16" s="1"/>
  <c r="OC113" i="16"/>
  <c r="AJ113" i="16" s="1"/>
  <c r="LL113" i="16"/>
  <c r="GD113" i="16"/>
  <c r="AG113" i="16" s="1"/>
  <c r="DM113" i="16"/>
  <c r="AF113" i="16" s="1"/>
  <c r="IU113" i="16"/>
  <c r="AH113" i="16" s="1"/>
  <c r="AV113" i="16"/>
  <c r="AE113" i="16" s="1"/>
  <c r="QT223" i="16"/>
  <c r="AK223" i="16" s="1"/>
  <c r="OC223" i="16"/>
  <c r="AJ223" i="16" s="1"/>
  <c r="LL223" i="16"/>
  <c r="TK223" i="16"/>
  <c r="AL223" i="16" s="1"/>
  <c r="IU223" i="16"/>
  <c r="AH223" i="16" s="1"/>
  <c r="GD223" i="16"/>
  <c r="AG223" i="16" s="1"/>
  <c r="DM223" i="16"/>
  <c r="AF223" i="16" s="1"/>
  <c r="AV223" i="16"/>
  <c r="AE223" i="16" s="1"/>
  <c r="TK98" i="16"/>
  <c r="AL98" i="16" s="1"/>
  <c r="QT98" i="16"/>
  <c r="AK98" i="16" s="1"/>
  <c r="OC98" i="16"/>
  <c r="AJ98" i="16" s="1"/>
  <c r="LL98" i="16"/>
  <c r="IU98" i="16"/>
  <c r="AH98" i="16" s="1"/>
  <c r="GD98" i="16"/>
  <c r="AG98" i="16" s="1"/>
  <c r="DM98" i="16"/>
  <c r="AF98" i="16" s="1"/>
  <c r="AV98" i="16"/>
  <c r="AE98" i="16" s="1"/>
  <c r="TK108" i="16"/>
  <c r="AL108" i="16" s="1"/>
  <c r="QT108" i="16"/>
  <c r="AK108" i="16" s="1"/>
  <c r="OC108" i="16"/>
  <c r="AJ108" i="16" s="1"/>
  <c r="LL108" i="16"/>
  <c r="AV108" i="16"/>
  <c r="AE108" i="16" s="1"/>
  <c r="IU108" i="16"/>
  <c r="AH108" i="16" s="1"/>
  <c r="GD108" i="16"/>
  <c r="AG108" i="16" s="1"/>
  <c r="DM108" i="16"/>
  <c r="AF108" i="16" s="1"/>
  <c r="TK146" i="16"/>
  <c r="AL146" i="16" s="1"/>
  <c r="QT146" i="16"/>
  <c r="AK146" i="16" s="1"/>
  <c r="OC146" i="16"/>
  <c r="AJ146" i="16" s="1"/>
  <c r="LL146" i="16"/>
  <c r="IU146" i="16"/>
  <c r="AH146" i="16" s="1"/>
  <c r="GD146" i="16"/>
  <c r="AG146" i="16" s="1"/>
  <c r="DM146" i="16"/>
  <c r="AF146" i="16" s="1"/>
  <c r="AV146" i="16"/>
  <c r="AE146" i="16" s="1"/>
  <c r="TK84" i="16"/>
  <c r="AL84" i="16" s="1"/>
  <c r="QT84" i="16"/>
  <c r="AK84" i="16" s="1"/>
  <c r="OC84" i="16"/>
  <c r="AJ84" i="16" s="1"/>
  <c r="LL84" i="16"/>
  <c r="AV84" i="16"/>
  <c r="AE84" i="16" s="1"/>
  <c r="IU84" i="16"/>
  <c r="AH84" i="16" s="1"/>
  <c r="GD84" i="16"/>
  <c r="AG84" i="16" s="1"/>
  <c r="DM84" i="16"/>
  <c r="AF84" i="16" s="1"/>
  <c r="TK140" i="16"/>
  <c r="AL140" i="16" s="1"/>
  <c r="QT140" i="16"/>
  <c r="AK140" i="16" s="1"/>
  <c r="OC140" i="16"/>
  <c r="AJ140" i="16" s="1"/>
  <c r="LL140" i="16"/>
  <c r="AV140" i="16"/>
  <c r="AE140" i="16" s="1"/>
  <c r="IU140" i="16"/>
  <c r="AH140" i="16" s="1"/>
  <c r="GD140" i="16"/>
  <c r="AG140" i="16" s="1"/>
  <c r="DM140" i="16"/>
  <c r="AF140" i="16" s="1"/>
  <c r="TK91" i="16"/>
  <c r="AL91" i="16" s="1"/>
  <c r="QT91" i="16"/>
  <c r="AK91" i="16" s="1"/>
  <c r="OC91" i="16"/>
  <c r="AJ91" i="16" s="1"/>
  <c r="LL91" i="16"/>
  <c r="IU91" i="16"/>
  <c r="AH91" i="16" s="1"/>
  <c r="GD91" i="16"/>
  <c r="AG91" i="16" s="1"/>
  <c r="DM91" i="16"/>
  <c r="AF91" i="16" s="1"/>
  <c r="AV91" i="16"/>
  <c r="AE91" i="16" s="1"/>
  <c r="TK170" i="16"/>
  <c r="AL170" i="16" s="1"/>
  <c r="QT170" i="16"/>
  <c r="AK170" i="16" s="1"/>
  <c r="OC170" i="16"/>
  <c r="AJ170" i="16" s="1"/>
  <c r="LL170" i="16"/>
  <c r="IU170" i="16"/>
  <c r="AH170" i="16" s="1"/>
  <c r="GD170" i="16"/>
  <c r="AG170" i="16" s="1"/>
  <c r="DM170" i="16"/>
  <c r="AF170" i="16" s="1"/>
  <c r="AV170" i="16"/>
  <c r="AE170" i="16" s="1"/>
  <c r="TK254" i="16"/>
  <c r="AL254" i="16" s="1"/>
  <c r="QT254" i="16"/>
  <c r="AK254" i="16" s="1"/>
  <c r="OC254" i="16"/>
  <c r="AJ254" i="16" s="1"/>
  <c r="LL254" i="16"/>
  <c r="IU254" i="16"/>
  <c r="AH254" i="16" s="1"/>
  <c r="GD254" i="16"/>
  <c r="AG254" i="16" s="1"/>
  <c r="DM254" i="16"/>
  <c r="AF254" i="16" s="1"/>
  <c r="AV254" i="16"/>
  <c r="AE254" i="16" s="1"/>
  <c r="TK285" i="16"/>
  <c r="AL285" i="16" s="1"/>
  <c r="GD285" i="16"/>
  <c r="AG285" i="16" s="1"/>
  <c r="OC285" i="16"/>
  <c r="AJ285" i="16" s="1"/>
  <c r="IU285" i="16"/>
  <c r="AH285" i="16" s="1"/>
  <c r="QT285" i="16"/>
  <c r="AK285" i="16" s="1"/>
  <c r="LL285" i="16"/>
  <c r="AV285" i="16"/>
  <c r="AE285" i="16" s="1"/>
  <c r="DM285" i="16"/>
  <c r="AF285" i="16" s="1"/>
  <c r="LL287" i="16"/>
  <c r="TK287" i="16"/>
  <c r="AL287" i="16" s="1"/>
  <c r="GD287" i="16"/>
  <c r="AG287" i="16" s="1"/>
  <c r="OC287" i="16"/>
  <c r="AJ287" i="16" s="1"/>
  <c r="IU287" i="16"/>
  <c r="AH287" i="16" s="1"/>
  <c r="QT287" i="16"/>
  <c r="AK287" i="16" s="1"/>
  <c r="AV287" i="16"/>
  <c r="AE287" i="16" s="1"/>
  <c r="DM287" i="16"/>
  <c r="AF287" i="16" s="1"/>
  <c r="TK25" i="16"/>
  <c r="AL25" i="16" s="1"/>
  <c r="GD25" i="16"/>
  <c r="AG25" i="16" s="1"/>
  <c r="OC25" i="16"/>
  <c r="AJ25" i="16" s="1"/>
  <c r="IU25" i="16"/>
  <c r="AH25" i="16" s="1"/>
  <c r="QT25" i="16"/>
  <c r="AK25" i="16" s="1"/>
  <c r="LL25" i="16"/>
  <c r="AV25" i="16"/>
  <c r="AE25" i="16" s="1"/>
  <c r="DM25" i="16"/>
  <c r="AF25" i="16" s="1"/>
  <c r="IU22" i="16"/>
  <c r="AH22" i="16" s="1"/>
  <c r="QT22" i="16"/>
  <c r="AK22" i="16" s="1"/>
  <c r="LL22" i="16"/>
  <c r="TK22" i="16"/>
  <c r="AL22" i="16" s="1"/>
  <c r="GD22" i="16"/>
  <c r="AG22" i="16" s="1"/>
  <c r="OC22" i="16"/>
  <c r="AJ22" i="16" s="1"/>
  <c r="DM22" i="16"/>
  <c r="AF22" i="16" s="1"/>
  <c r="AV22" i="16"/>
  <c r="AE22" i="16" s="1"/>
  <c r="IU54" i="16"/>
  <c r="AH54" i="16" s="1"/>
  <c r="QT54" i="16"/>
  <c r="AK54" i="16" s="1"/>
  <c r="LL54" i="16"/>
  <c r="TK54" i="16"/>
  <c r="AL54" i="16" s="1"/>
  <c r="GD54" i="16"/>
  <c r="AG54" i="16" s="1"/>
  <c r="OC54" i="16"/>
  <c r="AJ54" i="16" s="1"/>
  <c r="DM54" i="16"/>
  <c r="AF54" i="16" s="1"/>
  <c r="AV54" i="16"/>
  <c r="AE54" i="16" s="1"/>
  <c r="LL294" i="16"/>
  <c r="TK294" i="16"/>
  <c r="AL294" i="16" s="1"/>
  <c r="GD294" i="16"/>
  <c r="AG294" i="16" s="1"/>
  <c r="OC294" i="16"/>
  <c r="AJ294" i="16" s="1"/>
  <c r="IU294" i="16"/>
  <c r="AH294" i="16" s="1"/>
  <c r="QT294" i="16"/>
  <c r="AK294" i="16" s="1"/>
  <c r="AV294" i="16"/>
  <c r="AE294" i="16" s="1"/>
  <c r="DM294" i="16"/>
  <c r="AF294" i="16" s="1"/>
  <c r="TK57" i="16"/>
  <c r="AL57" i="16" s="1"/>
  <c r="GD57" i="16"/>
  <c r="AG57" i="16" s="1"/>
  <c r="OC57" i="16"/>
  <c r="AJ57" i="16" s="1"/>
  <c r="IU57" i="16"/>
  <c r="AH57" i="16" s="1"/>
  <c r="QT57" i="16"/>
  <c r="AK57" i="16" s="1"/>
  <c r="LL57" i="16"/>
  <c r="AV57" i="16"/>
  <c r="AE57" i="16" s="1"/>
  <c r="DM57" i="16"/>
  <c r="AF57" i="16" s="1"/>
  <c r="QT265" i="16"/>
  <c r="AK265" i="16" s="1"/>
  <c r="LL66" i="16"/>
  <c r="TK66" i="16"/>
  <c r="AL66" i="16" s="1"/>
  <c r="GD66" i="16"/>
  <c r="AG66" i="16" s="1"/>
  <c r="OC66" i="16"/>
  <c r="AJ66" i="16" s="1"/>
  <c r="IU66" i="16"/>
  <c r="AH66" i="16" s="1"/>
  <c r="QT66" i="16"/>
  <c r="AK66" i="16" s="1"/>
  <c r="AV66" i="16"/>
  <c r="AE66" i="16" s="1"/>
  <c r="DM66" i="16"/>
  <c r="AF66" i="16" s="1"/>
  <c r="LL58" i="16"/>
  <c r="TK58" i="16"/>
  <c r="AL58" i="16" s="1"/>
  <c r="GD58" i="16"/>
  <c r="AG58" i="16" s="1"/>
  <c r="OC58" i="16"/>
  <c r="AJ58" i="16" s="1"/>
  <c r="IU58" i="16"/>
  <c r="AH58" i="16" s="1"/>
  <c r="QT58" i="16"/>
  <c r="AK58" i="16" s="1"/>
  <c r="AV58" i="16"/>
  <c r="AE58" i="16" s="1"/>
  <c r="DM58" i="16"/>
  <c r="AF58" i="16" s="1"/>
  <c r="LL271" i="16"/>
  <c r="TK271" i="16"/>
  <c r="AL271" i="16" s="1"/>
  <c r="GD271" i="16"/>
  <c r="AG271" i="16" s="1"/>
  <c r="OC271" i="16"/>
  <c r="AJ271" i="16" s="1"/>
  <c r="IU271" i="16"/>
  <c r="AH271" i="16" s="1"/>
  <c r="QT271" i="16"/>
  <c r="AK271" i="16" s="1"/>
  <c r="AV271" i="16"/>
  <c r="AE271" i="16" s="1"/>
  <c r="DM271" i="16"/>
  <c r="AF271" i="16" s="1"/>
  <c r="LL50" i="16"/>
  <c r="TK50" i="16"/>
  <c r="AL50" i="16" s="1"/>
  <c r="GD50" i="16"/>
  <c r="AG50" i="16" s="1"/>
  <c r="OC50" i="16"/>
  <c r="AJ50" i="16" s="1"/>
  <c r="IU50" i="16"/>
  <c r="AH50" i="16" s="1"/>
  <c r="QT50" i="16"/>
  <c r="AK50" i="16" s="1"/>
  <c r="AV50" i="16"/>
  <c r="AE50" i="16" s="1"/>
  <c r="DM50" i="16"/>
  <c r="AF50" i="16" s="1"/>
  <c r="IU45" i="16"/>
  <c r="AH45" i="16" s="1"/>
  <c r="QT45" i="16"/>
  <c r="AK45" i="16" s="1"/>
  <c r="LL45" i="16"/>
  <c r="TK45" i="16"/>
  <c r="AL45" i="16" s="1"/>
  <c r="GD45" i="16"/>
  <c r="AG45" i="16" s="1"/>
  <c r="OC45" i="16"/>
  <c r="AJ45" i="16" s="1"/>
  <c r="AV45" i="16"/>
  <c r="AE45" i="16" s="1"/>
  <c r="DM45" i="16"/>
  <c r="AF45" i="16" s="1"/>
  <c r="IU53" i="16"/>
  <c r="AH53" i="16" s="1"/>
  <c r="QT53" i="16"/>
  <c r="AK53" i="16" s="1"/>
  <c r="LL53" i="16"/>
  <c r="TK53" i="16"/>
  <c r="AL53" i="16" s="1"/>
  <c r="GD53" i="16"/>
  <c r="AG53" i="16" s="1"/>
  <c r="OC53" i="16"/>
  <c r="AJ53" i="16" s="1"/>
  <c r="AV53" i="16"/>
  <c r="AE53" i="16" s="1"/>
  <c r="DM53" i="16"/>
  <c r="AF53" i="16" s="1"/>
  <c r="TK33" i="16"/>
  <c r="AL33" i="16" s="1"/>
  <c r="GD33" i="16"/>
  <c r="AG33" i="16" s="1"/>
  <c r="OC33" i="16"/>
  <c r="AJ33" i="16" s="1"/>
  <c r="IU33" i="16"/>
  <c r="AH33" i="16" s="1"/>
  <c r="QT33" i="16"/>
  <c r="AK33" i="16" s="1"/>
  <c r="LL33" i="16"/>
  <c r="AV33" i="16"/>
  <c r="AE33" i="16" s="1"/>
  <c r="DM33" i="16"/>
  <c r="AF33" i="16" s="1"/>
  <c r="TK65" i="16"/>
  <c r="AL65" i="16" s="1"/>
  <c r="GD65" i="16"/>
  <c r="AG65" i="16" s="1"/>
  <c r="OC65" i="16"/>
  <c r="AJ65" i="16" s="1"/>
  <c r="IU65" i="16"/>
  <c r="AH65" i="16" s="1"/>
  <c r="QT65" i="16"/>
  <c r="AK65" i="16" s="1"/>
  <c r="LL65" i="16"/>
  <c r="AV65" i="16"/>
  <c r="AE65" i="16" s="1"/>
  <c r="DM65" i="16"/>
  <c r="AF65" i="16" s="1"/>
  <c r="IU30" i="16"/>
  <c r="AH30" i="16" s="1"/>
  <c r="QT30" i="16"/>
  <c r="AK30" i="16" s="1"/>
  <c r="LL30" i="16"/>
  <c r="TK30" i="16"/>
  <c r="AL30" i="16" s="1"/>
  <c r="GD30" i="16"/>
  <c r="AG30" i="16" s="1"/>
  <c r="OC30" i="16"/>
  <c r="AJ30" i="16" s="1"/>
  <c r="DM30" i="16"/>
  <c r="AF30" i="16" s="1"/>
  <c r="AV30" i="16"/>
  <c r="AE30" i="16" s="1"/>
  <c r="IU62" i="16"/>
  <c r="AH62" i="16" s="1"/>
  <c r="QT62" i="16"/>
  <c r="AK62" i="16" s="1"/>
  <c r="LL62" i="16"/>
  <c r="TK62" i="16"/>
  <c r="AL62" i="16" s="1"/>
  <c r="GD62" i="16"/>
  <c r="AG62" i="16" s="1"/>
  <c r="OC62" i="16"/>
  <c r="AJ62" i="16" s="1"/>
  <c r="DM62" i="16"/>
  <c r="AF62" i="16" s="1"/>
  <c r="AV62" i="16"/>
  <c r="AE62" i="16" s="1"/>
  <c r="LL295" i="16"/>
  <c r="TK295" i="16"/>
  <c r="AL295" i="16" s="1"/>
  <c r="GD295" i="16"/>
  <c r="AG295" i="16" s="1"/>
  <c r="OC295" i="16"/>
  <c r="AJ295" i="16" s="1"/>
  <c r="IU295" i="16"/>
  <c r="AH295" i="16" s="1"/>
  <c r="QT295" i="16"/>
  <c r="AK295" i="16" s="1"/>
  <c r="AV295" i="16"/>
  <c r="AE295" i="16" s="1"/>
  <c r="DM295" i="16"/>
  <c r="AF295" i="16" s="1"/>
  <c r="LL265" i="16"/>
  <c r="GD266" i="16"/>
  <c r="AG266" i="16" s="1"/>
  <c r="OC266" i="16"/>
  <c r="AJ266" i="16" s="1"/>
  <c r="IU266" i="16"/>
  <c r="AH266" i="16" s="1"/>
  <c r="QT266" i="16"/>
  <c r="AK266" i="16" s="1"/>
  <c r="LL266" i="16"/>
  <c r="TK266" i="16"/>
  <c r="AL266" i="16" s="1"/>
  <c r="AV266" i="16"/>
  <c r="AE266" i="16" s="1"/>
  <c r="DM266" i="16"/>
  <c r="AF266" i="16" s="1"/>
  <c r="OC15" i="16"/>
  <c r="AJ15" i="16" s="1"/>
  <c r="IU15" i="16"/>
  <c r="AH15" i="16" s="1"/>
  <c r="QT15" i="16"/>
  <c r="AK15" i="16" s="1"/>
  <c r="DM15" i="16"/>
  <c r="AF15" i="16" s="1"/>
  <c r="LL15" i="16"/>
  <c r="TK15" i="16"/>
  <c r="AL15" i="16" s="1"/>
  <c r="GD15" i="16"/>
  <c r="AG15" i="16" s="1"/>
  <c r="AV15" i="16"/>
  <c r="AE15" i="16" s="1"/>
  <c r="LL67" i="16"/>
  <c r="TK67" i="16"/>
  <c r="AL67" i="16" s="1"/>
  <c r="GD67" i="16"/>
  <c r="AG67" i="16" s="1"/>
  <c r="OC67" i="16"/>
  <c r="AJ67" i="16" s="1"/>
  <c r="IU67" i="16"/>
  <c r="AH67" i="16" s="1"/>
  <c r="QT67" i="16"/>
  <c r="AK67" i="16" s="1"/>
  <c r="AV67" i="16"/>
  <c r="AE67" i="16" s="1"/>
  <c r="DM67" i="16"/>
  <c r="AF67" i="16" s="1"/>
  <c r="LL10" i="16"/>
  <c r="TK10" i="16"/>
  <c r="AL10" i="16" s="1"/>
  <c r="GD10" i="16"/>
  <c r="AG10" i="16" s="1"/>
  <c r="OC10" i="16"/>
  <c r="AJ10" i="16" s="1"/>
  <c r="IU10" i="16"/>
  <c r="AH10" i="16" s="1"/>
  <c r="QT10" i="16"/>
  <c r="AK10" i="16" s="1"/>
  <c r="DM10" i="16"/>
  <c r="AF10" i="16" s="1"/>
  <c r="AV10" i="16"/>
  <c r="AE10" i="16" s="1"/>
  <c r="LL59" i="16"/>
  <c r="TK59" i="16"/>
  <c r="AL59" i="16" s="1"/>
  <c r="GD59" i="16"/>
  <c r="AG59" i="16" s="1"/>
  <c r="OC59" i="16"/>
  <c r="AJ59" i="16" s="1"/>
  <c r="IU59" i="16"/>
  <c r="AH59" i="16" s="1"/>
  <c r="QT59" i="16"/>
  <c r="AK59" i="16" s="1"/>
  <c r="AV59" i="16"/>
  <c r="AE59" i="16" s="1"/>
  <c r="DM59" i="16"/>
  <c r="AF59" i="16" s="1"/>
  <c r="LL270" i="16"/>
  <c r="TK270" i="16"/>
  <c r="AL270" i="16" s="1"/>
  <c r="GD270" i="16"/>
  <c r="AG270" i="16" s="1"/>
  <c r="OC270" i="16"/>
  <c r="AJ270" i="16" s="1"/>
  <c r="IU270" i="16"/>
  <c r="AH270" i="16" s="1"/>
  <c r="QT270" i="16"/>
  <c r="AK270" i="16" s="1"/>
  <c r="AV270" i="16"/>
  <c r="AE270" i="16" s="1"/>
  <c r="DM270" i="16"/>
  <c r="AF270" i="16" s="1"/>
  <c r="QT20" i="16"/>
  <c r="AK20" i="16" s="1"/>
  <c r="LL20" i="16"/>
  <c r="TK20" i="16"/>
  <c r="AL20" i="16" s="1"/>
  <c r="GD20" i="16"/>
  <c r="AG20" i="16" s="1"/>
  <c r="OC20" i="16"/>
  <c r="AJ20" i="16" s="1"/>
  <c r="IU20" i="16"/>
  <c r="AH20" i="16" s="1"/>
  <c r="AV20" i="16"/>
  <c r="AE20" i="16" s="1"/>
  <c r="DM20" i="16"/>
  <c r="AF20" i="16" s="1"/>
  <c r="IU61" i="16"/>
  <c r="AH61" i="16" s="1"/>
  <c r="QT61" i="16"/>
  <c r="AK61" i="16" s="1"/>
  <c r="LL61" i="16"/>
  <c r="TK61" i="16"/>
  <c r="AL61" i="16" s="1"/>
  <c r="GD61" i="16"/>
  <c r="AG61" i="16" s="1"/>
  <c r="OC61" i="16"/>
  <c r="AJ61" i="16" s="1"/>
  <c r="AV61" i="16"/>
  <c r="AE61" i="16" s="1"/>
  <c r="DM61" i="16"/>
  <c r="AF61" i="16" s="1"/>
  <c r="IU268" i="16"/>
  <c r="AH268" i="16" s="1"/>
  <c r="GD24" i="16"/>
  <c r="AG24" i="16" s="1"/>
  <c r="OC24" i="16"/>
  <c r="AJ24" i="16" s="1"/>
  <c r="IU24" i="16"/>
  <c r="AH24" i="16" s="1"/>
  <c r="QT24" i="16"/>
  <c r="AK24" i="16" s="1"/>
  <c r="LL24" i="16"/>
  <c r="TK24" i="16"/>
  <c r="AL24" i="16" s="1"/>
  <c r="AV24" i="16"/>
  <c r="AE24" i="16" s="1"/>
  <c r="DM24" i="16"/>
  <c r="AF24" i="16" s="1"/>
  <c r="LL19" i="16"/>
  <c r="TK19" i="16"/>
  <c r="AL19" i="16" s="1"/>
  <c r="GD19" i="16"/>
  <c r="AG19" i="16" s="1"/>
  <c r="OC19" i="16"/>
  <c r="AJ19" i="16" s="1"/>
  <c r="IU19" i="16"/>
  <c r="AH19" i="16" s="1"/>
  <c r="QT19" i="16"/>
  <c r="AK19" i="16" s="1"/>
  <c r="AV19" i="16"/>
  <c r="AE19" i="16" s="1"/>
  <c r="DM19" i="16"/>
  <c r="AF19" i="16" s="1"/>
  <c r="IU69" i="16"/>
  <c r="AH69" i="16" s="1"/>
  <c r="QT69" i="16"/>
  <c r="AK69" i="16" s="1"/>
  <c r="LL69" i="16"/>
  <c r="TK69" i="16"/>
  <c r="AL69" i="16" s="1"/>
  <c r="GD69" i="16"/>
  <c r="AG69" i="16" s="1"/>
  <c r="OC69" i="16"/>
  <c r="AJ69" i="16" s="1"/>
  <c r="AV69" i="16"/>
  <c r="AE69" i="16" s="1"/>
  <c r="DM69" i="16"/>
  <c r="AF69" i="16" s="1"/>
  <c r="IU38" i="16"/>
  <c r="AH38" i="16" s="1"/>
  <c r="QT38" i="16"/>
  <c r="AK38" i="16" s="1"/>
  <c r="LL38" i="16"/>
  <c r="TK38" i="16"/>
  <c r="AL38" i="16" s="1"/>
  <c r="GD38" i="16"/>
  <c r="AG38" i="16" s="1"/>
  <c r="OC38" i="16"/>
  <c r="AJ38" i="16" s="1"/>
  <c r="DM38" i="16"/>
  <c r="AF38" i="16" s="1"/>
  <c r="AV38" i="16"/>
  <c r="AE38" i="16" s="1"/>
  <c r="IU70" i="16"/>
  <c r="AH70" i="16" s="1"/>
  <c r="QT70" i="16"/>
  <c r="AK70" i="16" s="1"/>
  <c r="LL70" i="16"/>
  <c r="TK70" i="16"/>
  <c r="AL70" i="16" s="1"/>
  <c r="GD70" i="16"/>
  <c r="AG70" i="16" s="1"/>
  <c r="OC70" i="16"/>
  <c r="AJ70" i="16" s="1"/>
  <c r="DM70" i="16"/>
  <c r="AF70" i="16" s="1"/>
  <c r="AV70" i="16"/>
  <c r="AE70" i="16" s="1"/>
  <c r="LL279" i="16"/>
  <c r="TK279" i="16"/>
  <c r="AL279" i="16" s="1"/>
  <c r="GD279" i="16"/>
  <c r="AG279" i="16" s="1"/>
  <c r="OC279" i="16"/>
  <c r="AJ279" i="16" s="1"/>
  <c r="IU279" i="16"/>
  <c r="AH279" i="16" s="1"/>
  <c r="QT279" i="16"/>
  <c r="AK279" i="16" s="1"/>
  <c r="AV279" i="16"/>
  <c r="AE279" i="16" s="1"/>
  <c r="DM279" i="16"/>
  <c r="AF279" i="16" s="1"/>
  <c r="TK41" i="16"/>
  <c r="AL41" i="16" s="1"/>
  <c r="GD41" i="16"/>
  <c r="AG41" i="16" s="1"/>
  <c r="OC41" i="16"/>
  <c r="AJ41" i="16" s="1"/>
  <c r="IU41" i="16"/>
  <c r="AH41" i="16" s="1"/>
  <c r="QT41" i="16"/>
  <c r="AK41" i="16" s="1"/>
  <c r="LL41" i="16"/>
  <c r="AV41" i="16"/>
  <c r="AE41" i="16" s="1"/>
  <c r="DM41" i="16"/>
  <c r="AF41" i="16" s="1"/>
  <c r="AV265" i="16"/>
  <c r="AE265" i="16" s="1"/>
  <c r="LL268" i="16"/>
  <c r="QT280" i="16"/>
  <c r="AK280" i="16" s="1"/>
  <c r="LL280" i="16"/>
  <c r="TK280" i="16"/>
  <c r="AL280" i="16" s="1"/>
  <c r="GD280" i="16"/>
  <c r="AG280" i="16" s="1"/>
  <c r="OC280" i="16"/>
  <c r="AJ280" i="16" s="1"/>
  <c r="IU280" i="16"/>
  <c r="AH280" i="16" s="1"/>
  <c r="AV280" i="16"/>
  <c r="AE280" i="16" s="1"/>
  <c r="DM280" i="16"/>
  <c r="AF280" i="16" s="1"/>
  <c r="IU37" i="16"/>
  <c r="AH37" i="16" s="1"/>
  <c r="QT37" i="16"/>
  <c r="AK37" i="16" s="1"/>
  <c r="LL37" i="16"/>
  <c r="TK37" i="16"/>
  <c r="AL37" i="16" s="1"/>
  <c r="GD37" i="16"/>
  <c r="AG37" i="16" s="1"/>
  <c r="OC37" i="16"/>
  <c r="AJ37" i="16" s="1"/>
  <c r="AV37" i="16"/>
  <c r="AE37" i="16" s="1"/>
  <c r="DM37" i="16"/>
  <c r="AF37" i="16" s="1"/>
  <c r="GD276" i="16"/>
  <c r="AG276" i="16" s="1"/>
  <c r="OC276" i="16"/>
  <c r="AJ276" i="16" s="1"/>
  <c r="IU276" i="16"/>
  <c r="AH276" i="16" s="1"/>
  <c r="QT276" i="16"/>
  <c r="AK276" i="16" s="1"/>
  <c r="LL276" i="16"/>
  <c r="TK276" i="16"/>
  <c r="AL276" i="16" s="1"/>
  <c r="AV276" i="16"/>
  <c r="AE276" i="16" s="1"/>
  <c r="DM276" i="16"/>
  <c r="AF276" i="16" s="1"/>
  <c r="QT12" i="16"/>
  <c r="AK12" i="16" s="1"/>
  <c r="DM12" i="16"/>
  <c r="AF12" i="16" s="1"/>
  <c r="LL12" i="16"/>
  <c r="TK12" i="16"/>
  <c r="AL12" i="16" s="1"/>
  <c r="GD12" i="16"/>
  <c r="AG12" i="16" s="1"/>
  <c r="OC12" i="16"/>
  <c r="AJ12" i="16" s="1"/>
  <c r="IU12" i="16"/>
  <c r="AH12" i="16" s="1"/>
  <c r="AV12" i="16"/>
  <c r="AE12" i="16" s="1"/>
  <c r="DM265" i="16"/>
  <c r="AF265" i="16" s="1"/>
  <c r="GD268" i="16"/>
  <c r="AG268" i="16" s="1"/>
  <c r="GD284" i="16"/>
  <c r="AG284" i="16" s="1"/>
  <c r="OC284" i="16"/>
  <c r="AJ284" i="16" s="1"/>
  <c r="IU284" i="16"/>
  <c r="AH284" i="16" s="1"/>
  <c r="QT284" i="16"/>
  <c r="AK284" i="16" s="1"/>
  <c r="LL284" i="16"/>
  <c r="TK284" i="16"/>
  <c r="AL284" i="16" s="1"/>
  <c r="AV284" i="16"/>
  <c r="AE284" i="16" s="1"/>
  <c r="DM284" i="16"/>
  <c r="AF284" i="16" s="1"/>
  <c r="OC55" i="16"/>
  <c r="AJ55" i="16" s="1"/>
  <c r="IU55" i="16"/>
  <c r="AH55" i="16" s="1"/>
  <c r="QT55" i="16"/>
  <c r="AK55" i="16" s="1"/>
  <c r="LL55" i="16"/>
  <c r="TK55" i="16"/>
  <c r="AL55" i="16" s="1"/>
  <c r="GD55" i="16"/>
  <c r="AG55" i="16" s="1"/>
  <c r="DM55" i="16"/>
  <c r="AF55" i="16" s="1"/>
  <c r="AV55" i="16"/>
  <c r="AE55" i="16" s="1"/>
  <c r="OC291" i="16"/>
  <c r="AJ291" i="16" s="1"/>
  <c r="IU291" i="16"/>
  <c r="AH291" i="16" s="1"/>
  <c r="QT291" i="16"/>
  <c r="AK291" i="16" s="1"/>
  <c r="LL291" i="16"/>
  <c r="TK291" i="16"/>
  <c r="AL291" i="16" s="1"/>
  <c r="GD291" i="16"/>
  <c r="AG291" i="16" s="1"/>
  <c r="AV291" i="16"/>
  <c r="AE291" i="16" s="1"/>
  <c r="DM291" i="16"/>
  <c r="AF291" i="16" s="1"/>
  <c r="TK17" i="16"/>
  <c r="AL17" i="16" s="1"/>
  <c r="GD17" i="16"/>
  <c r="AG17" i="16" s="1"/>
  <c r="OC17" i="16"/>
  <c r="AJ17" i="16" s="1"/>
  <c r="IU17" i="16"/>
  <c r="AH17" i="16" s="1"/>
  <c r="QT17" i="16"/>
  <c r="AK17" i="16" s="1"/>
  <c r="DM17" i="16"/>
  <c r="AF17" i="16" s="1"/>
  <c r="LL17" i="16"/>
  <c r="AV17" i="16"/>
  <c r="AE17" i="16" s="1"/>
  <c r="TK49" i="16"/>
  <c r="AL49" i="16" s="1"/>
  <c r="GD49" i="16"/>
  <c r="AG49" i="16" s="1"/>
  <c r="OC49" i="16"/>
  <c r="AJ49" i="16" s="1"/>
  <c r="IU49" i="16"/>
  <c r="AH49" i="16" s="1"/>
  <c r="QT49" i="16"/>
  <c r="AK49" i="16" s="1"/>
  <c r="LL49" i="16"/>
  <c r="AV49" i="16"/>
  <c r="AE49" i="16" s="1"/>
  <c r="DM49" i="16"/>
  <c r="AF49" i="16" s="1"/>
  <c r="TK277" i="16"/>
  <c r="AL277" i="16" s="1"/>
  <c r="GD277" i="16"/>
  <c r="AG277" i="16" s="1"/>
  <c r="OC277" i="16"/>
  <c r="AJ277" i="16" s="1"/>
  <c r="IU277" i="16"/>
  <c r="AH277" i="16" s="1"/>
  <c r="QT277" i="16"/>
  <c r="AK277" i="16" s="1"/>
  <c r="LL277" i="16"/>
  <c r="AV277" i="16"/>
  <c r="AE277" i="16" s="1"/>
  <c r="DM277" i="16"/>
  <c r="AF277" i="16" s="1"/>
  <c r="TK269" i="16"/>
  <c r="AL269" i="16" s="1"/>
  <c r="GD269" i="16"/>
  <c r="AG269" i="16" s="1"/>
  <c r="OC269" i="16"/>
  <c r="AJ269" i="16" s="1"/>
  <c r="IU269" i="16"/>
  <c r="AH269" i="16" s="1"/>
  <c r="QT269" i="16"/>
  <c r="AK269" i="16" s="1"/>
  <c r="LL269" i="16"/>
  <c r="AV269" i="16"/>
  <c r="AE269" i="16" s="1"/>
  <c r="DM269" i="16"/>
  <c r="AF269" i="16" s="1"/>
  <c r="IU46" i="16"/>
  <c r="AH46" i="16" s="1"/>
  <c r="QT46" i="16"/>
  <c r="AK46" i="16" s="1"/>
  <c r="LL46" i="16"/>
  <c r="TK46" i="16"/>
  <c r="AL46" i="16" s="1"/>
  <c r="GD46" i="16"/>
  <c r="AG46" i="16" s="1"/>
  <c r="OC46" i="16"/>
  <c r="AJ46" i="16" s="1"/>
  <c r="DM46" i="16"/>
  <c r="AF46" i="16" s="1"/>
  <c r="AV46" i="16"/>
  <c r="AE46" i="16" s="1"/>
  <c r="TK293" i="16"/>
  <c r="AL293" i="16" s="1"/>
  <c r="GD293" i="16"/>
  <c r="AG293" i="16" s="1"/>
  <c r="OC293" i="16"/>
  <c r="AJ293" i="16" s="1"/>
  <c r="IU293" i="16"/>
  <c r="AH293" i="16" s="1"/>
  <c r="QT293" i="16"/>
  <c r="AK293" i="16" s="1"/>
  <c r="LL293" i="16"/>
  <c r="AV293" i="16"/>
  <c r="AE293" i="16" s="1"/>
  <c r="DM293" i="16"/>
  <c r="AF293" i="16" s="1"/>
  <c r="LL278" i="16"/>
  <c r="TK278" i="16"/>
  <c r="AL278" i="16" s="1"/>
  <c r="GD278" i="16"/>
  <c r="AG278" i="16" s="1"/>
  <c r="OC278" i="16"/>
  <c r="AJ278" i="16" s="1"/>
  <c r="IU278" i="16"/>
  <c r="AH278" i="16" s="1"/>
  <c r="QT278" i="16"/>
  <c r="AK278" i="16" s="1"/>
  <c r="AV278" i="16"/>
  <c r="AE278" i="16" s="1"/>
  <c r="DM278" i="16"/>
  <c r="AF278" i="16" s="1"/>
  <c r="AV268" i="16"/>
  <c r="AE268" i="16" s="1"/>
  <c r="LL51" i="16"/>
  <c r="TK51" i="16"/>
  <c r="AL51" i="16" s="1"/>
  <c r="GD51" i="16"/>
  <c r="AG51" i="16" s="1"/>
  <c r="OC51" i="16"/>
  <c r="AJ51" i="16" s="1"/>
  <c r="IU51" i="16"/>
  <c r="AH51" i="16" s="1"/>
  <c r="QT51" i="16"/>
  <c r="AK51" i="16" s="1"/>
  <c r="AV51" i="16"/>
  <c r="AE51" i="16" s="1"/>
  <c r="DM51" i="16"/>
  <c r="AF51" i="16" s="1"/>
  <c r="IU289" i="16"/>
  <c r="AH289" i="16" s="1"/>
  <c r="QT289" i="16"/>
  <c r="AK289" i="16" s="1"/>
  <c r="LL289" i="16"/>
  <c r="TK289" i="16"/>
  <c r="AL289" i="16" s="1"/>
  <c r="GD289" i="16"/>
  <c r="AG289" i="16" s="1"/>
  <c r="OC289" i="16"/>
  <c r="AJ289" i="16" s="1"/>
  <c r="AV289" i="16"/>
  <c r="AE289" i="16" s="1"/>
  <c r="DM289" i="16"/>
  <c r="AF289" i="16" s="1"/>
  <c r="IU290" i="16"/>
  <c r="AH290" i="16" s="1"/>
  <c r="QT290" i="16"/>
  <c r="AK290" i="16" s="1"/>
  <c r="LL290" i="16"/>
  <c r="TK290" i="16"/>
  <c r="AL290" i="16" s="1"/>
  <c r="GD290" i="16"/>
  <c r="AG290" i="16" s="1"/>
  <c r="OC290" i="16"/>
  <c r="AJ290" i="16" s="1"/>
  <c r="DM290" i="16"/>
  <c r="AF290" i="16" s="1"/>
  <c r="AV290" i="16"/>
  <c r="AE290" i="16" s="1"/>
  <c r="GD64" i="16"/>
  <c r="AG64" i="16" s="1"/>
  <c r="OC64" i="16"/>
  <c r="AJ64" i="16" s="1"/>
  <c r="IU64" i="16"/>
  <c r="AH64" i="16" s="1"/>
  <c r="QT64" i="16"/>
  <c r="AK64" i="16" s="1"/>
  <c r="LL64" i="16"/>
  <c r="TK64" i="16"/>
  <c r="AL64" i="16" s="1"/>
  <c r="AV64" i="16"/>
  <c r="AE64" i="16" s="1"/>
  <c r="DM64" i="16"/>
  <c r="AF64" i="16" s="1"/>
  <c r="QT60" i="16"/>
  <c r="AK60" i="16" s="1"/>
  <c r="LL60" i="16"/>
  <c r="TK60" i="16"/>
  <c r="AL60" i="16" s="1"/>
  <c r="GD60" i="16"/>
  <c r="AG60" i="16" s="1"/>
  <c r="OC60" i="16"/>
  <c r="AJ60" i="16" s="1"/>
  <c r="IU60" i="16"/>
  <c r="AH60" i="16" s="1"/>
  <c r="AV60" i="16"/>
  <c r="AE60" i="16" s="1"/>
  <c r="DM60" i="16"/>
  <c r="AF60" i="16" s="1"/>
  <c r="GD292" i="16"/>
  <c r="AG292" i="16" s="1"/>
  <c r="OC292" i="16"/>
  <c r="AJ292" i="16" s="1"/>
  <c r="IU292" i="16"/>
  <c r="AH292" i="16" s="1"/>
  <c r="QT292" i="16"/>
  <c r="AK292" i="16" s="1"/>
  <c r="LL292" i="16"/>
  <c r="TK292" i="16"/>
  <c r="AL292" i="16" s="1"/>
  <c r="AV292" i="16"/>
  <c r="AE292" i="16" s="1"/>
  <c r="DM292" i="16"/>
  <c r="AF292" i="16" s="1"/>
  <c r="LL43" i="16"/>
  <c r="TK43" i="16"/>
  <c r="AL43" i="16" s="1"/>
  <c r="GD43" i="16"/>
  <c r="AG43" i="16" s="1"/>
  <c r="OC43" i="16"/>
  <c r="AJ43" i="16" s="1"/>
  <c r="IU43" i="16"/>
  <c r="AH43" i="16" s="1"/>
  <c r="QT43" i="16"/>
  <c r="AK43" i="16" s="1"/>
  <c r="AV43" i="16"/>
  <c r="AE43" i="16" s="1"/>
  <c r="DM43" i="16"/>
  <c r="AF43" i="16" s="1"/>
  <c r="IU297" i="16"/>
  <c r="AH297" i="16" s="1"/>
  <c r="QT297" i="16"/>
  <c r="AK297" i="16" s="1"/>
  <c r="LL297" i="16"/>
  <c r="TK297" i="16"/>
  <c r="AL297" i="16" s="1"/>
  <c r="GD297" i="16"/>
  <c r="AG297" i="16" s="1"/>
  <c r="OC297" i="16"/>
  <c r="AJ297" i="16" s="1"/>
  <c r="AV297" i="16"/>
  <c r="AE297" i="16" s="1"/>
  <c r="DM297" i="16"/>
  <c r="AF297" i="16" s="1"/>
  <c r="LL35" i="16"/>
  <c r="TK35" i="16"/>
  <c r="AL35" i="16" s="1"/>
  <c r="GD35" i="16"/>
  <c r="AG35" i="16" s="1"/>
  <c r="OC35" i="16"/>
  <c r="AJ35" i="16" s="1"/>
  <c r="IU35" i="16"/>
  <c r="AH35" i="16" s="1"/>
  <c r="QT35" i="16"/>
  <c r="AK35" i="16" s="1"/>
  <c r="AV35" i="16"/>
  <c r="AE35" i="16" s="1"/>
  <c r="DM35" i="16"/>
  <c r="AF35" i="16" s="1"/>
  <c r="LL27" i="16"/>
  <c r="TK27" i="16"/>
  <c r="AL27" i="16" s="1"/>
  <c r="GD27" i="16"/>
  <c r="AG27" i="16" s="1"/>
  <c r="OC27" i="16"/>
  <c r="AJ27" i="16" s="1"/>
  <c r="IU27" i="16"/>
  <c r="AH27" i="16" s="1"/>
  <c r="QT27" i="16"/>
  <c r="AK27" i="16" s="1"/>
  <c r="AV27" i="16"/>
  <c r="AE27" i="16" s="1"/>
  <c r="DM27" i="16"/>
  <c r="AF27" i="16" s="1"/>
  <c r="TK268" i="16"/>
  <c r="AL268" i="16" s="1"/>
  <c r="QT268" i="16"/>
  <c r="AK268" i="16" s="1"/>
  <c r="DM268" i="16"/>
  <c r="AF268" i="16" s="1"/>
  <c r="AH9" i="16"/>
  <c r="AK9" i="16"/>
  <c r="AP11" i="16"/>
  <c r="AU59" i="16"/>
  <c r="AT59" i="16"/>
  <c r="AS59" i="16"/>
  <c r="AR59" i="16"/>
  <c r="AQ59" i="16"/>
  <c r="AP59" i="16"/>
  <c r="AO59" i="16"/>
  <c r="AN59" i="16"/>
  <c r="AU60" i="16"/>
  <c r="AT60" i="16"/>
  <c r="AS60" i="16"/>
  <c r="AR60" i="16"/>
  <c r="AQ60" i="16"/>
  <c r="AP60" i="16"/>
  <c r="AO60" i="16"/>
  <c r="AN60" i="16"/>
  <c r="AU61" i="16"/>
  <c r="AT61" i="16"/>
  <c r="AS61" i="16"/>
  <c r="AR61" i="16"/>
  <c r="AQ61" i="16"/>
  <c r="AP61" i="16"/>
  <c r="AO61" i="16"/>
  <c r="AN61" i="16"/>
  <c r="AU62" i="16"/>
  <c r="AT62" i="16"/>
  <c r="AS62" i="16"/>
  <c r="AR62" i="16"/>
  <c r="AQ62" i="16"/>
  <c r="AP62" i="16"/>
  <c r="AO62" i="16"/>
  <c r="AN62" i="16"/>
  <c r="AU63" i="16"/>
  <c r="AT63" i="16"/>
  <c r="AS63" i="16"/>
  <c r="AR63" i="16"/>
  <c r="AQ63" i="16"/>
  <c r="AP63" i="16"/>
  <c r="AO63" i="16"/>
  <c r="AN63" i="16"/>
  <c r="AU49" i="16"/>
  <c r="AT49" i="16"/>
  <c r="AS49" i="16"/>
  <c r="AR49" i="16"/>
  <c r="AQ49" i="16"/>
  <c r="AP49" i="16"/>
  <c r="AO49" i="16"/>
  <c r="AN49" i="16"/>
  <c r="AU50" i="16"/>
  <c r="AT50" i="16"/>
  <c r="AS50" i="16"/>
  <c r="AR50" i="16"/>
  <c r="AQ50" i="16"/>
  <c r="AP50" i="16"/>
  <c r="AO50" i="16"/>
  <c r="AN50" i="16"/>
  <c r="AU51" i="16"/>
  <c r="AT51" i="16"/>
  <c r="AS51" i="16"/>
  <c r="AR51" i="16"/>
  <c r="AQ51" i="16"/>
  <c r="AP51" i="16"/>
  <c r="AO51" i="16"/>
  <c r="AN51" i="16"/>
  <c r="AU52" i="16"/>
  <c r="AT52" i="16"/>
  <c r="AS52" i="16"/>
  <c r="AR52" i="16"/>
  <c r="AQ52" i="16"/>
  <c r="AP52" i="16"/>
  <c r="AO52" i="16"/>
  <c r="AN52" i="16"/>
  <c r="AU53" i="16"/>
  <c r="AT53" i="16"/>
  <c r="AS53" i="16"/>
  <c r="AR53" i="16"/>
  <c r="AQ53" i="16"/>
  <c r="AP53" i="16"/>
  <c r="AO53" i="16"/>
  <c r="AN53" i="16"/>
  <c r="AU54" i="16"/>
  <c r="AT54" i="16"/>
  <c r="AS54" i="16"/>
  <c r="AR54" i="16"/>
  <c r="AQ54" i="16"/>
  <c r="AP54" i="16"/>
  <c r="AO54" i="16"/>
  <c r="AN54" i="16"/>
  <c r="AU55" i="16"/>
  <c r="AT55" i="16"/>
  <c r="AS55" i="16"/>
  <c r="AR55" i="16"/>
  <c r="AQ55" i="16"/>
  <c r="AP55" i="16"/>
  <c r="AO55" i="16"/>
  <c r="AN55" i="16"/>
  <c r="AU56" i="16"/>
  <c r="AT56" i="16"/>
  <c r="AS56" i="16"/>
  <c r="AR56" i="16"/>
  <c r="AQ56" i="16"/>
  <c r="AP56" i="16"/>
  <c r="AO56" i="16"/>
  <c r="AN56" i="16"/>
  <c r="AU57" i="16"/>
  <c r="AT57" i="16"/>
  <c r="AS57" i="16"/>
  <c r="AR57" i="16"/>
  <c r="AQ57" i="16"/>
  <c r="AP57" i="16"/>
  <c r="AO57" i="16"/>
  <c r="AN57" i="16"/>
  <c r="AU58" i="16"/>
  <c r="AT58" i="16"/>
  <c r="AS58" i="16"/>
  <c r="AR58" i="16"/>
  <c r="AQ58" i="16"/>
  <c r="AP58" i="16"/>
  <c r="AO58" i="16"/>
  <c r="AN58" i="16"/>
  <c r="AU37" i="16"/>
  <c r="AT37" i="16"/>
  <c r="AS37" i="16"/>
  <c r="AR37" i="16"/>
  <c r="AQ37" i="16"/>
  <c r="AP37" i="16"/>
  <c r="AO37" i="16"/>
  <c r="AN37" i="16"/>
  <c r="AU38" i="16"/>
  <c r="AT38" i="16"/>
  <c r="AS38" i="16"/>
  <c r="AR38" i="16"/>
  <c r="AQ38" i="16"/>
  <c r="AP38" i="16"/>
  <c r="AO38" i="16"/>
  <c r="AN38" i="16"/>
  <c r="AU39" i="16"/>
  <c r="AT39" i="16"/>
  <c r="AS39" i="16"/>
  <c r="AR39" i="16"/>
  <c r="AQ39" i="16"/>
  <c r="AP39" i="16"/>
  <c r="AO39" i="16"/>
  <c r="AN39" i="16"/>
  <c r="AU40" i="16"/>
  <c r="AT40" i="16"/>
  <c r="AS40" i="16"/>
  <c r="AR40" i="16"/>
  <c r="AQ40" i="16"/>
  <c r="AP40" i="16"/>
  <c r="AO40" i="16"/>
  <c r="AN40" i="16"/>
  <c r="AU41" i="16"/>
  <c r="AT41" i="16"/>
  <c r="AS41" i="16"/>
  <c r="AR41" i="16"/>
  <c r="AQ41" i="16"/>
  <c r="AP41" i="16"/>
  <c r="AO41" i="16"/>
  <c r="AN41" i="16"/>
  <c r="AU42" i="16"/>
  <c r="AT42" i="16"/>
  <c r="AS42" i="16"/>
  <c r="AR42" i="16"/>
  <c r="AQ42" i="16"/>
  <c r="AP42" i="16"/>
  <c r="AO42" i="16"/>
  <c r="AN42" i="16"/>
  <c r="AU43" i="16"/>
  <c r="AT43" i="16"/>
  <c r="AS43" i="16"/>
  <c r="AR43" i="16"/>
  <c r="AQ43" i="16"/>
  <c r="AP43" i="16"/>
  <c r="AO43" i="16"/>
  <c r="AN43" i="16"/>
  <c r="AU44" i="16"/>
  <c r="AT44" i="16"/>
  <c r="AS44" i="16"/>
  <c r="AR44" i="16"/>
  <c r="AQ44" i="16"/>
  <c r="AP44" i="16"/>
  <c r="AO44" i="16"/>
  <c r="AN44" i="16"/>
  <c r="AU45" i="16"/>
  <c r="AT45" i="16"/>
  <c r="AS45" i="16"/>
  <c r="AR45" i="16"/>
  <c r="AQ45" i="16"/>
  <c r="AP45" i="16"/>
  <c r="AO45" i="16"/>
  <c r="AN45" i="16"/>
  <c r="AU46" i="16"/>
  <c r="AT46" i="16"/>
  <c r="AS46" i="16"/>
  <c r="AR46" i="16"/>
  <c r="AQ46" i="16"/>
  <c r="AP46" i="16"/>
  <c r="AO46" i="16"/>
  <c r="AN46" i="16"/>
  <c r="AU47" i="16"/>
  <c r="AT47" i="16"/>
  <c r="AS47" i="16"/>
  <c r="AR47" i="16"/>
  <c r="AQ47" i="16"/>
  <c r="AP47" i="16"/>
  <c r="AO47" i="16"/>
  <c r="AN47" i="16"/>
  <c r="AU48" i="16"/>
  <c r="AT48" i="16"/>
  <c r="AS48" i="16"/>
  <c r="AR48" i="16"/>
  <c r="AQ48" i="16"/>
  <c r="AP48" i="16"/>
  <c r="AO48" i="16"/>
  <c r="AN48" i="16"/>
  <c r="AU65" i="16"/>
  <c r="AT65" i="16"/>
  <c r="AS65" i="16"/>
  <c r="AR65" i="16"/>
  <c r="AQ65" i="16"/>
  <c r="AP65" i="16"/>
  <c r="AO65" i="16"/>
  <c r="AN65" i="16"/>
  <c r="AU295" i="16" l="1"/>
  <c r="AT295" i="16"/>
  <c r="AS295" i="16"/>
  <c r="AR295" i="16"/>
  <c r="AQ295" i="16"/>
  <c r="AP295" i="16"/>
  <c r="AO295" i="16"/>
  <c r="AN295" i="16"/>
  <c r="AU294" i="16"/>
  <c r="AT294" i="16"/>
  <c r="AS294" i="16"/>
  <c r="AR294" i="16"/>
  <c r="AQ294" i="16"/>
  <c r="AP294" i="16"/>
  <c r="AO294" i="16"/>
  <c r="AN294" i="16"/>
  <c r="AU293" i="16"/>
  <c r="AT293" i="16"/>
  <c r="AS293" i="16"/>
  <c r="AR293" i="16"/>
  <c r="AQ293" i="16"/>
  <c r="AP293" i="16"/>
  <c r="AO293" i="16"/>
  <c r="AN293" i="16"/>
  <c r="AU292" i="16"/>
  <c r="AT292" i="16"/>
  <c r="AS292" i="16"/>
  <c r="AR292" i="16"/>
  <c r="AQ292" i="16"/>
  <c r="AP292" i="16"/>
  <c r="AO292" i="16"/>
  <c r="AN292" i="16"/>
  <c r="AU291" i="16"/>
  <c r="AT291" i="16"/>
  <c r="AS291" i="16"/>
  <c r="AR291" i="16"/>
  <c r="AQ291" i="16"/>
  <c r="AP291" i="16"/>
  <c r="AO291" i="16"/>
  <c r="AN291" i="16"/>
  <c r="AU290" i="16"/>
  <c r="AT290" i="16"/>
  <c r="AS290" i="16"/>
  <c r="AR290" i="16"/>
  <c r="AQ290" i="16"/>
  <c r="AP290" i="16"/>
  <c r="AO290" i="16"/>
  <c r="AN290" i="16"/>
  <c r="AU289" i="16"/>
  <c r="AT289" i="16"/>
  <c r="AS289" i="16"/>
  <c r="AR289" i="16"/>
  <c r="AQ289" i="16"/>
  <c r="AP289" i="16"/>
  <c r="AO289" i="16"/>
  <c r="AN289" i="16"/>
  <c r="AU288" i="16"/>
  <c r="AT288" i="16"/>
  <c r="AS288" i="16"/>
  <c r="AR288" i="16"/>
  <c r="AQ288" i="16"/>
  <c r="AP288" i="16"/>
  <c r="AO288" i="16"/>
  <c r="AN288" i="16"/>
  <c r="AU287" i="16"/>
  <c r="AT287" i="16"/>
  <c r="AS287" i="16"/>
  <c r="AR287" i="16"/>
  <c r="AQ287" i="16"/>
  <c r="AP287" i="16"/>
  <c r="AO287" i="16"/>
  <c r="AN287" i="16"/>
  <c r="AU286" i="16"/>
  <c r="AT286" i="16"/>
  <c r="AS286" i="16"/>
  <c r="AR286" i="16"/>
  <c r="AQ286" i="16"/>
  <c r="AP286" i="16"/>
  <c r="AO286" i="16"/>
  <c r="AN286" i="16"/>
  <c r="AU285" i="16"/>
  <c r="AT285" i="16"/>
  <c r="AS285" i="16"/>
  <c r="AR285" i="16"/>
  <c r="AQ285" i="16"/>
  <c r="AP285" i="16"/>
  <c r="AO285" i="16"/>
  <c r="AN285" i="16"/>
  <c r="AU284" i="16"/>
  <c r="AT284" i="16"/>
  <c r="AS284" i="16"/>
  <c r="AR284" i="16"/>
  <c r="AQ284" i="16"/>
  <c r="AP284" i="16"/>
  <c r="AO284" i="16"/>
  <c r="AN284" i="16"/>
  <c r="AU283" i="16"/>
  <c r="AT283" i="16"/>
  <c r="AS283" i="16"/>
  <c r="AR283" i="16"/>
  <c r="AQ283" i="16"/>
  <c r="AP283" i="16"/>
  <c r="AO283" i="16"/>
  <c r="AN283" i="16"/>
  <c r="AU282" i="16"/>
  <c r="AT282" i="16"/>
  <c r="AS282" i="16"/>
  <c r="AR282" i="16"/>
  <c r="AQ282" i="16"/>
  <c r="AP282" i="16"/>
  <c r="AO282" i="16"/>
  <c r="AN282" i="16"/>
  <c r="AU281" i="16"/>
  <c r="AT281" i="16"/>
  <c r="AS281" i="16"/>
  <c r="AR281" i="16"/>
  <c r="AQ281" i="16"/>
  <c r="AP281" i="16"/>
  <c r="AO281" i="16"/>
  <c r="AN281" i="16"/>
  <c r="AU280" i="16"/>
  <c r="AT280" i="16"/>
  <c r="AS280" i="16"/>
  <c r="AR280" i="16"/>
  <c r="AQ280" i="16"/>
  <c r="AP280" i="16"/>
  <c r="AO280" i="16"/>
  <c r="AN280" i="16"/>
  <c r="AU279" i="16"/>
  <c r="AT279" i="16"/>
  <c r="AS279" i="16"/>
  <c r="AR279" i="16"/>
  <c r="AQ279" i="16"/>
  <c r="AP279" i="16"/>
  <c r="AO279" i="16"/>
  <c r="AN279" i="16"/>
  <c r="AU278" i="16"/>
  <c r="AT278" i="16"/>
  <c r="AS278" i="16"/>
  <c r="AR278" i="16"/>
  <c r="AQ278" i="16"/>
  <c r="AP278" i="16"/>
  <c r="AO278" i="16"/>
  <c r="AN278" i="16"/>
  <c r="AU277" i="16"/>
  <c r="AT277" i="16"/>
  <c r="AS277" i="16"/>
  <c r="AR277" i="16"/>
  <c r="AQ277" i="16"/>
  <c r="AP277" i="16"/>
  <c r="AO277" i="16"/>
  <c r="AN277" i="16"/>
  <c r="AU276" i="16"/>
  <c r="AT276" i="16"/>
  <c r="AS276" i="16"/>
  <c r="AR276" i="16"/>
  <c r="AQ276" i="16"/>
  <c r="AP276" i="16"/>
  <c r="AO276" i="16"/>
  <c r="AN276" i="16"/>
  <c r="AU275" i="16"/>
  <c r="AT275" i="16"/>
  <c r="AS275" i="16"/>
  <c r="AR275" i="16"/>
  <c r="AQ275" i="16"/>
  <c r="AP275" i="16"/>
  <c r="AO275" i="16"/>
  <c r="AN275" i="16"/>
  <c r="AU274" i="16"/>
  <c r="AT274" i="16"/>
  <c r="AS274" i="16"/>
  <c r="AR274" i="16"/>
  <c r="AQ274" i="16"/>
  <c r="AP274" i="16"/>
  <c r="AO274" i="16"/>
  <c r="AN274" i="16"/>
  <c r="AU273" i="16"/>
  <c r="AT273" i="16"/>
  <c r="AS273" i="16"/>
  <c r="AR273" i="16"/>
  <c r="AQ273" i="16"/>
  <c r="AP273" i="16"/>
  <c r="AO273" i="16"/>
  <c r="AN273" i="16"/>
  <c r="AU272" i="16"/>
  <c r="AT272" i="16"/>
  <c r="AS272" i="16"/>
  <c r="AR272" i="16"/>
  <c r="AQ272" i="16"/>
  <c r="AP272" i="16"/>
  <c r="AO272" i="16"/>
  <c r="AN272" i="16"/>
  <c r="AU271" i="16"/>
  <c r="AT271" i="16"/>
  <c r="AS271" i="16"/>
  <c r="AR271" i="16"/>
  <c r="AQ271" i="16"/>
  <c r="AP271" i="16"/>
  <c r="AO271" i="16"/>
  <c r="AN271" i="16"/>
  <c r="AU270" i="16"/>
  <c r="AT270" i="16"/>
  <c r="AS270" i="16"/>
  <c r="AR270" i="16"/>
  <c r="AQ270" i="16"/>
  <c r="AP270" i="16"/>
  <c r="AO270" i="16"/>
  <c r="AN270" i="16"/>
  <c r="AU269" i="16"/>
  <c r="AT269" i="16"/>
  <c r="AS269" i="16"/>
  <c r="AR269" i="16"/>
  <c r="AQ269" i="16"/>
  <c r="AP269" i="16"/>
  <c r="AO269" i="16"/>
  <c r="AN269" i="16"/>
  <c r="AU268" i="16"/>
  <c r="AT268" i="16"/>
  <c r="AS268" i="16"/>
  <c r="AR268" i="16"/>
  <c r="AQ268" i="16"/>
  <c r="AP268" i="16"/>
  <c r="AO268" i="16"/>
  <c r="AN268" i="16"/>
  <c r="AU267" i="16"/>
  <c r="AT267" i="16"/>
  <c r="AS267" i="16"/>
  <c r="AR267" i="16"/>
  <c r="AQ267" i="16"/>
  <c r="AP267" i="16"/>
  <c r="AO267" i="16"/>
  <c r="AN267" i="16"/>
  <c r="AU266" i="16"/>
  <c r="AT266" i="16"/>
  <c r="AS266" i="16"/>
  <c r="AR266" i="16"/>
  <c r="AQ266" i="16"/>
  <c r="AP266" i="16"/>
  <c r="AO266" i="16"/>
  <c r="AN266" i="16"/>
  <c r="AU265" i="16"/>
  <c r="AT265" i="16"/>
  <c r="AS265" i="16"/>
  <c r="AR265" i="16"/>
  <c r="AQ265" i="16"/>
  <c r="AP265" i="16"/>
  <c r="AO265" i="16"/>
  <c r="AN265" i="16"/>
  <c r="AU264" i="16"/>
  <c r="AT264" i="16"/>
  <c r="AS264" i="16"/>
  <c r="AR264" i="16"/>
  <c r="AQ264" i="16"/>
  <c r="AP264" i="16"/>
  <c r="AO264" i="16"/>
  <c r="AN264" i="16"/>
  <c r="AU263" i="16"/>
  <c r="AT263" i="16"/>
  <c r="AS263" i="16"/>
  <c r="AR263" i="16"/>
  <c r="AQ263" i="16"/>
  <c r="AP263" i="16"/>
  <c r="AO263" i="16"/>
  <c r="AN263" i="16"/>
  <c r="AU262" i="16"/>
  <c r="AT262" i="16"/>
  <c r="AS262" i="16"/>
  <c r="AR262" i="16"/>
  <c r="AQ262" i="16"/>
  <c r="AP262" i="16"/>
  <c r="AO262" i="16"/>
  <c r="AN262" i="16"/>
  <c r="AU261" i="16"/>
  <c r="AT261" i="16"/>
  <c r="AS261" i="16"/>
  <c r="AR261" i="16"/>
  <c r="AQ261" i="16"/>
  <c r="AP261" i="16"/>
  <c r="AO261" i="16"/>
  <c r="AN261" i="16"/>
  <c r="AU260" i="16"/>
  <c r="AT260" i="16"/>
  <c r="AS260" i="16"/>
  <c r="AR260" i="16"/>
  <c r="AQ260" i="16"/>
  <c r="AP260" i="16"/>
  <c r="AO260" i="16"/>
  <c r="AN260" i="16"/>
  <c r="AU259" i="16"/>
  <c r="AT259" i="16"/>
  <c r="AS259" i="16"/>
  <c r="AR259" i="16"/>
  <c r="AQ259" i="16"/>
  <c r="AP259" i="16"/>
  <c r="AO259" i="16"/>
  <c r="AN259" i="16"/>
  <c r="AU258" i="16"/>
  <c r="AT258" i="16"/>
  <c r="AS258" i="16"/>
  <c r="AR258" i="16"/>
  <c r="AQ258" i="16"/>
  <c r="AP258" i="16"/>
  <c r="AO258" i="16"/>
  <c r="AN258" i="16"/>
  <c r="AU257" i="16"/>
  <c r="AT257" i="16"/>
  <c r="AS257" i="16"/>
  <c r="AR257" i="16"/>
  <c r="AQ257" i="16"/>
  <c r="AP257" i="16"/>
  <c r="AO257" i="16"/>
  <c r="AN257" i="16"/>
  <c r="AU256" i="16"/>
  <c r="AT256" i="16"/>
  <c r="AS256" i="16"/>
  <c r="AR256" i="16"/>
  <c r="AQ256" i="16"/>
  <c r="AP256" i="16"/>
  <c r="AO256" i="16"/>
  <c r="AN256" i="16"/>
  <c r="AU255" i="16"/>
  <c r="AT255" i="16"/>
  <c r="AS255" i="16"/>
  <c r="AR255" i="16"/>
  <c r="AQ255" i="16"/>
  <c r="AP255" i="16"/>
  <c r="AO255" i="16"/>
  <c r="AN255" i="16"/>
  <c r="AU254" i="16"/>
  <c r="AT254" i="16"/>
  <c r="AS254" i="16"/>
  <c r="AR254" i="16"/>
  <c r="AQ254" i="16"/>
  <c r="AP254" i="16"/>
  <c r="AO254" i="16"/>
  <c r="AN254" i="16"/>
  <c r="AU253" i="16"/>
  <c r="AT253" i="16"/>
  <c r="AS253" i="16"/>
  <c r="AR253" i="16"/>
  <c r="AQ253" i="16"/>
  <c r="AP253" i="16"/>
  <c r="AO253" i="16"/>
  <c r="AN253" i="16"/>
  <c r="AU252" i="16"/>
  <c r="AT252" i="16"/>
  <c r="AS252" i="16"/>
  <c r="AR252" i="16"/>
  <c r="AQ252" i="16"/>
  <c r="AP252" i="16"/>
  <c r="AO252" i="16"/>
  <c r="AN252" i="16"/>
  <c r="AU251" i="16"/>
  <c r="AT251" i="16"/>
  <c r="AS251" i="16"/>
  <c r="AR251" i="16"/>
  <c r="AQ251" i="16"/>
  <c r="AP251" i="16"/>
  <c r="AO251" i="16"/>
  <c r="AN251" i="16"/>
  <c r="AU250" i="16"/>
  <c r="AT250" i="16"/>
  <c r="AS250" i="16"/>
  <c r="AR250" i="16"/>
  <c r="AQ250" i="16"/>
  <c r="AP250" i="16"/>
  <c r="AO250" i="16"/>
  <c r="AN250" i="16"/>
  <c r="AU249" i="16"/>
  <c r="AT249" i="16"/>
  <c r="AS249" i="16"/>
  <c r="AR249" i="16"/>
  <c r="AQ249" i="16"/>
  <c r="AP249" i="16"/>
  <c r="AO249" i="16"/>
  <c r="AN249" i="16"/>
  <c r="AU248" i="16"/>
  <c r="AT248" i="16"/>
  <c r="AS248" i="16"/>
  <c r="AR248" i="16"/>
  <c r="AQ248" i="16"/>
  <c r="AP248" i="16"/>
  <c r="AO248" i="16"/>
  <c r="AN248" i="16"/>
  <c r="AU247" i="16"/>
  <c r="AT247" i="16"/>
  <c r="AS247" i="16"/>
  <c r="AR247" i="16"/>
  <c r="AQ247" i="16"/>
  <c r="AP247" i="16"/>
  <c r="AO247" i="16"/>
  <c r="AN247" i="16"/>
  <c r="AU246" i="16"/>
  <c r="AT246" i="16"/>
  <c r="AS246" i="16"/>
  <c r="AR246" i="16"/>
  <c r="AQ246" i="16"/>
  <c r="AP246" i="16"/>
  <c r="AO246" i="16"/>
  <c r="AN246" i="16"/>
  <c r="AU245" i="16"/>
  <c r="AT245" i="16"/>
  <c r="AS245" i="16"/>
  <c r="AR245" i="16"/>
  <c r="AQ245" i="16"/>
  <c r="AP245" i="16"/>
  <c r="AO245" i="16"/>
  <c r="AN245" i="16"/>
  <c r="AU244" i="16"/>
  <c r="AT244" i="16"/>
  <c r="AS244" i="16"/>
  <c r="AR244" i="16"/>
  <c r="AQ244" i="16"/>
  <c r="AP244" i="16"/>
  <c r="AO244" i="16"/>
  <c r="AN244" i="16"/>
  <c r="AU243" i="16"/>
  <c r="AT243" i="16"/>
  <c r="AS243" i="16"/>
  <c r="AR243" i="16"/>
  <c r="AQ243" i="16"/>
  <c r="AP243" i="16"/>
  <c r="AO243" i="16"/>
  <c r="AN243" i="16"/>
  <c r="AU242" i="16"/>
  <c r="AT242" i="16"/>
  <c r="AS242" i="16"/>
  <c r="AR242" i="16"/>
  <c r="AQ242" i="16"/>
  <c r="AP242" i="16"/>
  <c r="AO242" i="16"/>
  <c r="AN242" i="16"/>
  <c r="AU241" i="16"/>
  <c r="AT241" i="16"/>
  <c r="AS241" i="16"/>
  <c r="AR241" i="16"/>
  <c r="AQ241" i="16"/>
  <c r="AP241" i="16"/>
  <c r="AO241" i="16"/>
  <c r="AN241" i="16"/>
  <c r="AU240" i="16"/>
  <c r="AT240" i="16"/>
  <c r="AS240" i="16"/>
  <c r="AR240" i="16"/>
  <c r="AQ240" i="16"/>
  <c r="AP240" i="16"/>
  <c r="AO240" i="16"/>
  <c r="AN240" i="16"/>
  <c r="AU239" i="16"/>
  <c r="AT239" i="16"/>
  <c r="AS239" i="16"/>
  <c r="AR239" i="16"/>
  <c r="AQ239" i="16"/>
  <c r="AP239" i="16"/>
  <c r="AO239" i="16"/>
  <c r="AN239" i="16"/>
  <c r="AU238" i="16"/>
  <c r="AT238" i="16"/>
  <c r="AS238" i="16"/>
  <c r="AR238" i="16"/>
  <c r="AQ238" i="16"/>
  <c r="AP238" i="16"/>
  <c r="AO238" i="16"/>
  <c r="AN238" i="16"/>
  <c r="AU237" i="16"/>
  <c r="AT237" i="16"/>
  <c r="AS237" i="16"/>
  <c r="AR237" i="16"/>
  <c r="AQ237" i="16"/>
  <c r="AP237" i="16"/>
  <c r="AO237" i="16"/>
  <c r="AN237" i="16"/>
  <c r="AU236" i="16"/>
  <c r="AT236" i="16"/>
  <c r="AS236" i="16"/>
  <c r="AR236" i="16"/>
  <c r="AQ236" i="16"/>
  <c r="AP236" i="16"/>
  <c r="AO236" i="16"/>
  <c r="AN236" i="16"/>
  <c r="AU235" i="16"/>
  <c r="AT235" i="16"/>
  <c r="AS235" i="16"/>
  <c r="AR235" i="16"/>
  <c r="AQ235" i="16"/>
  <c r="AP235" i="16"/>
  <c r="AO235" i="16"/>
  <c r="AN235" i="16"/>
  <c r="AU234" i="16"/>
  <c r="AT234" i="16"/>
  <c r="AS234" i="16"/>
  <c r="AR234" i="16"/>
  <c r="AQ234" i="16"/>
  <c r="AP234" i="16"/>
  <c r="AO234" i="16"/>
  <c r="AN234" i="16"/>
  <c r="AU233" i="16"/>
  <c r="AT233" i="16"/>
  <c r="AS233" i="16"/>
  <c r="AR233" i="16"/>
  <c r="AQ233" i="16"/>
  <c r="AP233" i="16"/>
  <c r="AO233" i="16"/>
  <c r="AN233" i="16"/>
  <c r="AU232" i="16"/>
  <c r="AT232" i="16"/>
  <c r="AS232" i="16"/>
  <c r="AR232" i="16"/>
  <c r="AQ232" i="16"/>
  <c r="AP232" i="16"/>
  <c r="AO232" i="16"/>
  <c r="AN232" i="16"/>
  <c r="AU231" i="16"/>
  <c r="AT231" i="16"/>
  <c r="AS231" i="16"/>
  <c r="AR231" i="16"/>
  <c r="AQ231" i="16"/>
  <c r="AP231" i="16"/>
  <c r="AO231" i="16"/>
  <c r="AN231" i="16"/>
  <c r="AU230" i="16"/>
  <c r="AT230" i="16"/>
  <c r="AS230" i="16"/>
  <c r="AR230" i="16"/>
  <c r="AQ230" i="16"/>
  <c r="AP230" i="16"/>
  <c r="AO230" i="16"/>
  <c r="AN230" i="16"/>
  <c r="AU229" i="16"/>
  <c r="AT229" i="16"/>
  <c r="AS229" i="16"/>
  <c r="AR229" i="16"/>
  <c r="AQ229" i="16"/>
  <c r="AP229" i="16"/>
  <c r="AO229" i="16"/>
  <c r="AN229" i="16"/>
  <c r="AU228" i="16"/>
  <c r="AT228" i="16"/>
  <c r="AS228" i="16"/>
  <c r="AR228" i="16"/>
  <c r="AQ228" i="16"/>
  <c r="AP228" i="16"/>
  <c r="AO228" i="16"/>
  <c r="AN228" i="16"/>
  <c r="AU227" i="16"/>
  <c r="AT227" i="16"/>
  <c r="AS227" i="16"/>
  <c r="AR227" i="16"/>
  <c r="AQ227" i="16"/>
  <c r="AP227" i="16"/>
  <c r="AO227" i="16"/>
  <c r="AN227" i="16"/>
  <c r="AU226" i="16"/>
  <c r="AT226" i="16"/>
  <c r="AS226" i="16"/>
  <c r="AR226" i="16"/>
  <c r="AQ226" i="16"/>
  <c r="AP226" i="16"/>
  <c r="AO226" i="16"/>
  <c r="AN226" i="16"/>
  <c r="AU225" i="16"/>
  <c r="AT225" i="16"/>
  <c r="AS225" i="16"/>
  <c r="AR225" i="16"/>
  <c r="AQ225" i="16"/>
  <c r="AP225" i="16"/>
  <c r="AO225" i="16"/>
  <c r="AN225" i="16"/>
  <c r="AU224" i="16"/>
  <c r="AT224" i="16"/>
  <c r="AS224" i="16"/>
  <c r="AR224" i="16"/>
  <c r="AQ224" i="16"/>
  <c r="AP224" i="16"/>
  <c r="AO224" i="16"/>
  <c r="AN224" i="16"/>
  <c r="AU223" i="16"/>
  <c r="AT223" i="16"/>
  <c r="AS223" i="16"/>
  <c r="AR223" i="16"/>
  <c r="AQ223" i="16"/>
  <c r="AP223" i="16"/>
  <c r="AO223" i="16"/>
  <c r="AN223" i="16"/>
  <c r="AU222" i="16"/>
  <c r="AT222" i="16"/>
  <c r="AS222" i="16"/>
  <c r="AR222" i="16"/>
  <c r="AQ222" i="16"/>
  <c r="AP222" i="16"/>
  <c r="AO222" i="16"/>
  <c r="AN222" i="16"/>
  <c r="AU221" i="16"/>
  <c r="AT221" i="16"/>
  <c r="AS221" i="16"/>
  <c r="AR221" i="16"/>
  <c r="AQ221" i="16"/>
  <c r="AP221" i="16"/>
  <c r="AO221" i="16"/>
  <c r="AN221" i="16"/>
  <c r="AU220" i="16"/>
  <c r="AT220" i="16"/>
  <c r="AS220" i="16"/>
  <c r="AR220" i="16"/>
  <c r="AQ220" i="16"/>
  <c r="AP220" i="16"/>
  <c r="AO220" i="16"/>
  <c r="AN220" i="16"/>
  <c r="AU219" i="16"/>
  <c r="AT219" i="16"/>
  <c r="AS219" i="16"/>
  <c r="AR219" i="16"/>
  <c r="AQ219" i="16"/>
  <c r="AP219" i="16"/>
  <c r="AO219" i="16"/>
  <c r="AN219" i="16"/>
  <c r="AU218" i="16"/>
  <c r="AT218" i="16"/>
  <c r="AS218" i="16"/>
  <c r="AR218" i="16"/>
  <c r="AQ218" i="16"/>
  <c r="AP218" i="16"/>
  <c r="AO218" i="16"/>
  <c r="AN218" i="16"/>
  <c r="AU217" i="16"/>
  <c r="AT217" i="16"/>
  <c r="AS217" i="16"/>
  <c r="AR217" i="16"/>
  <c r="AQ217" i="16"/>
  <c r="AP217" i="16"/>
  <c r="AO217" i="16"/>
  <c r="AN217" i="16"/>
  <c r="AU216" i="16"/>
  <c r="AT216" i="16"/>
  <c r="AS216" i="16"/>
  <c r="AR216" i="16"/>
  <c r="AQ216" i="16"/>
  <c r="AP216" i="16"/>
  <c r="AO216" i="16"/>
  <c r="AN216" i="16"/>
  <c r="AU215" i="16"/>
  <c r="AT215" i="16"/>
  <c r="AS215" i="16"/>
  <c r="AR215" i="16"/>
  <c r="AQ215" i="16"/>
  <c r="AP215" i="16"/>
  <c r="AO215" i="16"/>
  <c r="AN215" i="16"/>
  <c r="AU214" i="16"/>
  <c r="AT214" i="16"/>
  <c r="AS214" i="16"/>
  <c r="AR214" i="16"/>
  <c r="AQ214" i="16"/>
  <c r="AP214" i="16"/>
  <c r="AO214" i="16"/>
  <c r="AN214" i="16"/>
  <c r="AU213" i="16"/>
  <c r="AT213" i="16"/>
  <c r="AS213" i="16"/>
  <c r="AR213" i="16"/>
  <c r="AQ213" i="16"/>
  <c r="AP213" i="16"/>
  <c r="AO213" i="16"/>
  <c r="AN213" i="16"/>
  <c r="AU212" i="16"/>
  <c r="AT212" i="16"/>
  <c r="AS212" i="16"/>
  <c r="AR212" i="16"/>
  <c r="AQ212" i="16"/>
  <c r="AP212" i="16"/>
  <c r="AO212" i="16"/>
  <c r="AN212" i="16"/>
  <c r="AU211" i="16"/>
  <c r="AT211" i="16"/>
  <c r="AS211" i="16"/>
  <c r="AR211" i="16"/>
  <c r="AQ211" i="16"/>
  <c r="AP211" i="16"/>
  <c r="AO211" i="16"/>
  <c r="AN211" i="16"/>
  <c r="AU210" i="16"/>
  <c r="AT210" i="16"/>
  <c r="AS210" i="16"/>
  <c r="AR210" i="16"/>
  <c r="AQ210" i="16"/>
  <c r="AP210" i="16"/>
  <c r="AO210" i="16"/>
  <c r="AN210" i="16"/>
  <c r="AU209" i="16"/>
  <c r="AT209" i="16"/>
  <c r="AS209" i="16"/>
  <c r="AR209" i="16"/>
  <c r="AQ209" i="16"/>
  <c r="AP209" i="16"/>
  <c r="AO209" i="16"/>
  <c r="AN209" i="16"/>
  <c r="AU208" i="16"/>
  <c r="AT208" i="16"/>
  <c r="AS208" i="16"/>
  <c r="AR208" i="16"/>
  <c r="AQ208" i="16"/>
  <c r="AP208" i="16"/>
  <c r="AO208" i="16"/>
  <c r="AN208" i="16"/>
  <c r="AU207" i="16"/>
  <c r="AT207" i="16"/>
  <c r="AS207" i="16"/>
  <c r="AR207" i="16"/>
  <c r="AQ207" i="16"/>
  <c r="AP207" i="16"/>
  <c r="AO207" i="16"/>
  <c r="AN207" i="16"/>
  <c r="AU206" i="16"/>
  <c r="AT206" i="16"/>
  <c r="AS206" i="16"/>
  <c r="AR206" i="16"/>
  <c r="AQ206" i="16"/>
  <c r="AP206" i="16"/>
  <c r="AO206" i="16"/>
  <c r="AN206" i="16"/>
  <c r="AU205" i="16"/>
  <c r="AT205" i="16"/>
  <c r="AS205" i="16"/>
  <c r="AR205" i="16"/>
  <c r="AQ205" i="16"/>
  <c r="AP205" i="16"/>
  <c r="AO205" i="16"/>
  <c r="AN205" i="16"/>
  <c r="AU204" i="16"/>
  <c r="AT204" i="16"/>
  <c r="AS204" i="16"/>
  <c r="AR204" i="16"/>
  <c r="AQ204" i="16"/>
  <c r="AP204" i="16"/>
  <c r="AO204" i="16"/>
  <c r="AN204" i="16"/>
  <c r="AU203" i="16"/>
  <c r="AT203" i="16"/>
  <c r="AS203" i="16"/>
  <c r="AR203" i="16"/>
  <c r="AQ203" i="16"/>
  <c r="AP203" i="16"/>
  <c r="AO203" i="16"/>
  <c r="AN203" i="16"/>
  <c r="AU202" i="16"/>
  <c r="AT202" i="16"/>
  <c r="AS202" i="16"/>
  <c r="AR202" i="16"/>
  <c r="AQ202" i="16"/>
  <c r="AP202" i="16"/>
  <c r="AO202" i="16"/>
  <c r="AN202" i="16"/>
  <c r="AU201" i="16"/>
  <c r="AT201" i="16"/>
  <c r="AS201" i="16"/>
  <c r="AR201" i="16"/>
  <c r="AQ201" i="16"/>
  <c r="AP201" i="16"/>
  <c r="AO201" i="16"/>
  <c r="AN201" i="16"/>
  <c r="AU200" i="16"/>
  <c r="AT200" i="16"/>
  <c r="AS200" i="16"/>
  <c r="AR200" i="16"/>
  <c r="AQ200" i="16"/>
  <c r="AP200" i="16"/>
  <c r="AO200" i="16"/>
  <c r="AN200" i="16"/>
  <c r="AU199" i="16"/>
  <c r="AT199" i="16"/>
  <c r="AS199" i="16"/>
  <c r="AR199" i="16"/>
  <c r="AQ199" i="16"/>
  <c r="AP199" i="16"/>
  <c r="AO199" i="16"/>
  <c r="AN199" i="16"/>
  <c r="AU198" i="16"/>
  <c r="AT198" i="16"/>
  <c r="AS198" i="16"/>
  <c r="AR198" i="16"/>
  <c r="AQ198" i="16"/>
  <c r="AP198" i="16"/>
  <c r="AO198" i="16"/>
  <c r="AN198" i="16"/>
  <c r="AU197" i="16"/>
  <c r="AT197" i="16"/>
  <c r="AS197" i="16"/>
  <c r="AR197" i="16"/>
  <c r="AQ197" i="16"/>
  <c r="AP197" i="16"/>
  <c r="AO197" i="16"/>
  <c r="AN197" i="16"/>
  <c r="AU196" i="16"/>
  <c r="AT196" i="16"/>
  <c r="AS196" i="16"/>
  <c r="AR196" i="16"/>
  <c r="AQ196" i="16"/>
  <c r="AP196" i="16"/>
  <c r="AO196" i="16"/>
  <c r="AN196" i="16"/>
  <c r="AU195" i="16"/>
  <c r="AT195" i="16"/>
  <c r="AS195" i="16"/>
  <c r="AR195" i="16"/>
  <c r="AQ195" i="16"/>
  <c r="AP195" i="16"/>
  <c r="AO195" i="16"/>
  <c r="AN195" i="16"/>
  <c r="AU194" i="16"/>
  <c r="AT194" i="16"/>
  <c r="AS194" i="16"/>
  <c r="AR194" i="16"/>
  <c r="AQ194" i="16"/>
  <c r="AP194" i="16"/>
  <c r="AO194" i="16"/>
  <c r="AN194" i="16"/>
  <c r="AU193" i="16"/>
  <c r="AT193" i="16"/>
  <c r="AS193" i="16"/>
  <c r="AR193" i="16"/>
  <c r="AQ193" i="16"/>
  <c r="AP193" i="16"/>
  <c r="AO193" i="16"/>
  <c r="AN193" i="16"/>
  <c r="AU192" i="16"/>
  <c r="AT192" i="16"/>
  <c r="AS192" i="16"/>
  <c r="AR192" i="16"/>
  <c r="AQ192" i="16"/>
  <c r="AP192" i="16"/>
  <c r="AO192" i="16"/>
  <c r="AN192" i="16"/>
  <c r="AU191" i="16"/>
  <c r="AT191" i="16"/>
  <c r="AS191" i="16"/>
  <c r="AR191" i="16"/>
  <c r="AQ191" i="16"/>
  <c r="AP191" i="16"/>
  <c r="AO191" i="16"/>
  <c r="AN191" i="16"/>
  <c r="AU190" i="16"/>
  <c r="AT190" i="16"/>
  <c r="AS190" i="16"/>
  <c r="AR190" i="16"/>
  <c r="AQ190" i="16"/>
  <c r="AP190" i="16"/>
  <c r="AO190" i="16"/>
  <c r="AN190" i="16"/>
  <c r="AU189" i="16"/>
  <c r="AT189" i="16"/>
  <c r="AS189" i="16"/>
  <c r="AR189" i="16"/>
  <c r="AQ189" i="16"/>
  <c r="AP189" i="16"/>
  <c r="AO189" i="16"/>
  <c r="AN189" i="16"/>
  <c r="AU188" i="16"/>
  <c r="AT188" i="16"/>
  <c r="AS188" i="16"/>
  <c r="AR188" i="16"/>
  <c r="AQ188" i="16"/>
  <c r="AP188" i="16"/>
  <c r="AO188" i="16"/>
  <c r="AN188" i="16"/>
  <c r="AU187" i="16"/>
  <c r="AT187" i="16"/>
  <c r="AS187" i="16"/>
  <c r="AR187" i="16"/>
  <c r="AQ187" i="16"/>
  <c r="AP187" i="16"/>
  <c r="AO187" i="16"/>
  <c r="AN187" i="16"/>
  <c r="AU186" i="16"/>
  <c r="AT186" i="16"/>
  <c r="AS186" i="16"/>
  <c r="AR186" i="16"/>
  <c r="AQ186" i="16"/>
  <c r="AP186" i="16"/>
  <c r="AO186" i="16"/>
  <c r="AN186" i="16"/>
  <c r="AU185" i="16"/>
  <c r="AT185" i="16"/>
  <c r="AS185" i="16"/>
  <c r="AR185" i="16"/>
  <c r="AQ185" i="16"/>
  <c r="AP185" i="16"/>
  <c r="AO185" i="16"/>
  <c r="AN185" i="16"/>
  <c r="AU141" i="16"/>
  <c r="AT141" i="16"/>
  <c r="AS141" i="16"/>
  <c r="AR141" i="16"/>
  <c r="AQ141" i="16"/>
  <c r="AP141" i="16"/>
  <c r="AO141" i="16"/>
  <c r="AN141" i="16"/>
  <c r="AU140" i="16"/>
  <c r="AT140" i="16"/>
  <c r="AS140" i="16"/>
  <c r="AR140" i="16"/>
  <c r="AQ140" i="16"/>
  <c r="AP140" i="16"/>
  <c r="AO140" i="16"/>
  <c r="AN140" i="16"/>
  <c r="AU139" i="16"/>
  <c r="AT139" i="16"/>
  <c r="AS139" i="16"/>
  <c r="AR139" i="16"/>
  <c r="AQ139" i="16"/>
  <c r="AP139" i="16"/>
  <c r="AO139" i="16"/>
  <c r="AN139" i="16"/>
  <c r="AU138" i="16"/>
  <c r="AT138" i="16"/>
  <c r="AS138" i="16"/>
  <c r="AR138" i="16"/>
  <c r="AQ138" i="16"/>
  <c r="AP138" i="16"/>
  <c r="AO138" i="16"/>
  <c r="AN138" i="16"/>
  <c r="AU137" i="16"/>
  <c r="AT137" i="16"/>
  <c r="AS137" i="16"/>
  <c r="AR137" i="16"/>
  <c r="AQ137" i="16"/>
  <c r="AP137" i="16"/>
  <c r="AO137" i="16"/>
  <c r="AN137" i="16"/>
  <c r="AU136" i="16"/>
  <c r="AT136" i="16"/>
  <c r="AS136" i="16"/>
  <c r="AR136" i="16"/>
  <c r="AQ136" i="16"/>
  <c r="AP136" i="16"/>
  <c r="AO136" i="16"/>
  <c r="AN136" i="16"/>
  <c r="AU135" i="16"/>
  <c r="AT135" i="16"/>
  <c r="AS135" i="16"/>
  <c r="AR135" i="16"/>
  <c r="AQ135" i="16"/>
  <c r="AP135" i="16"/>
  <c r="AO135" i="16"/>
  <c r="AN135" i="16"/>
  <c r="AU134" i="16"/>
  <c r="AT134" i="16"/>
  <c r="AS134" i="16"/>
  <c r="AR134" i="16"/>
  <c r="AQ134" i="16"/>
  <c r="AP134" i="16"/>
  <c r="AO134" i="16"/>
  <c r="AN134" i="16"/>
  <c r="AU133" i="16"/>
  <c r="AT133" i="16"/>
  <c r="AS133" i="16"/>
  <c r="AR133" i="16"/>
  <c r="AQ133" i="16"/>
  <c r="AP133" i="16"/>
  <c r="AO133" i="16"/>
  <c r="AN133" i="16"/>
  <c r="AU132" i="16"/>
  <c r="AT132" i="16"/>
  <c r="AS132" i="16"/>
  <c r="AR132" i="16"/>
  <c r="AQ132" i="16"/>
  <c r="AP132" i="16"/>
  <c r="AO132" i="16"/>
  <c r="AN132" i="16"/>
  <c r="AU131" i="16"/>
  <c r="AT131" i="16"/>
  <c r="AS131" i="16"/>
  <c r="AR131" i="16"/>
  <c r="AQ131" i="16"/>
  <c r="AP131" i="16"/>
  <c r="AO131" i="16"/>
  <c r="AN131" i="16"/>
  <c r="AU130" i="16"/>
  <c r="AT130" i="16"/>
  <c r="AS130" i="16"/>
  <c r="AR130" i="16"/>
  <c r="AQ130" i="16"/>
  <c r="AP130" i="16"/>
  <c r="AO130" i="16"/>
  <c r="AN130" i="16"/>
  <c r="AU129" i="16"/>
  <c r="AT129" i="16"/>
  <c r="AS129" i="16"/>
  <c r="AR129" i="16"/>
  <c r="AQ129" i="16"/>
  <c r="AP129" i="16"/>
  <c r="AO129" i="16"/>
  <c r="AN129" i="16"/>
  <c r="AU128" i="16"/>
  <c r="AT128" i="16"/>
  <c r="AS128" i="16"/>
  <c r="AR128" i="16"/>
  <c r="AQ128" i="16"/>
  <c r="AP128" i="16"/>
  <c r="AO128" i="16"/>
  <c r="AN128" i="16"/>
  <c r="AU127" i="16"/>
  <c r="AT127" i="16"/>
  <c r="AS127" i="16"/>
  <c r="AR127" i="16"/>
  <c r="AQ127" i="16"/>
  <c r="AP127" i="16"/>
  <c r="AO127" i="16"/>
  <c r="AN127" i="16"/>
  <c r="AU126" i="16"/>
  <c r="AT126" i="16"/>
  <c r="AS126" i="16"/>
  <c r="AR126" i="16"/>
  <c r="AQ126" i="16"/>
  <c r="AP126" i="16"/>
  <c r="AO126" i="16"/>
  <c r="AN126" i="16"/>
  <c r="AU125" i="16"/>
  <c r="AT125" i="16"/>
  <c r="AS125" i="16"/>
  <c r="AR125" i="16"/>
  <c r="AQ125" i="16"/>
  <c r="AP125" i="16"/>
  <c r="AO125" i="16"/>
  <c r="AN125" i="16"/>
  <c r="AU124" i="16"/>
  <c r="AT124" i="16"/>
  <c r="AS124" i="16"/>
  <c r="AR124" i="16"/>
  <c r="AQ124" i="16"/>
  <c r="AP124" i="16"/>
  <c r="AO124" i="16"/>
  <c r="AN124" i="16"/>
  <c r="AU123" i="16"/>
  <c r="AT123" i="16"/>
  <c r="AS123" i="16"/>
  <c r="AR123" i="16"/>
  <c r="AQ123" i="16"/>
  <c r="AP123" i="16"/>
  <c r="AO123" i="16"/>
  <c r="AN123" i="16"/>
  <c r="AU122" i="16"/>
  <c r="AT122" i="16"/>
  <c r="AS122" i="16"/>
  <c r="AR122" i="16"/>
  <c r="AQ122" i="16"/>
  <c r="AP122" i="16"/>
  <c r="AO122" i="16"/>
  <c r="AN122" i="16"/>
  <c r="AU121" i="16"/>
  <c r="AT121" i="16"/>
  <c r="AS121" i="16"/>
  <c r="AR121" i="16"/>
  <c r="AQ121" i="16"/>
  <c r="AP121" i="16"/>
  <c r="AO121" i="16"/>
  <c r="AN121" i="16"/>
  <c r="AU120" i="16"/>
  <c r="AT120" i="16"/>
  <c r="AS120" i="16"/>
  <c r="AR120" i="16"/>
  <c r="AQ120" i="16"/>
  <c r="AP120" i="16"/>
  <c r="AO120" i="16"/>
  <c r="AN120" i="16"/>
  <c r="AU119" i="16"/>
  <c r="AT119" i="16"/>
  <c r="AS119" i="16"/>
  <c r="AR119" i="16"/>
  <c r="AQ119" i="16"/>
  <c r="AP119" i="16"/>
  <c r="AO119" i="16"/>
  <c r="AN119" i="16"/>
  <c r="AU118" i="16"/>
  <c r="AT118" i="16"/>
  <c r="AS118" i="16"/>
  <c r="AR118" i="16"/>
  <c r="AQ118" i="16"/>
  <c r="AP118" i="16"/>
  <c r="AO118" i="16"/>
  <c r="AN118" i="16"/>
  <c r="AU117" i="16"/>
  <c r="AT117" i="16"/>
  <c r="AS117" i="16"/>
  <c r="AR117" i="16"/>
  <c r="AQ117" i="16"/>
  <c r="AP117" i="16"/>
  <c r="AO117" i="16"/>
  <c r="AN117" i="16"/>
  <c r="AU116" i="16"/>
  <c r="AT116" i="16"/>
  <c r="AS116" i="16"/>
  <c r="AR116" i="16"/>
  <c r="AQ116" i="16"/>
  <c r="AP116" i="16"/>
  <c r="AO116" i="16"/>
  <c r="AN116" i="16"/>
  <c r="AU115" i="16"/>
  <c r="AT115" i="16"/>
  <c r="AS115" i="16"/>
  <c r="AR115" i="16"/>
  <c r="AQ115" i="16"/>
  <c r="AP115" i="16"/>
  <c r="AO115" i="16"/>
  <c r="AN115" i="16"/>
  <c r="AU114" i="16"/>
  <c r="AT114" i="16"/>
  <c r="AS114" i="16"/>
  <c r="AR114" i="16"/>
  <c r="AQ114" i="16"/>
  <c r="AP114" i="16"/>
  <c r="AO114" i="16"/>
  <c r="AN114" i="16"/>
  <c r="AU113" i="16"/>
  <c r="AT113" i="16"/>
  <c r="AS113" i="16"/>
  <c r="AR113" i="16"/>
  <c r="AQ113" i="16"/>
  <c r="AP113" i="16"/>
  <c r="AO113" i="16"/>
  <c r="AN113" i="16"/>
  <c r="AU112" i="16"/>
  <c r="AT112" i="16"/>
  <c r="AS112" i="16"/>
  <c r="AR112" i="16"/>
  <c r="AQ112" i="16"/>
  <c r="AP112" i="16"/>
  <c r="AO112" i="16"/>
  <c r="AN112" i="16"/>
  <c r="AU111" i="16"/>
  <c r="AT111" i="16"/>
  <c r="AS111" i="16"/>
  <c r="AR111" i="16"/>
  <c r="AQ111" i="16"/>
  <c r="AP111" i="16"/>
  <c r="AO111" i="16"/>
  <c r="AN111" i="16"/>
  <c r="AU110" i="16"/>
  <c r="AT110" i="16"/>
  <c r="AS110" i="16"/>
  <c r="AR110" i="16"/>
  <c r="AQ110" i="16"/>
  <c r="AP110" i="16"/>
  <c r="AO110" i="16"/>
  <c r="AN110" i="16"/>
  <c r="AU109" i="16"/>
  <c r="AT109" i="16"/>
  <c r="AS109" i="16"/>
  <c r="AR109" i="16"/>
  <c r="AQ109" i="16"/>
  <c r="AP109" i="16"/>
  <c r="AO109" i="16"/>
  <c r="AN109" i="16"/>
  <c r="AU108" i="16"/>
  <c r="AT108" i="16"/>
  <c r="AS108" i="16"/>
  <c r="AR108" i="16"/>
  <c r="AQ108" i="16"/>
  <c r="AP108" i="16"/>
  <c r="AO108" i="16"/>
  <c r="AN108" i="16"/>
  <c r="AU107" i="16"/>
  <c r="AT107" i="16"/>
  <c r="AS107" i="16"/>
  <c r="AR107" i="16"/>
  <c r="AQ107" i="16"/>
  <c r="AP107" i="16"/>
  <c r="AO107" i="16"/>
  <c r="AN107" i="16"/>
  <c r="AU106" i="16"/>
  <c r="AT106" i="16"/>
  <c r="AS106" i="16"/>
  <c r="AR106" i="16"/>
  <c r="AQ106" i="16"/>
  <c r="AP106" i="16"/>
  <c r="AO106" i="16"/>
  <c r="AN106" i="16"/>
  <c r="AU105" i="16"/>
  <c r="AT105" i="16"/>
  <c r="AS105" i="16"/>
  <c r="AR105" i="16"/>
  <c r="AQ105" i="16"/>
  <c r="AP105" i="16"/>
  <c r="AO105" i="16"/>
  <c r="AN105" i="16"/>
  <c r="AU104" i="16"/>
  <c r="AT104" i="16"/>
  <c r="AS104" i="16"/>
  <c r="AR104" i="16"/>
  <c r="AQ104" i="16"/>
  <c r="AP104" i="16"/>
  <c r="AO104" i="16"/>
  <c r="AN104" i="16"/>
  <c r="AU103" i="16"/>
  <c r="AT103" i="16"/>
  <c r="AS103" i="16"/>
  <c r="AR103" i="16"/>
  <c r="AQ103" i="16"/>
  <c r="AP103" i="16"/>
  <c r="AO103" i="16"/>
  <c r="AN103" i="16"/>
  <c r="AU102" i="16"/>
  <c r="AT102" i="16"/>
  <c r="AS102" i="16"/>
  <c r="AR102" i="16"/>
  <c r="AQ102" i="16"/>
  <c r="AP102" i="16"/>
  <c r="AO102" i="16"/>
  <c r="AN102" i="16"/>
  <c r="AU101" i="16"/>
  <c r="AT101" i="16"/>
  <c r="AS101" i="16"/>
  <c r="AR101" i="16"/>
  <c r="AQ101" i="16"/>
  <c r="AP101" i="16"/>
  <c r="AO101" i="16"/>
  <c r="AN101" i="16"/>
  <c r="AQ8" i="16"/>
  <c r="AQ64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N8" i="16"/>
  <c r="AO8" i="16"/>
  <c r="AP8" i="16"/>
  <c r="AR8" i="16"/>
  <c r="AS8" i="16"/>
  <c r="AT8" i="16"/>
  <c r="AU8" i="16"/>
  <c r="AN64" i="16"/>
  <c r="AO64" i="16"/>
  <c r="AP64" i="16"/>
  <c r="AR64" i="16"/>
  <c r="AS64" i="16"/>
  <c r="AT64" i="16"/>
  <c r="AU64" i="16"/>
  <c r="AN66" i="16"/>
  <c r="AO66" i="16"/>
  <c r="AP66" i="16"/>
  <c r="AR66" i="16"/>
  <c r="AS66" i="16"/>
  <c r="AT66" i="16"/>
  <c r="AU66" i="16"/>
  <c r="AN67" i="16"/>
  <c r="AO67" i="16"/>
  <c r="AP67" i="16"/>
  <c r="AR67" i="16"/>
  <c r="AS67" i="16"/>
  <c r="AT67" i="16"/>
  <c r="AU67" i="16"/>
  <c r="AN68" i="16"/>
  <c r="AO68" i="16"/>
  <c r="AP68" i="16"/>
  <c r="AR68" i="16"/>
  <c r="AS68" i="16"/>
  <c r="AT68" i="16"/>
  <c r="AU68" i="16"/>
  <c r="AN69" i="16"/>
  <c r="AO69" i="16"/>
  <c r="AP69" i="16"/>
  <c r="AR69" i="16"/>
  <c r="AS69" i="16"/>
  <c r="AT69" i="16"/>
  <c r="AU69" i="16"/>
  <c r="AN70" i="16"/>
  <c r="AO70" i="16"/>
  <c r="AP70" i="16"/>
  <c r="AR70" i="16"/>
  <c r="AS70" i="16"/>
  <c r="AT70" i="16"/>
  <c r="AU70" i="16"/>
  <c r="AN71" i="16"/>
  <c r="AO71" i="16"/>
  <c r="AP71" i="16"/>
  <c r="AR71" i="16"/>
  <c r="AS71" i="16"/>
  <c r="AT71" i="16"/>
  <c r="AU71" i="16"/>
  <c r="AN72" i="16"/>
  <c r="AO72" i="16"/>
  <c r="AP72" i="16"/>
  <c r="AR72" i="16"/>
  <c r="AS72" i="16"/>
  <c r="AT72" i="16"/>
  <c r="AU72" i="16"/>
  <c r="AN73" i="16"/>
  <c r="AO73" i="16"/>
  <c r="AP73" i="16"/>
  <c r="AR73" i="16"/>
  <c r="AS73" i="16"/>
  <c r="AT73" i="16"/>
  <c r="AU73" i="16"/>
  <c r="AN74" i="16"/>
  <c r="AO74" i="16"/>
  <c r="AP74" i="16"/>
  <c r="AR74" i="16"/>
  <c r="AS74" i="16"/>
  <c r="AT74" i="16"/>
  <c r="AU74" i="16"/>
  <c r="AN75" i="16"/>
  <c r="AO75" i="16"/>
  <c r="AP75" i="16"/>
  <c r="AR75" i="16"/>
  <c r="AS75" i="16"/>
  <c r="AT75" i="16"/>
  <c r="AU75" i="16"/>
  <c r="AN76" i="16"/>
  <c r="AO76" i="16"/>
  <c r="AP76" i="16"/>
  <c r="AR76" i="16"/>
  <c r="AS76" i="16"/>
  <c r="AT76" i="16"/>
  <c r="AU76" i="16"/>
  <c r="AN77" i="16"/>
  <c r="AO77" i="16"/>
  <c r="AP77" i="16"/>
  <c r="AR77" i="16"/>
  <c r="AS77" i="16"/>
  <c r="AT77" i="16"/>
  <c r="AU77" i="16"/>
  <c r="AN78" i="16"/>
  <c r="AO78" i="16"/>
  <c r="AP78" i="16"/>
  <c r="AR78" i="16"/>
  <c r="AS78" i="16"/>
  <c r="AT78" i="16"/>
  <c r="AU78" i="16"/>
  <c r="AN79" i="16"/>
  <c r="AO79" i="16"/>
  <c r="AP79" i="16"/>
  <c r="AR79" i="16"/>
  <c r="AS79" i="16"/>
  <c r="AT79" i="16"/>
  <c r="AU79" i="16"/>
  <c r="AN80" i="16"/>
  <c r="AO80" i="16"/>
  <c r="AP80" i="16"/>
  <c r="AR80" i="16"/>
  <c r="AS80" i="16"/>
  <c r="AT80" i="16"/>
  <c r="AU80" i="16"/>
  <c r="AN81" i="16"/>
  <c r="AO81" i="16"/>
  <c r="AP81" i="16"/>
  <c r="AR81" i="16"/>
  <c r="AS81" i="16"/>
  <c r="AT81" i="16"/>
  <c r="AU81" i="16"/>
  <c r="AN82" i="16"/>
  <c r="AO82" i="16"/>
  <c r="AP82" i="16"/>
  <c r="AR82" i="16"/>
  <c r="AS82" i="16"/>
  <c r="AT82" i="16"/>
  <c r="AU82" i="16"/>
  <c r="AN83" i="16"/>
  <c r="AO83" i="16"/>
  <c r="AP83" i="16"/>
  <c r="AR83" i="16"/>
  <c r="AS83" i="16"/>
  <c r="AT83" i="16"/>
  <c r="AU83" i="16"/>
  <c r="AN84" i="16"/>
  <c r="AO84" i="16"/>
  <c r="AP84" i="16"/>
  <c r="AQ84" i="16"/>
  <c r="AR84" i="16"/>
  <c r="AS84" i="16"/>
  <c r="AT84" i="16"/>
  <c r="AU84" i="16"/>
  <c r="AN85" i="16"/>
  <c r="AO85" i="16"/>
  <c r="AP85" i="16"/>
  <c r="AQ85" i="16"/>
  <c r="AR85" i="16"/>
  <c r="AS85" i="16"/>
  <c r="AT85" i="16"/>
  <c r="AU85" i="16"/>
  <c r="AN86" i="16"/>
  <c r="AO86" i="16"/>
  <c r="AP86" i="16"/>
  <c r="AQ86" i="16"/>
  <c r="AR86" i="16"/>
  <c r="AS86" i="16"/>
  <c r="AT86" i="16"/>
  <c r="AU86" i="16"/>
  <c r="AN87" i="16"/>
  <c r="AO87" i="16"/>
  <c r="AP87" i="16"/>
  <c r="AQ87" i="16"/>
  <c r="AR87" i="16"/>
  <c r="AS87" i="16"/>
  <c r="AT87" i="16"/>
  <c r="AU87" i="16"/>
  <c r="AN88" i="16"/>
  <c r="AO88" i="16"/>
  <c r="AP88" i="16"/>
  <c r="AQ88" i="16"/>
  <c r="AR88" i="16"/>
  <c r="AS88" i="16"/>
  <c r="AT88" i="16"/>
  <c r="AU88" i="16"/>
  <c r="AN89" i="16"/>
  <c r="AO89" i="16"/>
  <c r="AP89" i="16"/>
  <c r="AQ89" i="16"/>
  <c r="AR89" i="16"/>
  <c r="AS89" i="16"/>
  <c r="AT89" i="16"/>
  <c r="AU89" i="16"/>
  <c r="AN90" i="16"/>
  <c r="AO90" i="16"/>
  <c r="AP90" i="16"/>
  <c r="AQ90" i="16"/>
  <c r="AR90" i="16"/>
  <c r="AS90" i="16"/>
  <c r="AT90" i="16"/>
  <c r="AU90" i="16"/>
  <c r="AN91" i="16"/>
  <c r="AO91" i="16"/>
  <c r="AP91" i="16"/>
  <c r="AQ91" i="16"/>
  <c r="AR91" i="16"/>
  <c r="AS91" i="16"/>
  <c r="AT91" i="16"/>
  <c r="AU91" i="16"/>
  <c r="AN92" i="16"/>
  <c r="AO92" i="16"/>
  <c r="AP92" i="16"/>
  <c r="AQ92" i="16"/>
  <c r="AR92" i="16"/>
  <c r="AS92" i="16"/>
  <c r="AT92" i="16"/>
  <c r="AU92" i="16"/>
  <c r="AN93" i="16"/>
  <c r="AO93" i="16"/>
  <c r="AP93" i="16"/>
  <c r="AQ93" i="16"/>
  <c r="AR93" i="16"/>
  <c r="AS93" i="16"/>
  <c r="AT93" i="16"/>
  <c r="AU93" i="16"/>
  <c r="AN94" i="16"/>
  <c r="AO94" i="16"/>
  <c r="AP94" i="16"/>
  <c r="AQ94" i="16"/>
  <c r="AR94" i="16"/>
  <c r="AS94" i="16"/>
  <c r="AT94" i="16"/>
  <c r="AU94" i="16"/>
  <c r="AN95" i="16"/>
  <c r="AO95" i="16"/>
  <c r="AP95" i="16"/>
  <c r="AQ95" i="16"/>
  <c r="AR95" i="16"/>
  <c r="AS95" i="16"/>
  <c r="AT95" i="16"/>
  <c r="AU95" i="16"/>
  <c r="AN96" i="16"/>
  <c r="AO96" i="16"/>
  <c r="AP96" i="16"/>
  <c r="AQ96" i="16"/>
  <c r="AR96" i="16"/>
  <c r="AS96" i="16"/>
  <c r="AT96" i="16"/>
  <c r="AU96" i="16"/>
  <c r="AN97" i="16"/>
  <c r="AO97" i="16"/>
  <c r="AP97" i="16"/>
  <c r="AQ97" i="16"/>
  <c r="AR97" i="16"/>
  <c r="AS97" i="16"/>
  <c r="AT97" i="16"/>
  <c r="AU97" i="16"/>
  <c r="AN98" i="16"/>
  <c r="AO98" i="16"/>
  <c r="AP98" i="16"/>
  <c r="AQ98" i="16"/>
  <c r="AR98" i="16"/>
  <c r="AS98" i="16"/>
  <c r="AT98" i="16"/>
  <c r="AU98" i="16"/>
  <c r="AN99" i="16"/>
  <c r="AO99" i="16"/>
  <c r="AP99" i="16"/>
  <c r="AQ99" i="16"/>
  <c r="AR99" i="16"/>
  <c r="AS99" i="16"/>
  <c r="AT99" i="16"/>
  <c r="AU99" i="16"/>
  <c r="AN100" i="16"/>
  <c r="AO100" i="16"/>
  <c r="AP100" i="16"/>
  <c r="AQ100" i="16"/>
  <c r="AR100" i="16"/>
  <c r="AS100" i="16"/>
  <c r="AT100" i="16"/>
  <c r="AU100" i="16"/>
  <c r="AN142" i="16"/>
  <c r="AO142" i="16"/>
  <c r="AP142" i="16"/>
  <c r="AQ142" i="16"/>
  <c r="AR142" i="16"/>
  <c r="AS142" i="16"/>
  <c r="AT142" i="16"/>
  <c r="AU142" i="16"/>
  <c r="AN143" i="16"/>
  <c r="AO143" i="16"/>
  <c r="AP143" i="16"/>
  <c r="AQ143" i="16"/>
  <c r="AR143" i="16"/>
  <c r="AS143" i="16"/>
  <c r="AT143" i="16"/>
  <c r="AU143" i="16"/>
  <c r="AN144" i="16"/>
  <c r="AO144" i="16"/>
  <c r="AP144" i="16"/>
  <c r="AQ144" i="16"/>
  <c r="AR144" i="16"/>
  <c r="AS144" i="16"/>
  <c r="AT144" i="16"/>
  <c r="AU144" i="16"/>
  <c r="AN145" i="16"/>
  <c r="AO145" i="16"/>
  <c r="AP145" i="16"/>
  <c r="AQ145" i="16"/>
  <c r="AR145" i="16"/>
  <c r="AS145" i="16"/>
  <c r="AT145" i="16"/>
  <c r="AU145" i="16"/>
  <c r="AN146" i="16"/>
  <c r="AO146" i="16"/>
  <c r="AP146" i="16"/>
  <c r="AQ146" i="16"/>
  <c r="AR146" i="16"/>
  <c r="AS146" i="16"/>
  <c r="AT146" i="16"/>
  <c r="AU146" i="16"/>
  <c r="AN147" i="16"/>
  <c r="AO147" i="16"/>
  <c r="AP147" i="16"/>
  <c r="AQ147" i="16"/>
  <c r="AR147" i="16"/>
  <c r="AS147" i="16"/>
  <c r="AT147" i="16"/>
  <c r="AU147" i="16"/>
  <c r="AN148" i="16"/>
  <c r="AO148" i="16"/>
  <c r="AP148" i="16"/>
  <c r="AQ148" i="16"/>
  <c r="AR148" i="16"/>
  <c r="AS148" i="16"/>
  <c r="AT148" i="16"/>
  <c r="AU148" i="16"/>
  <c r="AN149" i="16"/>
  <c r="AO149" i="16"/>
  <c r="AP149" i="16"/>
  <c r="AQ149" i="16"/>
  <c r="AR149" i="16"/>
  <c r="AS149" i="16"/>
  <c r="AT149" i="16"/>
  <c r="AU149" i="16"/>
  <c r="AN150" i="16"/>
  <c r="AO150" i="16"/>
  <c r="AP150" i="16"/>
  <c r="AQ150" i="16"/>
  <c r="AR150" i="16"/>
  <c r="AS150" i="16"/>
  <c r="AT150" i="16"/>
  <c r="AU150" i="16"/>
  <c r="AN151" i="16"/>
  <c r="AO151" i="16"/>
  <c r="AP151" i="16"/>
  <c r="AQ151" i="16"/>
  <c r="AR151" i="16"/>
  <c r="AS151" i="16"/>
  <c r="AT151" i="16"/>
  <c r="AU151" i="16"/>
  <c r="AN152" i="16"/>
  <c r="AO152" i="16"/>
  <c r="AP152" i="16"/>
  <c r="AQ152" i="16"/>
  <c r="AR152" i="16"/>
  <c r="AS152" i="16"/>
  <c r="AT152" i="16"/>
  <c r="AU152" i="16"/>
  <c r="AN153" i="16"/>
  <c r="AO153" i="16"/>
  <c r="AP153" i="16"/>
  <c r="AQ153" i="16"/>
  <c r="AR153" i="16"/>
  <c r="AS153" i="16"/>
  <c r="AT153" i="16"/>
  <c r="AU153" i="16"/>
  <c r="AN154" i="16"/>
  <c r="AO154" i="16"/>
  <c r="AP154" i="16"/>
  <c r="AQ154" i="16"/>
  <c r="AR154" i="16"/>
  <c r="AS154" i="16"/>
  <c r="AT154" i="16"/>
  <c r="AU154" i="16"/>
  <c r="AN155" i="16"/>
  <c r="AO155" i="16"/>
  <c r="AP155" i="16"/>
  <c r="AQ155" i="16"/>
  <c r="AR155" i="16"/>
  <c r="AS155" i="16"/>
  <c r="AT155" i="16"/>
  <c r="AU155" i="16"/>
  <c r="AN156" i="16"/>
  <c r="AO156" i="16"/>
  <c r="AP156" i="16"/>
  <c r="AQ156" i="16"/>
  <c r="AR156" i="16"/>
  <c r="AS156" i="16"/>
  <c r="AT156" i="16"/>
  <c r="AU156" i="16"/>
  <c r="AN157" i="16"/>
  <c r="AO157" i="16"/>
  <c r="AP157" i="16"/>
  <c r="AQ157" i="16"/>
  <c r="AR157" i="16"/>
  <c r="AS157" i="16"/>
  <c r="AT157" i="16"/>
  <c r="AU157" i="16"/>
  <c r="AN158" i="16"/>
  <c r="AO158" i="16"/>
  <c r="AP158" i="16"/>
  <c r="AQ158" i="16"/>
  <c r="AR158" i="16"/>
  <c r="AS158" i="16"/>
  <c r="AT158" i="16"/>
  <c r="AU158" i="16"/>
  <c r="AN159" i="16"/>
  <c r="AO159" i="16"/>
  <c r="AP159" i="16"/>
  <c r="AQ159" i="16"/>
  <c r="AR159" i="16"/>
  <c r="AS159" i="16"/>
  <c r="AT159" i="16"/>
  <c r="AU159" i="16"/>
  <c r="AN160" i="16"/>
  <c r="AO160" i="16"/>
  <c r="AP160" i="16"/>
  <c r="AQ160" i="16"/>
  <c r="AR160" i="16"/>
  <c r="AS160" i="16"/>
  <c r="AT160" i="16"/>
  <c r="AU160" i="16"/>
  <c r="AN161" i="16"/>
  <c r="AO161" i="16"/>
  <c r="AP161" i="16"/>
  <c r="AQ161" i="16"/>
  <c r="AR161" i="16"/>
  <c r="AS161" i="16"/>
  <c r="AT161" i="16"/>
  <c r="AU161" i="16"/>
  <c r="AN162" i="16"/>
  <c r="AO162" i="16"/>
  <c r="AP162" i="16"/>
  <c r="AQ162" i="16"/>
  <c r="AR162" i="16"/>
  <c r="AS162" i="16"/>
  <c r="AT162" i="16"/>
  <c r="AU162" i="16"/>
  <c r="AN163" i="16"/>
  <c r="AO163" i="16"/>
  <c r="AP163" i="16"/>
  <c r="AQ163" i="16"/>
  <c r="AR163" i="16"/>
  <c r="AS163" i="16"/>
  <c r="AT163" i="16"/>
  <c r="AU163" i="16"/>
  <c r="AN164" i="16"/>
  <c r="AO164" i="16"/>
  <c r="AP164" i="16"/>
  <c r="AQ164" i="16"/>
  <c r="AR164" i="16"/>
  <c r="AS164" i="16"/>
  <c r="AT164" i="16"/>
  <c r="AU164" i="16"/>
  <c r="AN165" i="16"/>
  <c r="AO165" i="16"/>
  <c r="AP165" i="16"/>
  <c r="AQ165" i="16"/>
  <c r="AR165" i="16"/>
  <c r="AS165" i="16"/>
  <c r="AT165" i="16"/>
  <c r="AU165" i="16"/>
  <c r="AN166" i="16"/>
  <c r="AO166" i="16"/>
  <c r="AP166" i="16"/>
  <c r="AQ166" i="16"/>
  <c r="AR166" i="16"/>
  <c r="AS166" i="16"/>
  <c r="AT166" i="16"/>
  <c r="AU166" i="16"/>
  <c r="AN167" i="16"/>
  <c r="AO167" i="16"/>
  <c r="AP167" i="16"/>
  <c r="AQ167" i="16"/>
  <c r="AR167" i="16"/>
  <c r="AS167" i="16"/>
  <c r="AT167" i="16"/>
  <c r="AU167" i="16"/>
  <c r="AN168" i="16"/>
  <c r="AO168" i="16"/>
  <c r="AP168" i="16"/>
  <c r="AQ168" i="16"/>
  <c r="AR168" i="16"/>
  <c r="AS168" i="16"/>
  <c r="AT168" i="16"/>
  <c r="AU168" i="16"/>
  <c r="AN169" i="16"/>
  <c r="AO169" i="16"/>
  <c r="AP169" i="16"/>
  <c r="AQ169" i="16"/>
  <c r="AR169" i="16"/>
  <c r="AS169" i="16"/>
  <c r="AT169" i="16"/>
  <c r="AU169" i="16"/>
  <c r="AN170" i="16"/>
  <c r="AO170" i="16"/>
  <c r="AP170" i="16"/>
  <c r="AQ170" i="16"/>
  <c r="AR170" i="16"/>
  <c r="AS170" i="16"/>
  <c r="AT170" i="16"/>
  <c r="AU170" i="16"/>
  <c r="AN171" i="16"/>
  <c r="AO171" i="16"/>
  <c r="AP171" i="16"/>
  <c r="AQ171" i="16"/>
  <c r="AR171" i="16"/>
  <c r="AS171" i="16"/>
  <c r="AT171" i="16"/>
  <c r="AU171" i="16"/>
  <c r="AN172" i="16"/>
  <c r="AO172" i="16"/>
  <c r="AP172" i="16"/>
  <c r="AQ172" i="16"/>
  <c r="AR172" i="16"/>
  <c r="AS172" i="16"/>
  <c r="AT172" i="16"/>
  <c r="AU172" i="16"/>
  <c r="AN173" i="16"/>
  <c r="AO173" i="16"/>
  <c r="AP173" i="16"/>
  <c r="AQ173" i="16"/>
  <c r="AR173" i="16"/>
  <c r="AS173" i="16"/>
  <c r="AT173" i="16"/>
  <c r="AU173" i="16"/>
  <c r="AN174" i="16"/>
  <c r="AO174" i="16"/>
  <c r="AP174" i="16"/>
  <c r="AQ174" i="16"/>
  <c r="AR174" i="16"/>
  <c r="AS174" i="16"/>
  <c r="AT174" i="16"/>
  <c r="AU174" i="16"/>
  <c r="AN175" i="16"/>
  <c r="AO175" i="16"/>
  <c r="AP175" i="16"/>
  <c r="AQ175" i="16"/>
  <c r="AR175" i="16"/>
  <c r="AS175" i="16"/>
  <c r="AT175" i="16"/>
  <c r="AU175" i="16"/>
  <c r="AN176" i="16"/>
  <c r="AO176" i="16"/>
  <c r="AP176" i="16"/>
  <c r="AQ176" i="16"/>
  <c r="AR176" i="16"/>
  <c r="AS176" i="16"/>
  <c r="AT176" i="16"/>
  <c r="AU176" i="16"/>
  <c r="AN177" i="16"/>
  <c r="AO177" i="16"/>
  <c r="AP177" i="16"/>
  <c r="AQ177" i="16"/>
  <c r="AR177" i="16"/>
  <c r="AS177" i="16"/>
  <c r="AT177" i="16"/>
  <c r="AU177" i="16"/>
  <c r="AN178" i="16"/>
  <c r="AO178" i="16"/>
  <c r="AP178" i="16"/>
  <c r="AQ178" i="16"/>
  <c r="AR178" i="16"/>
  <c r="AS178" i="16"/>
  <c r="AT178" i="16"/>
  <c r="AU178" i="16"/>
  <c r="AN179" i="16"/>
  <c r="AO179" i="16"/>
  <c r="AP179" i="16"/>
  <c r="AQ179" i="16"/>
  <c r="AR179" i="16"/>
  <c r="AS179" i="16"/>
  <c r="AT179" i="16"/>
  <c r="AU179" i="16"/>
  <c r="AN180" i="16"/>
  <c r="AO180" i="16"/>
  <c r="AP180" i="16"/>
  <c r="AQ180" i="16"/>
  <c r="AR180" i="16"/>
  <c r="AS180" i="16"/>
  <c r="AT180" i="16"/>
  <c r="AU180" i="16"/>
  <c r="AN181" i="16"/>
  <c r="AO181" i="16"/>
  <c r="AP181" i="16"/>
  <c r="AQ181" i="16"/>
  <c r="AR181" i="16"/>
  <c r="AS181" i="16"/>
  <c r="AT181" i="16"/>
  <c r="AU181" i="16"/>
  <c r="AN182" i="16"/>
  <c r="AO182" i="16"/>
  <c r="AP182" i="16"/>
  <c r="AQ182" i="16"/>
  <c r="AR182" i="16"/>
  <c r="AS182" i="16"/>
  <c r="AT182" i="16"/>
  <c r="AU182" i="16"/>
  <c r="AN183" i="16"/>
  <c r="AO183" i="16"/>
  <c r="AP183" i="16"/>
  <c r="AQ183" i="16"/>
  <c r="AR183" i="16"/>
  <c r="AS183" i="16"/>
  <c r="AT183" i="16"/>
  <c r="AU183" i="16"/>
  <c r="AN184" i="16"/>
  <c r="AO184" i="16"/>
  <c r="AP184" i="16"/>
  <c r="AQ184" i="16"/>
  <c r="AR184" i="16"/>
  <c r="AS184" i="16"/>
  <c r="AT184" i="16"/>
  <c r="AU184" i="16"/>
  <c r="AN296" i="16"/>
  <c r="AO296" i="16"/>
  <c r="AP296" i="16"/>
  <c r="AQ296" i="16"/>
  <c r="AR296" i="16"/>
  <c r="AS296" i="16"/>
  <c r="AT296" i="16"/>
  <c r="AU296" i="16"/>
  <c r="AN297" i="16"/>
  <c r="AO297" i="16"/>
  <c r="AP297" i="16"/>
  <c r="AQ297" i="16"/>
  <c r="AR297" i="16"/>
  <c r="AS297" i="16"/>
  <c r="AT297" i="16"/>
  <c r="AU297" i="16"/>
  <c r="AU7" i="16"/>
  <c r="AT7" i="16"/>
  <c r="AS7" i="16"/>
  <c r="AR7" i="16"/>
  <c r="AQ7" i="16"/>
  <c r="AP7" i="16"/>
  <c r="AO7" i="16"/>
  <c r="AN7" i="16"/>
  <c r="F2" i="18" l="1"/>
  <c r="E2" i="18"/>
  <c r="C2" i="18"/>
  <c r="B2" i="18"/>
  <c r="F1" i="18"/>
  <c r="E1" i="18"/>
  <c r="C1" i="18"/>
  <c r="B1" i="18"/>
  <c r="AU299" i="16" l="1"/>
  <c r="AT299" i="16"/>
  <c r="AS299" i="16"/>
  <c r="AR299" i="16"/>
  <c r="AQ299" i="16"/>
  <c r="AP299" i="16"/>
  <c r="AO299" i="16"/>
  <c r="AN299" i="16"/>
  <c r="AD7" i="16"/>
  <c r="AV7" i="16" l="1"/>
  <c r="TK7" i="16"/>
  <c r="IU7" i="16"/>
  <c r="QT7" i="16"/>
  <c r="GD7" i="16"/>
  <c r="LL7" i="16"/>
  <c r="LL299" i="16" s="1"/>
  <c r="OC7" i="16"/>
  <c r="DM7" i="16"/>
  <c r="UG5" i="16"/>
  <c r="RT5" i="16"/>
  <c r="PG5" i="16"/>
  <c r="MU5" i="16"/>
  <c r="KH5" i="16"/>
  <c r="HU5" i="16"/>
  <c r="FH5" i="16"/>
  <c r="EP5" i="16"/>
  <c r="IN5" i="16"/>
  <c r="IT5" i="16"/>
  <c r="UN5" i="16"/>
  <c r="SA5" i="16"/>
  <c r="PN5" i="16"/>
  <c r="NB5" i="16"/>
  <c r="KO5" i="16"/>
  <c r="IB5" i="16"/>
  <c r="FO5" i="16"/>
  <c r="FN5" i="16"/>
  <c r="KS5" i="16"/>
  <c r="LG5" i="16"/>
  <c r="VK5" i="16"/>
  <c r="SX5" i="16"/>
  <c r="QK5" i="16"/>
  <c r="NY5" i="16"/>
  <c r="LM5" i="16"/>
  <c r="IZ5" i="16"/>
  <c r="FV5" i="16"/>
  <c r="JU5" i="16"/>
  <c r="ID5" i="16"/>
  <c r="UD5" i="16"/>
  <c r="RQ5" i="16"/>
  <c r="PD5" i="16"/>
  <c r="MR5" i="16"/>
  <c r="KE5" i="16"/>
  <c r="HR5" i="16"/>
  <c r="FE5" i="16"/>
  <c r="UZ5" i="16"/>
  <c r="KK5" i="16"/>
  <c r="KY5" i="16"/>
  <c r="VA5" i="16"/>
  <c r="SN5" i="16"/>
  <c r="QA5" i="16"/>
  <c r="NO5" i="16"/>
  <c r="LB5" i="16"/>
  <c r="IO5" i="16"/>
  <c r="GB5" i="16"/>
  <c r="DP5" i="16"/>
  <c r="OD5" i="16"/>
  <c r="PP5" i="16"/>
  <c r="VX5" i="16"/>
  <c r="UA5" i="16"/>
  <c r="RN5" i="16"/>
  <c r="PA5" i="16"/>
  <c r="MG5" i="16"/>
  <c r="JT5" i="16"/>
  <c r="HG5" i="16"/>
  <c r="ET5" i="16"/>
  <c r="UP5" i="16"/>
  <c r="SC5" i="16"/>
  <c r="HN5" i="16"/>
  <c r="UW5" i="16"/>
  <c r="GE5" i="16"/>
  <c r="QD5" i="16"/>
  <c r="OZ5" i="16"/>
  <c r="HC5" i="16"/>
  <c r="IH5" i="16"/>
  <c r="QQ5" i="16"/>
  <c r="ES5" i="16"/>
  <c r="HW5" i="16"/>
  <c r="VV5" i="16"/>
  <c r="TY5" i="16"/>
  <c r="RL5" i="16"/>
  <c r="OY5" i="16"/>
  <c r="MM5" i="16"/>
  <c r="JZ5" i="16"/>
  <c r="HM5" i="16"/>
  <c r="EZ5" i="16"/>
  <c r="TL5" i="16"/>
  <c r="GZ5" i="16"/>
  <c r="HF5" i="16"/>
  <c r="UF5" i="16"/>
  <c r="RS5" i="16"/>
  <c r="PF5" i="16"/>
  <c r="MT5" i="16"/>
  <c r="KG5" i="16"/>
  <c r="HT5" i="16"/>
  <c r="FG5" i="16"/>
  <c r="EH5" i="16"/>
  <c r="JE5" i="16"/>
  <c r="JK5" i="16"/>
  <c r="VC5" i="16"/>
  <c r="SP5" i="16"/>
  <c r="QC5" i="16"/>
  <c r="NQ5" i="16"/>
  <c r="LD5" i="16"/>
  <c r="IQ5" i="16"/>
  <c r="EX5" i="16"/>
  <c r="IF5" i="16"/>
  <c r="FQ5" i="16"/>
  <c r="TV5" i="16"/>
  <c r="RI5" i="16"/>
  <c r="OV5" i="16"/>
  <c r="MJ5" i="16"/>
  <c r="JW5" i="16"/>
  <c r="HJ5" i="16"/>
  <c r="EW5" i="16"/>
  <c r="UJ5" i="16"/>
  <c r="IW5" i="16"/>
  <c r="JC5" i="16"/>
  <c r="US5" i="16"/>
  <c r="SF5" i="16"/>
  <c r="PS5" i="16"/>
  <c r="NG5" i="16"/>
  <c r="KT5" i="16"/>
  <c r="IG5" i="16"/>
  <c r="FT5" i="16"/>
  <c r="VH5" i="16"/>
  <c r="MP5" i="16"/>
  <c r="NT5" i="16"/>
  <c r="TS5" i="16"/>
  <c r="RF5" i="16"/>
  <c r="OS5" i="16"/>
  <c r="LY5" i="16"/>
  <c r="JL5" i="16"/>
  <c r="GY5" i="16"/>
  <c r="EL5" i="16"/>
  <c r="UH5" i="16"/>
  <c r="RU5" i="16"/>
  <c r="GH5" i="16"/>
  <c r="IE5" i="16"/>
  <c r="PW5" i="16"/>
  <c r="LR5" i="16"/>
  <c r="IR5" i="16"/>
  <c r="RB5" i="16"/>
  <c r="SG5" i="16"/>
  <c r="OJ5" i="16"/>
  <c r="LS5" i="16"/>
  <c r="SD5" i="16"/>
  <c r="VF5" i="16"/>
  <c r="TQ5" i="16"/>
  <c r="RD5" i="16"/>
  <c r="OQ5" i="16"/>
  <c r="ME5" i="16"/>
  <c r="JR5" i="16"/>
  <c r="HE5" i="16"/>
  <c r="ER5" i="16"/>
  <c r="SE5" i="16"/>
  <c r="FS5" i="16"/>
  <c r="FI5" i="16"/>
  <c r="TX5" i="16"/>
  <c r="RK5" i="16"/>
  <c r="OX5" i="16"/>
  <c r="ML5" i="16"/>
  <c r="JY5" i="16"/>
  <c r="HL5" i="16"/>
  <c r="EY5" i="16"/>
  <c r="DR5" i="16"/>
  <c r="HP5" i="16"/>
  <c r="HV5" i="16"/>
  <c r="UU5" i="16"/>
  <c r="SH5" i="16"/>
  <c r="PU5" i="16"/>
  <c r="NI5" i="16"/>
  <c r="KV5" i="16"/>
  <c r="II5" i="16"/>
  <c r="DZ5" i="16"/>
  <c r="GJ5" i="16"/>
  <c r="VZ5" i="16"/>
  <c r="TN5" i="16"/>
  <c r="RA5" i="16"/>
  <c r="ON5" i="16"/>
  <c r="MB5" i="16"/>
  <c r="JO5" i="16"/>
  <c r="HB5" i="16"/>
  <c r="EO5" i="16"/>
  <c r="TT5" i="16"/>
  <c r="HH5" i="16"/>
  <c r="GX5" i="16"/>
  <c r="UK5" i="16"/>
  <c r="RX5" i="16"/>
  <c r="PK5" i="16"/>
  <c r="MY5" i="16"/>
  <c r="KL5" i="16"/>
  <c r="HY5" i="16"/>
  <c r="FL5" i="16"/>
  <c r="UR5" i="16"/>
  <c r="LA5" i="16"/>
  <c r="LX5" i="16"/>
  <c r="VW5" i="16"/>
  <c r="TJ5" i="16"/>
  <c r="QX5" i="16"/>
  <c r="OK5" i="16"/>
  <c r="LQ5" i="16"/>
  <c r="JD5" i="16"/>
  <c r="GQ5" i="16"/>
  <c r="ED5" i="16"/>
  <c r="TZ5" i="16"/>
  <c r="RM5" i="16"/>
  <c r="EK5" i="16"/>
  <c r="NL5" i="16"/>
  <c r="FX5" i="16"/>
  <c r="LE5" i="16"/>
  <c r="TO5" i="16"/>
  <c r="UT5" i="16"/>
  <c r="NF5" i="16"/>
  <c r="JF5" i="16"/>
  <c r="UQ5" i="16"/>
  <c r="SS5" i="16"/>
  <c r="VU5" i="16"/>
  <c r="TH5" i="16"/>
  <c r="QV5" i="16"/>
  <c r="OI5" i="16"/>
  <c r="LW5" i="16"/>
  <c r="JJ5" i="16"/>
  <c r="GW5" i="16"/>
  <c r="EJ5" i="16"/>
  <c r="RG5" i="16"/>
  <c r="DW5" i="16"/>
  <c r="TP5" i="16"/>
  <c r="RC5" i="16"/>
  <c r="OP5" i="16"/>
  <c r="MD5" i="16"/>
  <c r="JQ5" i="16"/>
  <c r="HD5" i="16"/>
  <c r="EQ5" i="16"/>
  <c r="RW5" i="16"/>
  <c r="GA5" i="16"/>
  <c r="FY5" i="16"/>
  <c r="UM5" i="16"/>
  <c r="RZ5" i="16"/>
  <c r="PM5" i="16"/>
  <c r="NA5" i="16"/>
  <c r="KN5" i="16"/>
  <c r="IA5" i="16"/>
  <c r="SU5" i="16"/>
  <c r="EM5" i="16"/>
  <c r="VR5" i="16"/>
  <c r="TE5" i="16"/>
  <c r="QR5" i="16"/>
  <c r="OF5" i="16"/>
  <c r="LT5" i="16"/>
  <c r="JG5" i="16"/>
  <c r="GT5" i="16"/>
  <c r="EG5" i="16"/>
  <c r="SM5" i="16"/>
  <c r="FK5" i="16"/>
  <c r="FA5" i="16"/>
  <c r="UC5" i="16"/>
  <c r="RP5" i="16"/>
  <c r="PC5" i="16"/>
  <c r="MQ5" i="16"/>
  <c r="KD5" i="16"/>
  <c r="HQ5" i="16"/>
  <c r="FD5" i="16"/>
  <c r="UB5" i="16"/>
  <c r="JM5" i="16"/>
  <c r="KI5" i="16"/>
  <c r="VO5" i="16"/>
  <c r="TB5" i="16"/>
  <c r="QO5" i="16"/>
  <c r="NU5" i="16"/>
  <c r="LH5" i="16"/>
  <c r="IV5" i="16"/>
  <c r="GI5" i="16"/>
  <c r="DV5" i="16"/>
  <c r="TR5" i="16"/>
  <c r="RE5" i="16"/>
  <c r="DU5" i="16"/>
  <c r="UY5" i="16"/>
  <c r="FR5" i="16"/>
  <c r="SJ5" i="16"/>
  <c r="MV5" i="16"/>
  <c r="GF5" i="16"/>
  <c r="OO5" i="16"/>
  <c r="MF5" i="16"/>
  <c r="NH5" i="16"/>
  <c r="TD5" i="16"/>
  <c r="PZ5" i="16"/>
  <c r="KJ5" i="16"/>
  <c r="VM5" i="16"/>
  <c r="SZ5" i="16"/>
  <c r="QM5" i="16"/>
  <c r="OA5" i="16"/>
  <c r="LO5" i="16"/>
  <c r="JB5" i="16"/>
  <c r="GO5" i="16"/>
  <c r="EB5" i="16"/>
  <c r="PR5" i="16"/>
  <c r="QN5" i="16"/>
  <c r="VT5" i="16"/>
  <c r="TG5" i="16"/>
  <c r="QU5" i="16"/>
  <c r="OH5" i="16"/>
  <c r="LV5" i="16"/>
  <c r="JI5" i="16"/>
  <c r="GV5" i="16"/>
  <c r="EI5" i="16"/>
  <c r="QH5" i="16"/>
  <c r="EU5" i="16"/>
  <c r="EC5" i="16"/>
  <c r="UE5" i="16"/>
  <c r="RR5" i="16"/>
  <c r="PE5" i="16"/>
  <c r="MS5" i="16"/>
  <c r="KF5" i="16"/>
  <c r="HS5" i="16"/>
  <c r="QP5" i="16"/>
  <c r="PX5" i="16"/>
  <c r="VJ5" i="16"/>
  <c r="SW5" i="16"/>
  <c r="QJ5" i="16"/>
  <c r="NX5" i="16"/>
  <c r="LK5" i="16"/>
  <c r="IY5" i="16"/>
  <c r="GL5" i="16"/>
  <c r="DY5" i="16"/>
  <c r="QY5" i="16"/>
  <c r="EE5" i="16"/>
  <c r="TU5" i="16"/>
  <c r="RH5" i="16"/>
  <c r="OU5" i="16"/>
  <c r="MI5" i="16"/>
  <c r="JV5" i="16"/>
  <c r="HI5" i="16"/>
  <c r="EV5" i="16"/>
  <c r="TC5" i="16"/>
  <c r="HX5" i="16"/>
  <c r="IL5" i="16"/>
  <c r="VG5" i="16"/>
  <c r="ST5" i="16"/>
  <c r="QG5" i="16"/>
  <c r="NM5" i="16"/>
  <c r="KZ5" i="16"/>
  <c r="IM5" i="16"/>
  <c r="FZ5" i="16"/>
  <c r="DN5" i="16"/>
  <c r="TI5" i="16"/>
  <c r="PH5" i="16"/>
  <c r="PY5" i="16"/>
  <c r="NE5" i="16"/>
  <c r="TA5" i="16"/>
  <c r="IK5" i="16"/>
  <c r="NR5" i="16"/>
  <c r="WA5" i="16"/>
  <c r="MX5" i="16"/>
  <c r="KU5" i="16"/>
  <c r="OE5" i="16"/>
  <c r="FC5" i="16"/>
  <c r="FJ5" i="16"/>
  <c r="VE5" i="16"/>
  <c r="SR5" i="16"/>
  <c r="QE5" i="16"/>
  <c r="NS5" i="16"/>
  <c r="LF5" i="16"/>
  <c r="IS5" i="16"/>
  <c r="GG5" i="16"/>
  <c r="DT5" i="16"/>
  <c r="NN5" i="16"/>
  <c r="OR5" i="16"/>
  <c r="VL5" i="16"/>
  <c r="SY5" i="16"/>
  <c r="QL5" i="16"/>
  <c r="NZ5" i="16"/>
  <c r="LN5" i="16"/>
  <c r="JA5" i="16"/>
  <c r="GN5" i="16"/>
  <c r="EA5" i="16"/>
  <c r="PB5" i="16"/>
  <c r="QW5" i="16"/>
  <c r="TW5" i="16"/>
  <c r="RJ5" i="16"/>
  <c r="OW5" i="16"/>
  <c r="MK5" i="16"/>
  <c r="JX5" i="16"/>
  <c r="HK5" i="16"/>
  <c r="OL5" i="16"/>
  <c r="OB5" i="16"/>
  <c r="VB5" i="16"/>
  <c r="SO5" i="16"/>
  <c r="QB5" i="16"/>
  <c r="NP5" i="16"/>
  <c r="LC5" i="16"/>
  <c r="IP5" i="16"/>
  <c r="GC5" i="16"/>
  <c r="DQ5" i="16"/>
  <c r="PJ5" i="16"/>
  <c r="QF5" i="16"/>
  <c r="VY5" i="16"/>
  <c r="TM5" i="16"/>
  <c r="QZ5" i="16"/>
  <c r="OM5" i="16"/>
  <c r="MA5" i="16"/>
  <c r="JN5" i="16"/>
  <c r="HA5" i="16"/>
  <c r="EN5" i="16"/>
  <c r="RO5" i="16"/>
  <c r="GR5" i="16"/>
  <c r="GP5" i="16"/>
  <c r="SL5" i="16"/>
  <c r="KR5" i="16"/>
  <c r="NK5" i="16"/>
  <c r="VD5" i="16"/>
  <c r="DS5" i="16"/>
  <c r="MC5" i="16"/>
  <c r="FU5" i="16"/>
  <c r="GS5" i="16"/>
  <c r="PQ5" i="16"/>
  <c r="LP5" i="16"/>
  <c r="UO5" i="16"/>
  <c r="SB5" i="16"/>
  <c r="PO5" i="16"/>
  <c r="NC5" i="16"/>
  <c r="KP5" i="16"/>
  <c r="IC5" i="16"/>
  <c r="FP5" i="16"/>
  <c r="FF5" i="16"/>
  <c r="KC5" i="16"/>
  <c r="KQ5" i="16"/>
  <c r="UV5" i="16"/>
  <c r="SI5" i="16"/>
  <c r="PV5" i="16"/>
  <c r="NJ5" i="16"/>
  <c r="KW5" i="16"/>
  <c r="IJ5" i="16"/>
  <c r="FW5" i="16"/>
  <c r="GM5" i="16"/>
  <c r="MH5" i="16"/>
  <c r="ND5" i="16"/>
  <c r="VS5" i="16"/>
  <c r="TF5" i="16"/>
  <c r="QS5" i="16"/>
  <c r="OG5" i="16"/>
  <c r="LU5" i="16"/>
  <c r="JH5" i="16"/>
  <c r="GU5" i="16"/>
  <c r="LI5" i="16"/>
  <c r="KA5" i="16"/>
  <c r="UL5" i="16"/>
  <c r="RY5" i="16"/>
  <c r="PL5" i="16"/>
  <c r="MZ5" i="16"/>
  <c r="KM5" i="16"/>
  <c r="HZ5" i="16"/>
  <c r="FM5" i="16"/>
  <c r="VP5" i="16"/>
  <c r="LZ5" i="16"/>
  <c r="MN5" i="16"/>
  <c r="VI5" i="16"/>
  <c r="SV5" i="16"/>
  <c r="QI5" i="16"/>
  <c r="NW5" i="16"/>
  <c r="LJ5" i="16"/>
  <c r="IX5" i="16"/>
  <c r="GK5" i="16"/>
  <c r="DX5" i="16"/>
  <c r="OT5" i="16"/>
  <c r="DO5" i="16"/>
  <c r="UI5" i="16"/>
  <c r="RV5" i="16"/>
  <c r="PI5" i="16"/>
  <c r="MO5" i="16"/>
  <c r="KB5" i="16"/>
  <c r="HO5" i="16"/>
  <c r="FB5" i="16"/>
  <c r="UX5" i="16"/>
  <c r="SK5" i="16"/>
  <c r="JS5" i="16"/>
  <c r="VN5" i="16"/>
  <c r="KX5" i="16"/>
  <c r="SQ5" i="16"/>
  <c r="NV5" i="16"/>
  <c r="JP5" i="16"/>
  <c r="PT5" i="16"/>
  <c r="VQ5" i="16"/>
  <c r="EF5" i="16"/>
  <c r="MW5" i="16"/>
  <c r="AE7" i="16"/>
  <c r="AE299" i="16" s="1"/>
  <c r="AV299" i="16"/>
  <c r="DD5" i="16"/>
  <c r="DG5" i="16"/>
  <c r="DK5" i="16"/>
  <c r="DC5" i="16"/>
  <c r="DB5" i="16"/>
  <c r="DA5" i="16"/>
  <c r="CY5" i="16"/>
  <c r="DJ5" i="16"/>
  <c r="CZ5" i="16"/>
  <c r="DF5" i="16"/>
  <c r="CX5" i="16"/>
  <c r="DI5" i="16"/>
  <c r="DE5" i="16"/>
  <c r="CW5" i="16"/>
  <c r="DH5" i="16"/>
  <c r="CV5" i="16"/>
  <c r="CT5" i="16"/>
  <c r="CR5" i="16"/>
  <c r="CP5" i="16"/>
  <c r="CN5" i="16"/>
  <c r="CL5" i="16"/>
  <c r="CJ5" i="16"/>
  <c r="CH5" i="16"/>
  <c r="CF5" i="16"/>
  <c r="CD5" i="16"/>
  <c r="CB5" i="16"/>
  <c r="BZ5" i="16"/>
  <c r="BX5" i="16"/>
  <c r="BV5" i="16"/>
  <c r="BT5" i="16"/>
  <c r="BR5" i="16"/>
  <c r="BP5" i="16"/>
  <c r="BN5" i="16"/>
  <c r="BL5" i="16"/>
  <c r="BJ5" i="16"/>
  <c r="BH5" i="16"/>
  <c r="BF5" i="16"/>
  <c r="BD5" i="16"/>
  <c r="BB5" i="16"/>
  <c r="AZ5" i="16"/>
  <c r="AX5" i="16"/>
  <c r="DL5" i="16"/>
  <c r="CU5" i="16"/>
  <c r="CS5" i="16"/>
  <c r="CQ5" i="16"/>
  <c r="CO5" i="16"/>
  <c r="CM5" i="16"/>
  <c r="CK5" i="16"/>
  <c r="CI5" i="16"/>
  <c r="CG5" i="16"/>
  <c r="CE5" i="16"/>
  <c r="CC5" i="16"/>
  <c r="CA5" i="16"/>
  <c r="BY5" i="16"/>
  <c r="BW5" i="16"/>
  <c r="BU5" i="16"/>
  <c r="BS5" i="16"/>
  <c r="BQ5" i="16"/>
  <c r="BO5" i="16"/>
  <c r="BM5" i="16"/>
  <c r="BK5" i="16"/>
  <c r="BI5" i="16"/>
  <c r="BG5" i="16"/>
  <c r="BE5" i="16"/>
  <c r="BC5" i="16"/>
  <c r="BA5" i="16"/>
  <c r="AY5" i="16"/>
  <c r="AW5" i="16"/>
  <c r="AM2" i="16"/>
  <c r="AM7" i="16"/>
  <c r="AF7" i="16" l="1"/>
  <c r="AF299" i="16" s="1"/>
  <c r="DM299" i="16"/>
  <c r="AJ7" i="16"/>
  <c r="AJ299" i="16" s="1"/>
  <c r="OC299" i="16"/>
  <c r="AG7" i="16"/>
  <c r="AG299" i="16" s="1"/>
  <c r="GD299" i="16"/>
  <c r="AK7" i="16"/>
  <c r="AK299" i="16" s="1"/>
  <c r="QT299" i="16"/>
  <c r="AH7" i="16"/>
  <c r="AH299" i="16" s="1"/>
  <c r="IU299" i="16"/>
  <c r="AL7" i="16"/>
  <c r="AL299" i="16" s="1"/>
  <c r="TK299" i="16"/>
  <c r="AM299" i="16"/>
  <c r="AC2" i="16"/>
</calcChain>
</file>

<file path=xl/sharedStrings.xml><?xml version="1.0" encoding="utf-8"?>
<sst xmlns="http://schemas.openxmlformats.org/spreadsheetml/2006/main" count="169" uniqueCount="84">
  <si>
    <t>Total Sq.m</t>
  </si>
  <si>
    <t>Unit Sq. M</t>
  </si>
  <si>
    <t>corner</t>
  </si>
  <si>
    <t>coping</t>
  </si>
  <si>
    <t>vertical cl.</t>
  </si>
  <si>
    <t>top cl.</t>
  </si>
  <si>
    <t>bottom cl.</t>
  </si>
  <si>
    <t>slab cl.</t>
  </si>
  <si>
    <t>FINISHING</t>
  </si>
  <si>
    <t>Panel n.</t>
  </si>
  <si>
    <t>Horiz. finish</t>
  </si>
  <si>
    <t>Facade Type</t>
  </si>
  <si>
    <t>Panel Code</t>
  </si>
  <si>
    <t>Notes</t>
  </si>
  <si>
    <t>Total</t>
  </si>
  <si>
    <t>Vert. Finish</t>
  </si>
  <si>
    <t>LG</t>
  </si>
  <si>
    <t>G</t>
  </si>
  <si>
    <t>R</t>
  </si>
  <si>
    <t>vertical cl.*</t>
  </si>
  <si>
    <t>top cl.*</t>
  </si>
  <si>
    <t>bottom cl.*</t>
  </si>
  <si>
    <t>corner*</t>
  </si>
  <si>
    <t>coping*</t>
  </si>
  <si>
    <t>slab cl.*</t>
  </si>
  <si>
    <t>Horiz. Finish*</t>
  </si>
  <si>
    <t>Vert. Finish.*</t>
  </si>
  <si>
    <t>Item</t>
  </si>
  <si>
    <t>Job :</t>
  </si>
  <si>
    <t>Location :</t>
  </si>
  <si>
    <t>Client :</t>
  </si>
  <si>
    <t>n° panel</t>
  </si>
  <si>
    <t>total m2</t>
  </si>
  <si>
    <t>Rev :</t>
  </si>
  <si>
    <t>V</t>
  </si>
  <si>
    <t>H</t>
  </si>
  <si>
    <t>Open Workbook</t>
  </si>
  <si>
    <t>LM</t>
  </si>
  <si>
    <t>HM</t>
  </si>
  <si>
    <t>Level distribution</t>
  </si>
  <si>
    <t>L1</t>
  </si>
  <si>
    <t>L2</t>
  </si>
  <si>
    <t>L3</t>
  </si>
  <si>
    <t>L4</t>
  </si>
  <si>
    <t>L5</t>
  </si>
  <si>
    <t>L6</t>
  </si>
  <si>
    <t>H1</t>
  </si>
  <si>
    <t>H2</t>
  </si>
  <si>
    <t>H3</t>
  </si>
  <si>
    <t>H4</t>
  </si>
  <si>
    <t>H5</t>
  </si>
  <si>
    <t>H6</t>
  </si>
  <si>
    <t xml:space="preserve">                                                        </t>
  </si>
  <si>
    <t>PANELS TAKE OFF</t>
  </si>
  <si>
    <t>LEVELS</t>
  </si>
  <si>
    <t>Total Base</t>
  </si>
  <si>
    <t>Total Height</t>
  </si>
  <si>
    <t>Total sq.m</t>
  </si>
  <si>
    <t>Building 1</t>
  </si>
  <si>
    <t>Building 2</t>
  </si>
  <si>
    <t>Building 3</t>
  </si>
  <si>
    <t>Building 4</t>
  </si>
  <si>
    <t>Building 5</t>
  </si>
  <si>
    <t>Building 6</t>
  </si>
  <si>
    <t>Building 7</t>
  </si>
  <si>
    <t>Building 8</t>
  </si>
  <si>
    <t>Allowed values: 0 to 9</t>
  </si>
  <si>
    <t>9999</t>
  </si>
  <si>
    <t>1111</t>
  </si>
  <si>
    <t>2222</t>
  </si>
  <si>
    <t>3333</t>
  </si>
  <si>
    <t>4444</t>
  </si>
  <si>
    <t>5555</t>
  </si>
  <si>
    <t>6666</t>
  </si>
  <si>
    <t>7777</t>
  </si>
  <si>
    <t>8888</t>
  </si>
  <si>
    <t>0000</t>
  </si>
  <si>
    <t>Massimo Cicognani	23/07/2019 11:36:15</t>
  </si>
  <si>
    <t>L</t>
  </si>
  <si>
    <t>Lengths</t>
  </si>
  <si>
    <t>Heights</t>
  </si>
  <si>
    <t>0</t>
  </si>
  <si>
    <t>Locked</t>
  </si>
  <si>
    <t>Massimo Cicognani	25/07/2019 11:37:32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</si>
</sst>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;;"/>
    <numFmt numFmtId="166" formatCode="0.0;;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4"/>
      <color indexed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4"/>
      <color rgb="FFFF0000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b/>
      <sz val="18"/>
      <name val="Arial"/>
      <family val="2"/>
    </font>
    <font>
      <b/>
      <sz val="14"/>
      <color theme="0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1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17" fillId="20" borderId="0"/>
    <xf numFmtId="0" fontId="11" fillId="6" borderId="0">
      <alignment textRotation="90"/>
    </xf>
    <xf numFmtId="1" fontId="18" fillId="6" borderId="0"/>
    <xf numFmtId="0" fontId="20" fillId="19" borderId="15" applyNumberFormat="0" applyFill="0" applyAlignment="0"/>
    <xf numFmtId="0" fontId="2" fillId="0" borderId="0"/>
    <xf numFmtId="0" fontId="19" fillId="20" borderId="0" applyNumberFormat="0" applyBorder="0" applyAlignment="0"/>
  </cellStyleXfs>
  <cellXfs count="215">
    <xf numFmtId="0" fontId="0" fillId="0" borderId="0" xfId="0"/>
    <xf numFmtId="164" fontId="5" fillId="0" borderId="3" xfId="0" applyNumberFormat="1" applyFont="1" applyBorder="1" applyProtection="1"/>
    <xf numFmtId="0" fontId="0" fillId="2" borderId="4" xfId="0" applyFill="1" applyBorder="1" applyAlignment="1" applyProtection="1">
      <alignment horizontal="center"/>
      <protection locked="0"/>
    </xf>
    <xf numFmtId="0" fontId="0" fillId="3" borderId="3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0" borderId="0" xfId="0" applyProtection="1"/>
    <xf numFmtId="0" fontId="1" fillId="0" borderId="4" xfId="0" applyFont="1" applyBorder="1" applyAlignment="1" applyProtection="1">
      <alignment textRotation="90"/>
    </xf>
    <xf numFmtId="0" fontId="1" fillId="3" borderId="4" xfId="0" applyFont="1" applyFill="1" applyBorder="1" applyAlignment="1" applyProtection="1">
      <alignment textRotation="90"/>
    </xf>
    <xf numFmtId="0" fontId="1" fillId="2" borderId="8" xfId="0" applyFont="1" applyFill="1" applyBorder="1" applyAlignment="1" applyProtection="1">
      <alignment textRotation="90"/>
    </xf>
    <xf numFmtId="0" fontId="1" fillId="2" borderId="4" xfId="0" applyFont="1" applyFill="1" applyBorder="1" applyAlignment="1" applyProtection="1">
      <alignment textRotation="90"/>
    </xf>
    <xf numFmtId="0" fontId="1" fillId="0" borderId="8" xfId="0" applyFont="1" applyBorder="1" applyAlignment="1" applyProtection="1">
      <alignment textRotation="90"/>
    </xf>
    <xf numFmtId="0" fontId="1" fillId="0" borderId="4" xfId="0" applyFont="1" applyFill="1" applyBorder="1" applyAlignment="1" applyProtection="1">
      <alignment textRotation="90"/>
    </xf>
    <xf numFmtId="1" fontId="5" fillId="0" borderId="9" xfId="0" applyNumberFormat="1" applyFont="1" applyBorder="1" applyAlignment="1" applyProtection="1">
      <alignment horizontal="center" textRotation="90"/>
    </xf>
    <xf numFmtId="0" fontId="1" fillId="4" borderId="10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164" fontId="5" fillId="0" borderId="4" xfId="0" applyNumberFormat="1" applyFont="1" applyBorder="1" applyProtection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 vertical="center"/>
    </xf>
    <xf numFmtId="0" fontId="0" fillId="0" borderId="0" xfId="0" applyAlignment="1" applyProtection="1">
      <alignment vertical="center"/>
    </xf>
    <xf numFmtId="0" fontId="7" fillId="0" borderId="12" xfId="0" applyFont="1" applyBorder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1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0" fontId="0" fillId="0" borderId="14" xfId="0" applyBorder="1" applyAlignment="1" applyProtection="1">
      <alignment vertical="center"/>
    </xf>
    <xf numFmtId="49" fontId="10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horizontal="left" vertical="center"/>
    </xf>
    <xf numFmtId="0" fontId="7" fillId="0" borderId="12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right" vertical="center"/>
    </xf>
    <xf numFmtId="0" fontId="3" fillId="0" borderId="7" xfId="0" applyFont="1" applyBorder="1" applyAlignment="1" applyProtection="1">
      <alignment horizontal="left" vertical="center"/>
    </xf>
    <xf numFmtId="0" fontId="10" fillId="5" borderId="15" xfId="0" applyFont="1" applyFill="1" applyBorder="1" applyAlignment="1" applyProtection="1">
      <alignment horizontal="left" vertical="center"/>
    </xf>
    <xf numFmtId="0" fontId="10" fillId="5" borderId="15" xfId="0" applyFont="1" applyFill="1" applyBorder="1" applyAlignment="1" applyProtection="1">
      <alignment vertical="center"/>
    </xf>
    <xf numFmtId="0" fontId="1" fillId="3" borderId="5" xfId="0" applyFont="1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2" fillId="7" borderId="10" xfId="0" applyFont="1" applyFill="1" applyBorder="1" applyAlignment="1" applyProtection="1">
      <alignment horizontal="center"/>
    </xf>
    <xf numFmtId="0" fontId="2" fillId="0" borderId="0" xfId="0" applyFont="1"/>
    <xf numFmtId="0" fontId="0" fillId="0" borderId="0" xfId="0" applyAlignment="1"/>
    <xf numFmtId="0" fontId="1" fillId="8" borderId="10" xfId="0" applyFont="1" applyFill="1" applyBorder="1" applyAlignment="1" applyProtection="1">
      <alignment horizontal="center"/>
    </xf>
    <xf numFmtId="0" fontId="1" fillId="0" borderId="2" xfId="0" applyFont="1" applyBorder="1" applyProtection="1"/>
    <xf numFmtId="0" fontId="0" fillId="0" borderId="2" xfId="0" applyBorder="1" applyAlignment="1" applyProtection="1">
      <alignment horizontal="center"/>
    </xf>
    <xf numFmtId="1" fontId="5" fillId="0" borderId="2" xfId="0" applyNumberFormat="1" applyFont="1" applyFill="1" applyBorder="1" applyAlignment="1" applyProtection="1"/>
    <xf numFmtId="0" fontId="0" fillId="0" borderId="2" xfId="0" applyBorder="1" applyProtection="1"/>
    <xf numFmtId="164" fontId="5" fillId="0" borderId="2" xfId="0" applyNumberFormat="1" applyFont="1" applyBorder="1" applyProtection="1"/>
    <xf numFmtId="0" fontId="0" fillId="0" borderId="2" xfId="0" applyFill="1" applyBorder="1" applyProtection="1"/>
    <xf numFmtId="0" fontId="11" fillId="6" borderId="0" xfId="0" applyFont="1" applyFill="1" applyProtection="1">
      <protection hidden="1"/>
    </xf>
    <xf numFmtId="0" fontId="0" fillId="0" borderId="0" xfId="0" applyProtection="1">
      <protection hidden="1"/>
    </xf>
    <xf numFmtId="49" fontId="10" fillId="5" borderId="12" xfId="0" applyNumberFormat="1" applyFont="1" applyFill="1" applyBorder="1" applyAlignment="1" applyProtection="1">
      <alignment vertical="center"/>
    </xf>
    <xf numFmtId="0" fontId="3" fillId="0" borderId="7" xfId="0" applyFont="1" applyBorder="1" applyAlignment="1" applyProtection="1">
      <alignment horizontal="left" vertical="center"/>
    </xf>
    <xf numFmtId="0" fontId="7" fillId="0" borderId="12" xfId="0" applyFont="1" applyBorder="1" applyAlignment="1" applyProtection="1">
      <alignment horizontal="right" vertical="center"/>
    </xf>
    <xf numFmtId="0" fontId="6" fillId="0" borderId="20" xfId="0" applyFont="1" applyBorder="1" applyAlignment="1" applyProtection="1">
      <alignment vertical="center"/>
    </xf>
    <xf numFmtId="0" fontId="6" fillId="0" borderId="12" xfId="0" applyFont="1" applyBorder="1" applyAlignment="1" applyProtection="1">
      <alignment vertical="center"/>
    </xf>
    <xf numFmtId="0" fontId="6" fillId="0" borderId="21" xfId="0" applyFont="1" applyBorder="1" applyAlignment="1" applyProtection="1">
      <alignment vertical="center"/>
    </xf>
    <xf numFmtId="0" fontId="6" fillId="0" borderId="15" xfId="0" applyFont="1" applyBorder="1" applyAlignment="1" applyProtection="1">
      <alignment vertical="center"/>
    </xf>
    <xf numFmtId="0" fontId="1" fillId="7" borderId="2" xfId="0" applyFont="1" applyFill="1" applyBorder="1" applyAlignment="1" applyProtection="1">
      <alignment vertical="center"/>
    </xf>
    <xf numFmtId="0" fontId="13" fillId="7" borderId="2" xfId="0" applyFont="1" applyFill="1" applyBorder="1" applyAlignment="1" applyProtection="1">
      <alignment vertical="center"/>
    </xf>
    <xf numFmtId="1" fontId="9" fillId="4" borderId="24" xfId="0" applyNumberFormat="1" applyFont="1" applyFill="1" applyBorder="1" applyAlignment="1" applyProtection="1">
      <alignment vertical="top"/>
    </xf>
    <xf numFmtId="0" fontId="7" fillId="0" borderId="20" xfId="0" applyFont="1" applyBorder="1" applyAlignment="1" applyProtection="1">
      <alignment vertical="center"/>
    </xf>
    <xf numFmtId="0" fontId="7" fillId="0" borderId="21" xfId="0" applyFont="1" applyBorder="1" applyAlignment="1" applyProtection="1">
      <alignment vertical="center"/>
    </xf>
    <xf numFmtId="0" fontId="0" fillId="0" borderId="25" xfId="0" applyBorder="1" applyAlignment="1" applyProtection="1">
      <alignment horizontal="left"/>
      <protection locked="0"/>
    </xf>
    <xf numFmtId="0" fontId="1" fillId="3" borderId="26" xfId="0" applyFont="1" applyFill="1" applyBorder="1" applyAlignment="1" applyProtection="1">
      <alignment horizontal="left"/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9" xfId="0" applyFill="1" applyBorder="1" applyProtection="1">
      <protection locked="0"/>
    </xf>
    <xf numFmtId="164" fontId="5" fillId="0" borderId="9" xfId="0" applyNumberFormat="1" applyFont="1" applyBorder="1" applyProtection="1"/>
    <xf numFmtId="0" fontId="0" fillId="3" borderId="25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27" xfId="0" applyFill="1" applyBorder="1" applyProtection="1">
      <protection locked="0"/>
    </xf>
    <xf numFmtId="0" fontId="0" fillId="0" borderId="28" xfId="0" applyBorder="1" applyAlignment="1" applyProtection="1">
      <alignment horizontal="left"/>
      <protection locked="0"/>
    </xf>
    <xf numFmtId="0" fontId="0" fillId="3" borderId="28" xfId="0" applyFill="1" applyBorder="1" applyProtection="1">
      <protection locked="0"/>
    </xf>
    <xf numFmtId="0" fontId="0" fillId="0" borderId="16" xfId="0" applyBorder="1" applyProtection="1"/>
    <xf numFmtId="0" fontId="1" fillId="3" borderId="14" xfId="0" applyFont="1" applyFill="1" applyBorder="1" applyAlignment="1" applyProtection="1">
      <alignment horizontal="left"/>
      <protection locked="0"/>
    </xf>
    <xf numFmtId="0" fontId="0" fillId="3" borderId="29" xfId="0" applyFill="1" applyBorder="1" applyProtection="1">
      <protection locked="0"/>
    </xf>
    <xf numFmtId="0" fontId="0" fillId="0" borderId="0" xfId="0" applyBorder="1" applyProtection="1"/>
    <xf numFmtId="0" fontId="8" fillId="4" borderId="23" xfId="0" applyFon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/>
      <protection locked="0"/>
    </xf>
    <xf numFmtId="165" fontId="0" fillId="2" borderId="8" xfId="0" applyNumberFormat="1" applyFill="1" applyBorder="1" applyAlignment="1" applyProtection="1">
      <alignment horizontal="center"/>
      <protection locked="0"/>
    </xf>
    <xf numFmtId="165" fontId="0" fillId="2" borderId="3" xfId="0" applyNumberForma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2" fillId="0" borderId="1" xfId="0" applyFont="1" applyBorder="1" applyAlignment="1" applyProtection="1">
      <alignment horizontal="left"/>
      <protection locked="0"/>
    </xf>
    <xf numFmtId="0" fontId="2" fillId="3" borderId="3" xfId="0" applyFont="1" applyFill="1" applyBorder="1" applyAlignment="1" applyProtection="1">
      <alignment horizontal="left"/>
      <protection locked="0"/>
    </xf>
    <xf numFmtId="0" fontId="2" fillId="3" borderId="4" xfId="0" applyFont="1" applyFill="1" applyBorder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165" fontId="0" fillId="0" borderId="3" xfId="0" applyNumberFormat="1" applyFill="1" applyBorder="1" applyProtection="1"/>
    <xf numFmtId="165" fontId="5" fillId="0" borderId="3" xfId="0" applyNumberFormat="1" applyFont="1" applyBorder="1" applyProtection="1"/>
    <xf numFmtId="166" fontId="5" fillId="0" borderId="3" xfId="0" applyNumberFormat="1" applyFont="1" applyBorder="1" applyProtection="1"/>
    <xf numFmtId="165" fontId="5" fillId="0" borderId="4" xfId="0" applyNumberFormat="1" applyFont="1" applyBorder="1" applyProtection="1"/>
    <xf numFmtId="166" fontId="5" fillId="0" borderId="4" xfId="0" applyNumberFormat="1" applyFont="1" applyBorder="1" applyProtection="1"/>
    <xf numFmtId="0" fontId="8" fillId="0" borderId="13" xfId="0" applyFont="1" applyFill="1" applyBorder="1" applyAlignment="1" applyProtection="1">
      <alignment horizontal="center" vertical="center"/>
    </xf>
    <xf numFmtId="1" fontId="9" fillId="0" borderId="22" xfId="0" applyNumberFormat="1" applyFont="1" applyFill="1" applyBorder="1" applyAlignment="1" applyProtection="1">
      <alignment horizontal="center" vertical="top"/>
    </xf>
    <xf numFmtId="0" fontId="8" fillId="0" borderId="20" xfId="0" applyFont="1" applyFill="1" applyBorder="1" applyAlignment="1" applyProtection="1">
      <alignment horizontal="center" vertical="center"/>
    </xf>
    <xf numFmtId="1" fontId="9" fillId="0" borderId="21" xfId="0" applyNumberFormat="1" applyFont="1" applyFill="1" applyBorder="1" applyAlignment="1" applyProtection="1">
      <alignment horizontal="center" vertical="top"/>
    </xf>
    <xf numFmtId="0" fontId="8" fillId="0" borderId="12" xfId="0" applyFont="1" applyFill="1" applyBorder="1" applyAlignment="1" applyProtection="1">
      <alignment horizontal="center" vertical="center"/>
    </xf>
    <xf numFmtId="1" fontId="9" fillId="0" borderId="15" xfId="0" applyNumberFormat="1" applyFont="1" applyFill="1" applyBorder="1" applyAlignment="1" applyProtection="1">
      <alignment horizontal="center" vertical="top"/>
    </xf>
    <xf numFmtId="0" fontId="1" fillId="9" borderId="4" xfId="0" applyFont="1" applyFill="1" applyBorder="1" applyAlignment="1" applyProtection="1">
      <alignment textRotation="90"/>
    </xf>
    <xf numFmtId="0" fontId="1" fillId="0" borderId="30" xfId="0" applyFont="1" applyFill="1" applyBorder="1" applyAlignment="1" applyProtection="1">
      <alignment textRotation="90"/>
    </xf>
    <xf numFmtId="0" fontId="1" fillId="8" borderId="17" xfId="0" applyFont="1" applyFill="1" applyBorder="1" applyAlignment="1" applyProtection="1">
      <alignment horizontal="center"/>
    </xf>
    <xf numFmtId="164" fontId="5" fillId="0" borderId="11" xfId="0" applyNumberFormat="1" applyFont="1" applyBorder="1" applyProtection="1"/>
    <xf numFmtId="164" fontId="5" fillId="0" borderId="30" xfId="0" applyNumberFormat="1" applyFont="1" applyBorder="1" applyProtection="1"/>
    <xf numFmtId="164" fontId="5" fillId="0" borderId="31" xfId="0" applyNumberFormat="1" applyFont="1" applyBorder="1" applyProtection="1"/>
    <xf numFmtId="0" fontId="13" fillId="7" borderId="32" xfId="0" applyFont="1" applyFill="1" applyBorder="1" applyAlignment="1" applyProtection="1">
      <alignment vertical="center"/>
    </xf>
    <xf numFmtId="0" fontId="1" fillId="0" borderId="33" xfId="0" applyFont="1" applyBorder="1" applyAlignment="1" applyProtection="1">
      <alignment vertical="center"/>
    </xf>
    <xf numFmtId="0" fontId="1" fillId="7" borderId="32" xfId="0" applyFont="1" applyFill="1" applyBorder="1" applyAlignment="1" applyProtection="1">
      <alignment horizontal="left"/>
    </xf>
    <xf numFmtId="0" fontId="1" fillId="0" borderId="34" xfId="0" applyFont="1" applyFill="1" applyBorder="1" applyAlignment="1" applyProtection="1">
      <alignment textRotation="90"/>
    </xf>
    <xf numFmtId="0" fontId="2" fillId="7" borderId="35" xfId="0" applyFont="1" applyFill="1" applyBorder="1" applyAlignment="1" applyProtection="1">
      <alignment horizontal="center"/>
    </xf>
    <xf numFmtId="166" fontId="5" fillId="0" borderId="36" xfId="0" applyNumberFormat="1" applyFont="1" applyBorder="1" applyProtection="1"/>
    <xf numFmtId="0" fontId="15" fillId="0" borderId="7" xfId="0" applyFont="1" applyBorder="1" applyAlignment="1" applyProtection="1">
      <alignment vertical="center"/>
    </xf>
    <xf numFmtId="0" fontId="13" fillId="10" borderId="32" xfId="0" applyFont="1" applyFill="1" applyBorder="1" applyAlignment="1" applyProtection="1">
      <alignment vertical="center"/>
    </xf>
    <xf numFmtId="0" fontId="13" fillId="10" borderId="2" xfId="0" applyFont="1" applyFill="1" applyBorder="1" applyAlignment="1" applyProtection="1">
      <alignment vertical="center"/>
    </xf>
    <xf numFmtId="0" fontId="1" fillId="10" borderId="2" xfId="0" applyFont="1" applyFill="1" applyBorder="1" applyAlignment="1" applyProtection="1">
      <alignment vertical="center"/>
    </xf>
    <xf numFmtId="0" fontId="1" fillId="10" borderId="32" xfId="0" applyFont="1" applyFill="1" applyBorder="1" applyAlignment="1" applyProtection="1">
      <alignment horizontal="left"/>
    </xf>
    <xf numFmtId="0" fontId="2" fillId="10" borderId="35" xfId="0" applyFont="1" applyFill="1" applyBorder="1" applyAlignment="1" applyProtection="1">
      <alignment horizontal="center"/>
    </xf>
    <xf numFmtId="0" fontId="2" fillId="10" borderId="10" xfId="0" applyFont="1" applyFill="1" applyBorder="1" applyAlignment="1" applyProtection="1">
      <alignment horizontal="center"/>
    </xf>
    <xf numFmtId="0" fontId="13" fillId="11" borderId="32" xfId="0" applyFont="1" applyFill="1" applyBorder="1" applyAlignment="1" applyProtection="1">
      <alignment vertical="center"/>
    </xf>
    <xf numFmtId="0" fontId="13" fillId="11" borderId="2" xfId="0" applyFont="1" applyFill="1" applyBorder="1" applyAlignment="1" applyProtection="1">
      <alignment vertical="center"/>
    </xf>
    <xf numFmtId="0" fontId="1" fillId="11" borderId="2" xfId="0" applyFont="1" applyFill="1" applyBorder="1" applyAlignment="1" applyProtection="1">
      <alignment vertical="center"/>
    </xf>
    <xf numFmtId="0" fontId="1" fillId="11" borderId="32" xfId="0" applyFont="1" applyFill="1" applyBorder="1" applyAlignment="1" applyProtection="1">
      <alignment horizontal="left"/>
    </xf>
    <xf numFmtId="0" fontId="2" fillId="11" borderId="35" xfId="0" applyFont="1" applyFill="1" applyBorder="1" applyAlignment="1" applyProtection="1">
      <alignment horizontal="center"/>
    </xf>
    <xf numFmtId="0" fontId="2" fillId="11" borderId="10" xfId="0" applyFont="1" applyFill="1" applyBorder="1" applyAlignment="1" applyProtection="1">
      <alignment horizontal="center"/>
    </xf>
    <xf numFmtId="0" fontId="13" fillId="15" borderId="32" xfId="0" applyFont="1" applyFill="1" applyBorder="1" applyAlignment="1" applyProtection="1">
      <alignment vertical="center"/>
    </xf>
    <xf numFmtId="0" fontId="13" fillId="15" borderId="2" xfId="0" applyFont="1" applyFill="1" applyBorder="1" applyAlignment="1" applyProtection="1">
      <alignment vertical="center"/>
    </xf>
    <xf numFmtId="0" fontId="1" fillId="15" borderId="2" xfId="0" applyFont="1" applyFill="1" applyBorder="1" applyAlignment="1" applyProtection="1">
      <alignment vertical="center"/>
    </xf>
    <xf numFmtId="0" fontId="13" fillId="14" borderId="32" xfId="0" applyFont="1" applyFill="1" applyBorder="1" applyAlignment="1" applyProtection="1">
      <alignment vertical="center"/>
    </xf>
    <xf numFmtId="0" fontId="13" fillId="14" borderId="2" xfId="0" applyFont="1" applyFill="1" applyBorder="1" applyAlignment="1" applyProtection="1">
      <alignment vertical="center"/>
    </xf>
    <xf numFmtId="0" fontId="1" fillId="14" borderId="2" xfId="0" applyFont="1" applyFill="1" applyBorder="1" applyAlignment="1" applyProtection="1">
      <alignment vertical="center"/>
    </xf>
    <xf numFmtId="0" fontId="1" fillId="14" borderId="32" xfId="0" applyFont="1" applyFill="1" applyBorder="1" applyAlignment="1" applyProtection="1">
      <alignment horizontal="left"/>
    </xf>
    <xf numFmtId="0" fontId="2" fillId="14" borderId="35" xfId="0" applyFont="1" applyFill="1" applyBorder="1" applyAlignment="1" applyProtection="1">
      <alignment horizontal="center"/>
    </xf>
    <xf numFmtId="0" fontId="2" fillId="14" borderId="10" xfId="0" applyFont="1" applyFill="1" applyBorder="1" applyAlignment="1" applyProtection="1">
      <alignment horizontal="center"/>
    </xf>
    <xf numFmtId="0" fontId="1" fillId="15" borderId="32" xfId="0" applyFont="1" applyFill="1" applyBorder="1" applyAlignment="1" applyProtection="1">
      <alignment horizontal="left"/>
    </xf>
    <xf numFmtId="0" fontId="2" fillId="15" borderId="35" xfId="0" applyFont="1" applyFill="1" applyBorder="1" applyAlignment="1" applyProtection="1">
      <alignment horizontal="center"/>
    </xf>
    <xf numFmtId="0" fontId="2" fillId="15" borderId="10" xfId="0" applyFont="1" applyFill="1" applyBorder="1" applyAlignment="1" applyProtection="1">
      <alignment horizontal="center"/>
    </xf>
    <xf numFmtId="0" fontId="13" fillId="13" borderId="32" xfId="0" applyFont="1" applyFill="1" applyBorder="1" applyAlignment="1" applyProtection="1">
      <alignment vertical="center"/>
    </xf>
    <xf numFmtId="0" fontId="13" fillId="13" borderId="2" xfId="0" applyFont="1" applyFill="1" applyBorder="1" applyAlignment="1" applyProtection="1">
      <alignment vertical="center"/>
    </xf>
    <xf numFmtId="0" fontId="1" fillId="13" borderId="2" xfId="0" applyFont="1" applyFill="1" applyBorder="1" applyAlignment="1" applyProtection="1">
      <alignment vertical="center"/>
    </xf>
    <xf numFmtId="0" fontId="13" fillId="12" borderId="32" xfId="0" applyFont="1" applyFill="1" applyBorder="1" applyAlignment="1" applyProtection="1">
      <alignment vertical="center"/>
    </xf>
    <xf numFmtId="0" fontId="13" fillId="12" borderId="2" xfId="0" applyFont="1" applyFill="1" applyBorder="1" applyAlignment="1" applyProtection="1">
      <alignment vertical="center"/>
    </xf>
    <xf numFmtId="0" fontId="1" fillId="12" borderId="2" xfId="0" applyFont="1" applyFill="1" applyBorder="1" applyAlignment="1" applyProtection="1">
      <alignment vertical="center"/>
    </xf>
    <xf numFmtId="0" fontId="1" fillId="12" borderId="32" xfId="0" applyFont="1" applyFill="1" applyBorder="1" applyAlignment="1" applyProtection="1">
      <alignment horizontal="left"/>
    </xf>
    <xf numFmtId="0" fontId="2" fillId="12" borderId="35" xfId="0" applyFont="1" applyFill="1" applyBorder="1" applyAlignment="1" applyProtection="1">
      <alignment horizontal="center"/>
    </xf>
    <xf numFmtId="0" fontId="2" fillId="12" borderId="10" xfId="0" applyFont="1" applyFill="1" applyBorder="1" applyAlignment="1" applyProtection="1">
      <alignment horizontal="center"/>
    </xf>
    <xf numFmtId="0" fontId="1" fillId="13" borderId="32" xfId="0" applyFont="1" applyFill="1" applyBorder="1" applyAlignment="1" applyProtection="1">
      <alignment horizontal="left"/>
    </xf>
    <xf numFmtId="0" fontId="2" fillId="13" borderId="35" xfId="0" applyFont="1" applyFill="1" applyBorder="1" applyAlignment="1" applyProtection="1">
      <alignment horizontal="center"/>
    </xf>
    <xf numFmtId="0" fontId="2" fillId="13" borderId="10" xfId="0" applyFont="1" applyFill="1" applyBorder="1" applyAlignment="1" applyProtection="1">
      <alignment horizontal="center"/>
    </xf>
    <xf numFmtId="0" fontId="13" fillId="16" borderId="32" xfId="0" applyFont="1" applyFill="1" applyBorder="1" applyAlignment="1" applyProtection="1">
      <alignment vertical="center"/>
    </xf>
    <xf numFmtId="0" fontId="13" fillId="16" borderId="2" xfId="0" applyFont="1" applyFill="1" applyBorder="1" applyAlignment="1" applyProtection="1">
      <alignment vertical="center"/>
    </xf>
    <xf numFmtId="0" fontId="1" fillId="16" borderId="2" xfId="0" applyFont="1" applyFill="1" applyBorder="1" applyAlignment="1" applyProtection="1">
      <alignment vertical="center"/>
    </xf>
    <xf numFmtId="0" fontId="1" fillId="16" borderId="32" xfId="0" applyFont="1" applyFill="1" applyBorder="1" applyAlignment="1" applyProtection="1">
      <alignment horizontal="left"/>
    </xf>
    <xf numFmtId="0" fontId="2" fillId="16" borderId="35" xfId="0" applyFont="1" applyFill="1" applyBorder="1" applyAlignment="1" applyProtection="1">
      <alignment horizontal="center"/>
    </xf>
    <xf numFmtId="0" fontId="2" fillId="16" borderId="10" xfId="0" applyFont="1" applyFill="1" applyBorder="1" applyAlignment="1" applyProtection="1">
      <alignment horizontal="center"/>
    </xf>
    <xf numFmtId="0" fontId="1" fillId="10" borderId="10" xfId="0" applyFont="1" applyFill="1" applyBorder="1" applyAlignment="1" applyProtection="1">
      <alignment horizontal="center"/>
    </xf>
    <xf numFmtId="0" fontId="1" fillId="17" borderId="10" xfId="0" applyFont="1" applyFill="1" applyBorder="1" applyAlignment="1" applyProtection="1">
      <alignment horizontal="center"/>
    </xf>
    <xf numFmtId="0" fontId="0" fillId="0" borderId="0" xfId="0" pivotButton="1" applyAlignment="1"/>
    <xf numFmtId="0" fontId="1" fillId="0" borderId="0" xfId="0" applyFont="1" applyAlignment="1">
      <alignment horizontal="center" vertical="center" wrapText="1"/>
    </xf>
    <xf numFmtId="0" fontId="0" fillId="0" borderId="0" xfId="0" applyFill="1"/>
    <xf numFmtId="1" fontId="18" fillId="6" borderId="0" xfId="3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pivotButton="1" applyAlignment="1">
      <alignment horizontal="center"/>
    </xf>
    <xf numFmtId="0" fontId="10" fillId="0" borderId="0" xfId="0" applyFont="1" applyAlignment="1">
      <alignment horizontal="left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/>
    <xf numFmtId="0" fontId="4" fillId="0" borderId="0" xfId="0" applyNumberFormat="1" applyFont="1" applyAlignment="1">
      <alignment horizontal="right" vertical="center"/>
    </xf>
    <xf numFmtId="0" fontId="10" fillId="0" borderId="0" xfId="0" applyNumberFormat="1" applyFont="1" applyAlignment="1">
      <alignment horizontal="left" vertical="center"/>
    </xf>
    <xf numFmtId="0" fontId="11" fillId="6" borderId="0" xfId="2" applyNumberFormat="1">
      <alignment textRotation="90"/>
    </xf>
    <xf numFmtId="0" fontId="2" fillId="0" borderId="0" xfId="0" applyNumberFormat="1" applyFont="1"/>
    <xf numFmtId="0" fontId="1" fillId="16" borderId="2" xfId="0" applyFont="1" applyFill="1" applyBorder="1" applyAlignment="1" applyProtection="1">
      <alignment horizontal="left"/>
    </xf>
    <xf numFmtId="0" fontId="1" fillId="16" borderId="5" xfId="0" applyFont="1" applyFill="1" applyBorder="1" applyAlignment="1" applyProtection="1">
      <alignment horizontal="left"/>
    </xf>
    <xf numFmtId="0" fontId="1" fillId="16" borderId="11" xfId="0" applyFont="1" applyFill="1" applyBorder="1" applyAlignment="1" applyProtection="1">
      <alignment horizontal="left"/>
    </xf>
    <xf numFmtId="0" fontId="1" fillId="15" borderId="2" xfId="0" applyFont="1" applyFill="1" applyBorder="1" applyAlignment="1" applyProtection="1">
      <alignment horizontal="left"/>
    </xf>
    <xf numFmtId="0" fontId="1" fillId="15" borderId="5" xfId="0" applyFont="1" applyFill="1" applyBorder="1" applyAlignment="1" applyProtection="1">
      <alignment horizontal="left"/>
    </xf>
    <xf numFmtId="0" fontId="1" fillId="15" borderId="11" xfId="0" applyFont="1" applyFill="1" applyBorder="1" applyAlignment="1" applyProtection="1">
      <alignment horizontal="left"/>
    </xf>
    <xf numFmtId="0" fontId="1" fillId="12" borderId="2" xfId="0" applyFont="1" applyFill="1" applyBorder="1" applyAlignment="1" applyProtection="1">
      <alignment horizontal="left"/>
    </xf>
    <xf numFmtId="0" fontId="1" fillId="12" borderId="5" xfId="0" applyFont="1" applyFill="1" applyBorder="1" applyAlignment="1" applyProtection="1">
      <alignment horizontal="left"/>
    </xf>
    <xf numFmtId="0" fontId="1" fillId="12" borderId="11" xfId="0" applyFont="1" applyFill="1" applyBorder="1" applyAlignment="1" applyProtection="1">
      <alignment horizontal="left"/>
    </xf>
    <xf numFmtId="0" fontId="1" fillId="13" borderId="2" xfId="0" applyFont="1" applyFill="1" applyBorder="1" applyAlignment="1" applyProtection="1">
      <alignment horizontal="left"/>
    </xf>
    <xf numFmtId="0" fontId="1" fillId="13" borderId="5" xfId="0" applyFont="1" applyFill="1" applyBorder="1" applyAlignment="1" applyProtection="1">
      <alignment horizontal="left"/>
    </xf>
    <xf numFmtId="0" fontId="1" fillId="13" borderId="11" xfId="0" applyFont="1" applyFill="1" applyBorder="1" applyAlignment="1" applyProtection="1">
      <alignment horizontal="left"/>
    </xf>
    <xf numFmtId="0" fontId="1" fillId="10" borderId="2" xfId="0" applyFont="1" applyFill="1" applyBorder="1" applyAlignment="1" applyProtection="1">
      <alignment horizontal="left"/>
    </xf>
    <xf numFmtId="0" fontId="1" fillId="10" borderId="5" xfId="0" applyFont="1" applyFill="1" applyBorder="1" applyAlignment="1" applyProtection="1">
      <alignment horizontal="left"/>
    </xf>
    <xf numFmtId="0" fontId="1" fillId="10" borderId="11" xfId="0" applyFont="1" applyFill="1" applyBorder="1" applyAlignment="1" applyProtection="1">
      <alignment horizontal="left"/>
    </xf>
    <xf numFmtId="0" fontId="1" fillId="11" borderId="2" xfId="0" applyFont="1" applyFill="1" applyBorder="1" applyAlignment="1" applyProtection="1">
      <alignment horizontal="left"/>
    </xf>
    <xf numFmtId="0" fontId="1" fillId="11" borderId="5" xfId="0" applyFont="1" applyFill="1" applyBorder="1" applyAlignment="1" applyProtection="1">
      <alignment horizontal="left"/>
    </xf>
    <xf numFmtId="0" fontId="1" fillId="11" borderId="11" xfId="0" applyFont="1" applyFill="1" applyBorder="1" applyAlignment="1" applyProtection="1">
      <alignment horizontal="left"/>
    </xf>
    <xf numFmtId="0" fontId="1" fillId="14" borderId="2" xfId="0" applyFont="1" applyFill="1" applyBorder="1" applyAlignment="1" applyProtection="1">
      <alignment horizontal="left"/>
    </xf>
    <xf numFmtId="0" fontId="1" fillId="14" borderId="5" xfId="0" applyFont="1" applyFill="1" applyBorder="1" applyAlignment="1" applyProtection="1">
      <alignment horizontal="left"/>
    </xf>
    <xf numFmtId="0" fontId="1" fillId="14" borderId="11" xfId="0" applyFont="1" applyFill="1" applyBorder="1" applyAlignment="1" applyProtection="1">
      <alignment horizontal="left"/>
    </xf>
    <xf numFmtId="0" fontId="8" fillId="4" borderId="20" xfId="0" applyFont="1" applyFill="1" applyBorder="1" applyAlignment="1" applyProtection="1">
      <alignment horizontal="center" vertical="center"/>
    </xf>
    <xf numFmtId="0" fontId="8" fillId="4" borderId="13" xfId="0" applyFont="1" applyFill="1" applyBorder="1" applyAlignment="1" applyProtection="1">
      <alignment horizontal="center" vertic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4" borderId="19" xfId="0" applyFont="1" applyFill="1" applyBorder="1" applyAlignment="1" applyProtection="1">
      <alignment horizontal="center"/>
    </xf>
    <xf numFmtId="0" fontId="6" fillId="0" borderId="20" xfId="0" applyFont="1" applyBorder="1" applyAlignment="1" applyProtection="1">
      <alignment horizontal="center"/>
    </xf>
    <xf numFmtId="0" fontId="6" fillId="0" borderId="12" xfId="0" applyFont="1" applyBorder="1" applyAlignment="1" applyProtection="1">
      <alignment horizontal="center"/>
    </xf>
    <xf numFmtId="0" fontId="6" fillId="0" borderId="21" xfId="0" applyFont="1" applyBorder="1" applyAlignment="1" applyProtection="1">
      <alignment horizontal="center"/>
    </xf>
    <xf numFmtId="0" fontId="6" fillId="0" borderId="15" xfId="0" applyFont="1" applyBorder="1" applyAlignment="1" applyProtection="1">
      <alignment horizontal="center"/>
    </xf>
    <xf numFmtId="0" fontId="1" fillId="7" borderId="2" xfId="0" applyFont="1" applyFill="1" applyBorder="1" applyAlignment="1" applyProtection="1">
      <alignment horizontal="left"/>
    </xf>
    <xf numFmtId="0" fontId="1" fillId="7" borderId="5" xfId="0" applyFont="1" applyFill="1" applyBorder="1" applyAlignment="1" applyProtection="1">
      <alignment horizontal="left"/>
    </xf>
    <xf numFmtId="0" fontId="1" fillId="7" borderId="11" xfId="0" applyFont="1" applyFill="1" applyBorder="1" applyAlignment="1" applyProtection="1">
      <alignment horizontal="left"/>
    </xf>
    <xf numFmtId="1" fontId="9" fillId="4" borderId="21" xfId="0" applyNumberFormat="1" applyFont="1" applyFill="1" applyBorder="1" applyAlignment="1" applyProtection="1">
      <alignment horizontal="center" vertical="top"/>
    </xf>
    <xf numFmtId="1" fontId="9" fillId="4" borderId="22" xfId="0" applyNumberFormat="1" applyFont="1" applyFill="1" applyBorder="1" applyAlignment="1" applyProtection="1">
      <alignment horizontal="center" vertical="top"/>
    </xf>
    <xf numFmtId="0" fontId="6" fillId="0" borderId="12" xfId="0" applyFont="1" applyBorder="1" applyAlignment="1" applyProtection="1">
      <alignment horizontal="center" vertical="center"/>
    </xf>
    <xf numFmtId="0" fontId="6" fillId="0" borderId="13" xfId="0" applyFont="1" applyBorder="1" applyAlignment="1" applyProtection="1">
      <alignment horizontal="center" vertical="center"/>
    </xf>
    <xf numFmtId="0" fontId="6" fillId="0" borderId="15" xfId="0" applyFont="1" applyBorder="1" applyAlignment="1" applyProtection="1">
      <alignment horizontal="center" vertical="center"/>
    </xf>
    <xf numFmtId="0" fontId="6" fillId="0" borderId="22" xfId="0" applyFont="1" applyBorder="1" applyAlignment="1" applyProtection="1">
      <alignment horizontal="center" vertical="center"/>
    </xf>
    <xf numFmtId="0" fontId="16" fillId="18" borderId="37" xfId="0" applyFont="1" applyFill="1" applyBorder="1" applyAlignment="1" applyProtection="1">
      <alignment horizontal="center" vertical="center"/>
    </xf>
    <xf numFmtId="1" fontId="12" fillId="0" borderId="0" xfId="0" applyNumberFormat="1" applyFont="1" applyAlignment="1" applyProtection="1">
      <alignment horizontal="center" wrapText="1"/>
    </xf>
    <xf numFmtId="0" fontId="12" fillId="0" borderId="0" xfId="0" applyFont="1" applyAlignment="1" applyProtection="1">
      <alignment horizontal="center" wrapText="1"/>
    </xf>
    <xf numFmtId="0" fontId="16" fillId="18" borderId="0" xfId="0" applyFont="1" applyFill="1" applyAlignment="1" applyProtection="1">
      <alignment horizontal="center" vertical="center"/>
    </xf>
  </cellXfs>
  <cellStyles count="7">
    <cellStyle name="IntestazionePivot" xfId="2"/>
    <cellStyle name="Normale" xfId="0" builtinId="0"/>
    <cellStyle name="Normale 2" xfId="1"/>
    <cellStyle name="Normale 3" xfId="5"/>
    <cellStyle name="PivotRigaBianca" xfId="6"/>
    <cellStyle name="PivotSubtotale1" xfId="4"/>
    <cellStyle name="TotaliPivot" xfId="3"/>
  </cellStyles>
  <dxfs count="63">
    <dxf>
      <numFmt numFmtId="0" formatCode="General"/>
    </dxf>
    <dxf>
      <numFmt numFmtId="165" formatCode="0;;"/>
    </dxf>
    <dxf>
      <font>
        <b/>
      </font>
    </dxf>
    <dxf>
      <font>
        <b/>
      </font>
    </dxf>
    <dxf>
      <font>
        <i/>
      </font>
    </dxf>
    <dxf>
      <font>
        <b/>
      </font>
    </dxf>
    <dxf>
      <font>
        <i val="0"/>
      </font>
    </dxf>
    <dxf>
      <font>
        <b val="0"/>
      </font>
    </dxf>
    <dxf>
      <font>
        <i val="0"/>
      </font>
    </dxf>
    <dxf>
      <font>
        <b/>
      </font>
    </dxf>
    <dxf>
      <font>
        <b val="0"/>
      </font>
    </dxf>
    <dxf>
      <font>
        <b/>
      </font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indexed="64"/>
          <bgColor theme="0"/>
        </patternFill>
      </fill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protection locked="1" hidden="0"/>
    </dxf>
    <dxf>
      <numFmt numFmtId="167" formatCode=";;;"/>
    </dxf>
    <dxf>
      <numFmt numFmtId="167" formatCode=";;;"/>
    </dxf>
    <dxf>
      <numFmt numFmtId="167" formatCode=";;;"/>
    </dxf>
    <dxf>
      <font>
        <b/>
        <i val="0"/>
      </font>
    </dxf>
    <dxf>
      <font>
        <b/>
        <i val="0"/>
      </font>
      <fill>
        <patternFill>
          <bgColor rgb="FFFFFFCC"/>
        </patternFill>
      </fill>
    </dxf>
    <dxf>
      <font>
        <b/>
        <i val="0"/>
        <color auto="1"/>
      </font>
      <fill>
        <patternFill>
          <bgColor rgb="FFE6E6E6"/>
        </patternFill>
      </fill>
    </dxf>
    <dxf>
      <font>
        <b/>
        <i val="0"/>
        <color auto="1"/>
      </font>
      <fill>
        <patternFill patternType="none">
          <bgColor auto="1"/>
        </patternFill>
      </fill>
      <border>
        <bottom style="medium">
          <color auto="1"/>
        </bottom>
      </border>
    </dxf>
    <dxf>
      <font>
        <b val="0"/>
        <i val="0"/>
      </font>
      <fill>
        <patternFill>
          <bgColor theme="0"/>
        </patternFill>
      </fill>
    </dxf>
    <dxf>
      <font>
        <b val="0"/>
        <i val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b/>
        <i val="0"/>
        <color auto="1"/>
      </font>
      <fill>
        <patternFill patternType="none">
          <bgColor auto="1"/>
        </patternFill>
      </fill>
      <border>
        <bottom style="medium">
          <color auto="1"/>
        </bottom>
      </border>
    </dxf>
    <dxf>
      <font>
        <b val="0"/>
        <i val="0"/>
      </font>
      <fill>
        <patternFill>
          <bgColor theme="0"/>
        </patternFill>
      </fill>
    </dxf>
    <dxf>
      <font>
        <b val="0"/>
        <i val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</dxfs>
  <tableStyles count="3" defaultTableStyle="TableStyleMedium9" defaultPivotStyle="Focchi">
    <tableStyle name="Focchi" table="0" count="8">
      <tableStyleElement type="headerRow" dxfId="62"/>
      <tableStyleElement type="totalRow" dxfId="61"/>
      <tableStyleElement type="firstRowStripe" dxfId="60"/>
      <tableStyleElement type="secondRowStripe" dxfId="59"/>
      <tableStyleElement type="firstRowSubheading" dxfId="58"/>
      <tableStyleElement type="secondRowSubheading" dxfId="57"/>
      <tableStyleElement type="thirdRowSubheading" dxfId="56"/>
      <tableStyleElement type="pageFieldLabels" dxfId="55"/>
    </tableStyle>
    <tableStyle name="Focchi 2" table="0" count="8">
      <tableStyleElement type="headerRow" dxfId="54"/>
      <tableStyleElement type="totalRow" dxfId="53"/>
      <tableStyleElement type="firstRowStripe" dxfId="52"/>
      <tableStyleElement type="secondRowStripe" dxfId="51"/>
      <tableStyleElement type="firstRowSubheading" dxfId="50"/>
      <tableStyleElement type="secondRowSubheading" dxfId="49"/>
      <tableStyleElement type="thirdRowSubheading" dxfId="48"/>
      <tableStyleElement type="pageFieldLabels" dxfId="47"/>
    </tableStyle>
    <tableStyle name="Stile tabella pivot 1" table="0" count="1">
      <tableStyleElement type="firstColumnStripe" size="3"/>
    </tableStyle>
  </tableStyles>
  <colors>
    <mruColors>
      <color rgb="FFFFFFCC"/>
      <color rgb="FFE6E6E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76199</xdr:rowOff>
    </xdr:from>
    <xdr:to>
      <xdr:col>0</xdr:col>
      <xdr:colOff>555734</xdr:colOff>
      <xdr:row>1</xdr:row>
      <xdr:rowOff>314324</xdr:rowOff>
    </xdr:to>
    <xdr:pic>
      <xdr:nvPicPr>
        <xdr:cNvPr id="22904" name="Immagine 1" descr="Logo Focchi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76199"/>
          <a:ext cx="498584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0</xdr:row>
          <xdr:rowOff>57150</xdr:rowOff>
        </xdr:from>
        <xdr:to>
          <xdr:col>12</xdr:col>
          <xdr:colOff>152400</xdr:colOff>
          <xdr:row>0</xdr:row>
          <xdr:rowOff>412750</xdr:rowOff>
        </xdr:to>
        <xdr:sp macro="" textlink="">
          <xdr:nvSpPr>
            <xdr:cNvPr id="17669" name="InsertRow" hidden="1">
              <a:extLst>
                <a:ext uri="{63B3BB69-23CF-44E3-9099-C40C66FF867C}">
                  <a14:compatExt spid="_x0000_s17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222250</xdr:colOff>
          <xdr:row>0</xdr:row>
          <xdr:rowOff>76200</xdr:rowOff>
        </xdr:from>
        <xdr:to>
          <xdr:col>18</xdr:col>
          <xdr:colOff>190500</xdr:colOff>
          <xdr:row>1</xdr:row>
          <xdr:rowOff>0</xdr:rowOff>
        </xdr:to>
        <xdr:sp macro="" textlink="">
          <xdr:nvSpPr>
            <xdr:cNvPr id="17670" name="DeleteRow" hidden="1">
              <a:extLst>
                <a:ext uri="{63B3BB69-23CF-44E3-9099-C40C66FF867C}">
                  <a14:compatExt spid="_x0000_s17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2</xdr:row>
          <xdr:rowOff>50800</xdr:rowOff>
        </xdr:from>
        <xdr:to>
          <xdr:col>3</xdr:col>
          <xdr:colOff>184150</xdr:colOff>
          <xdr:row>3</xdr:row>
          <xdr:rowOff>133350</xdr:rowOff>
        </xdr:to>
        <xdr:sp macro="" textlink="">
          <xdr:nvSpPr>
            <xdr:cNvPr id="17672" name="CmdCoverHiddenColumns" hidden="1">
              <a:extLst>
                <a:ext uri="{63B3BB69-23CF-44E3-9099-C40C66FF867C}">
                  <a14:compatExt spid="_x0000_s1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</xdr:row>
          <xdr:rowOff>50800</xdr:rowOff>
        </xdr:from>
        <xdr:to>
          <xdr:col>1</xdr:col>
          <xdr:colOff>1276350</xdr:colOff>
          <xdr:row>3</xdr:row>
          <xdr:rowOff>127000</xdr:rowOff>
        </xdr:to>
        <xdr:sp macro="" textlink="">
          <xdr:nvSpPr>
            <xdr:cNvPr id="17673" name="CmdExplode" hidden="1">
              <a:extLst>
                <a:ext uri="{63B3BB69-23CF-44E3-9099-C40C66FF867C}">
                  <a14:compatExt spid="_x0000_s1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222250</xdr:colOff>
          <xdr:row>1</xdr:row>
          <xdr:rowOff>31750</xdr:rowOff>
        </xdr:from>
        <xdr:to>
          <xdr:col>8</xdr:col>
          <xdr:colOff>127000</xdr:colOff>
          <xdr:row>1</xdr:row>
          <xdr:rowOff>342900</xdr:rowOff>
        </xdr:to>
        <xdr:sp macro="" textlink="">
          <xdr:nvSpPr>
            <xdr:cNvPr id="17674" name="Button 3338" hidden="1">
              <a:extLst>
                <a:ext uri="{63B3BB69-23CF-44E3-9099-C40C66FF867C}">
                  <a14:compatExt spid="_x0000_s1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+ 5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31750</xdr:rowOff>
        </xdr:from>
        <xdr:to>
          <xdr:col>12</xdr:col>
          <xdr:colOff>127000</xdr:colOff>
          <xdr:row>1</xdr:row>
          <xdr:rowOff>342900</xdr:rowOff>
        </xdr:to>
        <xdr:sp macro="" textlink="">
          <xdr:nvSpPr>
            <xdr:cNvPr id="17675" name="Button 3339" hidden="1">
              <a:extLst>
                <a:ext uri="{63B3BB69-23CF-44E3-9099-C40C66FF867C}">
                  <a14:compatExt spid="_x0000_s1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+ 10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0</xdr:col>
      <xdr:colOff>676275</xdr:colOff>
      <xdr:row>1</xdr:row>
      <xdr:rowOff>314325</xdr:rowOff>
    </xdr:to>
    <xdr:pic>
      <xdr:nvPicPr>
        <xdr:cNvPr id="23707" name="Immagine 1" descr="Logo Focchi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350" y="47625"/>
          <a:ext cx="5429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ssimo Cicognani" refreshedDate="43671.428606365742" createdVersion="6" refreshedVersion="6" minRefreshableVersion="3" recordCount="292">
  <cacheSource type="worksheet">
    <worksheetSource name="RESUMINGSOURCE"/>
  </cacheSource>
  <cacheFields count="47">
    <cacheField name="Item" numFmtId="0">
      <sharedItems containsNonDate="0" containsBlank="1" count="12">
        <m/>
        <s v="EW Column &amp; Beams to Balconies" u="1"/>
        <s v="DFHGDFHGDF" u="1"/>
        <s v="a" u="1"/>
        <s v="B1 - Stick Sistem" u="1"/>
        <s v="aaa" u="1"/>
        <s v="B" u="1"/>
        <s v="cccc" u="1"/>
        <s v="A1 - UNITISED CW" u="1"/>
        <s v="c" u="1"/>
        <s v="ITEM" u="1"/>
        <s v="HFGHDFH" u="1"/>
      </sharedItems>
    </cacheField>
    <cacheField name="Facade Type" numFmtId="0">
      <sharedItems containsNonDate="0" containsString="0" containsBlank="1" containsNumber="1" containsInteger="1" minValue="11" maxValue="22" count="3">
        <m/>
        <n v="22" u="1"/>
        <n v="11" u="1"/>
      </sharedItems>
    </cacheField>
    <cacheField name="Panel Code" numFmtId="0">
      <sharedItems containsNonDate="0" containsBlank="1" count="33">
        <m/>
        <s v="G" u="1"/>
        <s v="Tower " u="1"/>
        <s v="MSP" u="1"/>
        <s v="MSP Slab + V/V + MSP Slab" u="1"/>
        <s v="1*5" u="1"/>
        <s v="V/V + MSP Slab" u="1"/>
        <s v="GOAL POSTS" u="1"/>
        <s v="ccc" u="1"/>
        <s v="V/V " u="1"/>
        <s v="E" u="1"/>
        <s v="bbb" u="1"/>
        <s v="ffff" u="1"/>
        <s v="aaa" u="1"/>
        <s v="MSP - FIN VERTICALE" u="1"/>
        <s v="1X2 V+V" u="1"/>
        <s v="c" u="1"/>
        <s v="V" u="1"/>
        <s v="Horizontal" u="1"/>
        <s v="SB Slab + V/V + MSP Slab" u="1"/>
        <s v="a" u="1"/>
        <s v="1X1 V" u="1"/>
        <s v="F" u="1"/>
        <s v="Tower - Balaustre" u="1"/>
        <s v="Vertical" u="1"/>
        <s v="MSP - FIN ORIZZONTALE SLAB BALCONE" u="1"/>
        <s v="d" u="1"/>
        <s v="V/V + SB Slab" u="1"/>
        <s v="SB Slab + V" u="1"/>
        <s v="1X1 SB" u="1"/>
        <s v="MSP Slab + V/V + SB Slab" u="1"/>
        <s v="B" u="1"/>
        <s v="V + SB Slab" u="1"/>
      </sharedItems>
    </cacheField>
    <cacheField name="Notes" numFmtId="0">
      <sharedItems containsNonDate="0" containsBlank="1" count="66">
        <m/>
        <s v="WEST RESID  L19-38" u="1"/>
        <s v="WEST RESID  L19-39" u="1"/>
        <s v="WEST L19/39" u="1"/>
        <s v="EAST RESID  L40" u="1"/>
        <s v="EAST L19/39 - RISVOLTI" u="1"/>
        <s v="SOUTH HOTEL  L18" u="1"/>
        <s v="aaaaa" u="1"/>
        <s v="L40" u="1"/>
        <s v="L41" u="1"/>
        <s v="EAST RESID  L19-40" u="1"/>
        <s v="EAST/WEST PENTHOUSE" u="1"/>
        <s v="NORTH HOTEL  L36-38" u="1"/>
        <s v="f" u="1"/>
        <s v="b" u="1"/>
        <s v="EAST RESID  L19-38" u="1"/>
        <s v="NORTH HOTEL  L7" u="1"/>
        <s v="EAST RESID  L19-39" u="1"/>
        <s v="EAST L19/39" u="1"/>
        <s v="L36/39" u="1"/>
        <s v="NORTH/SOUTH L36/39" u="1"/>
        <s v="eeee" u="1"/>
        <s v="L40M" u="1"/>
        <s v="NORTH HOTEL  L18" u="1"/>
        <s v="bbbbb" u="1"/>
        <s v="WEST L06/06M " u="1"/>
        <s v="e" u="1"/>
        <s v="SOUTH HOTEL  L08-17" u="1"/>
        <s v="WEST RESID  L40 - sopra stick" u="1"/>
        <s v="SOUTH L06/06M " u="1"/>
        <s v="a" u="1"/>
        <s v="WEST RESID  L39" u="1"/>
        <s v="WEST HOTEL  L08-17" u="1"/>
        <s v="SOUTH RESID  L20-39" u="1"/>
        <s v="WEST HOTEL  L18" u="1"/>
        <s v="SOUTH HOTEL  L39" u="1"/>
        <s v="EAST L06/06M " u="1"/>
        <s v="NORTH/SOUTH L40" u="1"/>
        <s v="ccccc" u="1"/>
        <s v="EAST RESID  L40 - sopra stick" u="1"/>
        <s v="WEST L06M " u="1"/>
        <s v="L05-07-09 EAST " u="1"/>
        <s v="EAST RESID  L39" u="1"/>
        <s v="SOUTH HOTEL  L19-35" u="1"/>
        <s v="d" u="1"/>
        <s v="NORTH HOTEL  L08-17" u="1"/>
        <s v="NORTH L06/06M " u="1"/>
        <s v="WEST HOTEL  L07" u="1"/>
        <s v="EAST HOTEL  L08-17" u="1"/>
        <s v="EAST HOTEL  L18" u="1"/>
        <s v="L19/35" u="1"/>
        <s v="NORTH RESID  L20-39" u="1"/>
        <s v="NORTH HOTEL  L39" u="1"/>
        <s v="NORTH/SOUTH L19/35" u="1"/>
        <s v="EAST L06M " u="1"/>
        <s v="WEST RESID  L40" u="1"/>
        <s v="EAST HOTEL  L07" u="1"/>
        <s v="WEST L19/39 - RISVOLTI" u="1"/>
        <s v="SOUTH HOTEL  L36-38" u="1"/>
        <s v="g" u="1"/>
        <s v="WEST RESID  L19-40" u="1"/>
        <s v="NORTH HOTEL  L19-35" u="1"/>
        <s v="c" u="1"/>
        <s v="L41 raccordi di bordo" u="1"/>
        <s v="SOUTH HOTEL  L7" u="1"/>
        <s v="bbbb" u="1"/>
      </sharedItems>
    </cacheField>
    <cacheField name="vertical cl.*" numFmtId="0">
      <sharedItems containsBlank="1"/>
    </cacheField>
    <cacheField name="top cl.*" numFmtId="0">
      <sharedItems containsNonDate="0" containsString="0" containsBlank="1"/>
    </cacheField>
    <cacheField name="bottom cl.*" numFmtId="0">
      <sharedItems containsNonDate="0" containsString="0" containsBlank="1"/>
    </cacheField>
    <cacheField name="corner*" numFmtId="0">
      <sharedItems containsNonDate="0" containsString="0" containsBlank="1"/>
    </cacheField>
    <cacheField name="coping*" numFmtId="0">
      <sharedItems containsNonDate="0" containsString="0" containsBlank="1"/>
    </cacheField>
    <cacheField name="slab cl.*" numFmtId="0">
      <sharedItems containsNonDate="0" containsString="0" containsBlank="1"/>
    </cacheField>
    <cacheField name="Horiz. Finish*" numFmtId="0">
      <sharedItems containsNonDate="0" containsString="0" containsBlank="1"/>
    </cacheField>
    <cacheField name="Vert. Finish.*" numFmtId="0">
      <sharedItems containsNonDate="0" containsString="0" containsBlank="1"/>
    </cacheField>
    <cacheField name="L1" numFmtId="0">
      <sharedItems containsBlank="1"/>
    </cacheField>
    <cacheField name="L2" numFmtId="0">
      <sharedItems containsBlank="1"/>
    </cacheField>
    <cacheField name="L3" numFmtId="0">
      <sharedItems containsBlank="1"/>
    </cacheField>
    <cacheField name="L4" numFmtId="0">
      <sharedItems containsBlank="1"/>
    </cacheField>
    <cacheField name="L5" numFmtId="0">
      <sharedItems containsBlank="1"/>
    </cacheField>
    <cacheField name="L6" numFmtId="0">
      <sharedItems containsBlank="1"/>
    </cacheField>
    <cacheField name="H1" numFmtId="0">
      <sharedItems containsBlank="1"/>
    </cacheField>
    <cacheField name="H2" numFmtId="0">
      <sharedItems containsBlank="1"/>
    </cacheField>
    <cacheField name="H3" numFmtId="0">
      <sharedItems containsBlank="1"/>
    </cacheField>
    <cacheField name="H4" numFmtId="0">
      <sharedItems containsBlank="1"/>
    </cacheField>
    <cacheField name="H5" numFmtId="0">
      <sharedItems containsBlank="1"/>
    </cacheField>
    <cacheField name="H6" numFmtId="0">
      <sharedItems containsBlank="1"/>
    </cacheField>
    <cacheField name="L" numFmtId="0">
      <sharedItems containsBlank="1" count="52">
        <m/>
        <s v=""/>
        <s v="450" u="1"/>
        <s v="1500" u="1"/>
        <s v="1300+915" u="1"/>
        <s v="1520" u="1"/>
        <s v="1530" u="1"/>
        <s v="930" u="1"/>
        <s v="1516" u="1"/>
        <s v="41044" u="1"/>
        <s v="1526" u="1"/>
        <s v="1475" u="1"/>
        <s v="1400" u="1"/>
        <s v="1200+915" u="1"/>
        <s v="25552" u="1"/>
        <s v="1521" u="1"/>
        <s v="1531" u="1"/>
        <s v="1517" u="1"/>
        <s v="1527" u="1"/>
        <s v="1100+915" u="1"/>
        <s v="1205" u="1"/>
        <s v="1522" u="1"/>
        <s v="1532" u="1"/>
        <s v="1518" u="1"/>
        <s v="1528" u="1"/>
        <s v="1200" u="1"/>
        <s v="4476" u="1"/>
        <s v="1000+915" u="1"/>
        <s v="650" u="1"/>
        <s v="500" u="1"/>
        <s v="1523" u="1"/>
        <s v="1533" u="1"/>
        <s v="1519" u="1"/>
        <s v="1800" u="1"/>
        <s v="1529" u="1"/>
        <s v="915+915" u="1"/>
        <s v="1830" u="1"/>
        <s v="35530" u="1"/>
        <s v="1180" u="1"/>
        <s v="450+1830+450" u="1"/>
        <s v="1524" u="1"/>
        <s v="1534" u="1"/>
        <s v="1000" u="1"/>
        <s v="1111" u="1"/>
        <s v="1600" u="1"/>
        <s v="28100" u="1"/>
        <s v="1400+915" u="1"/>
        <s v="1515" u="1"/>
        <s v="1525" u="1"/>
        <s v="1650" u="1"/>
        <s v="540" u="1"/>
        <s v="545" u="1"/>
      </sharedItems>
    </cacheField>
    <cacheField name="H" numFmtId="0">
      <sharedItems containsBlank="1" count="70">
        <m/>
        <s v=""/>
        <s v="3003+500" u="1"/>
        <s v="3034" u="1"/>
        <s v="4625" u="1"/>
        <s v="3250" u="1"/>
        <s v="450" u="1"/>
        <s v="3001+750" u="1"/>
        <s v="3100" u="1"/>
        <s v="450+2800" u="1"/>
        <s v="3025" u="1"/>
        <s v="3014+500" u="1"/>
        <s v="3024+500" u="1"/>
        <s v="2650+450" u="1"/>
        <s v="2575+450" u="1"/>
        <s v="3750" u="1"/>
        <s v="3012+750" u="1"/>
        <s v="3022+750" u="1"/>
        <s v="3000" u="1"/>
        <s v="3008+750" u="1"/>
        <s v="3020" u="1"/>
        <s v="3030" u="1"/>
        <s v="3006" u="1"/>
        <s v="3016" u="1"/>
        <s v="3035+500" u="1"/>
        <s v="2550+450" u="1"/>
        <s v="3600" u="1"/>
        <s v="3033+750" u="1"/>
        <s v="3011" u="1"/>
        <s v="3000+500" u="1"/>
        <s v="3019+750" u="1"/>
        <s v="3010+500" u="1"/>
        <s v="3029+750" u="1"/>
        <s v="3041" u="1"/>
        <s v="2700" u="1"/>
        <s v="1200" u="1"/>
        <s v="3027" u="1"/>
        <s v="3037" u="1"/>
        <s v="8300" u="1"/>
        <s v="3475" u="1"/>
        <s v="3002" u="1"/>
        <s v="3032" u="1"/>
        <s v="2505" u="1"/>
        <s v="3021+500" u="1"/>
        <s v="3031+500" u="1"/>
        <s v="3018" u="1"/>
        <s v="3007+500" u="1"/>
        <s v="3017+500" u="1"/>
        <s v="3150+450" u="1"/>
        <s v="450+2350+450" u="1"/>
        <s v="450+3025" u="1"/>
        <s v="800" u="1"/>
        <s v="3005+750" u="1"/>
        <s v="3015+750" u="1"/>
        <s v="3000+3055" u="1"/>
        <s v="1000" u="1"/>
        <s v="3013" u="1"/>
        <s v="3023" u="1"/>
        <s v="3009" u="1"/>
        <s v="3039" u="1"/>
        <s v="3028+500" u="1"/>
        <s v="3038+500" u="1"/>
        <s v="2800+450" u="1"/>
        <s v="450+2575+450" u="1"/>
        <s v="1600" u="1"/>
        <s v="3000+750" u="1"/>
        <s v="3040+750" u="1"/>
        <s v="3026+750" u="1"/>
        <s v="3036+750" u="1"/>
        <s v="3004" u="1"/>
      </sharedItems>
    </cacheField>
    <cacheField name="Total Base" numFmtId="0">
      <sharedItems containsMixedTypes="1" containsNumber="1" containsInteger="1" minValue="0" maxValue="41044" count="51">
        <s v="LM"/>
        <n v="0"/>
        <n v="1111" u="1"/>
        <n v="25552" u="1"/>
        <n v="1531" u="1"/>
        <n v="930" u="1"/>
        <n v="1527" u="1"/>
        <n v="1205" u="1"/>
        <n v="1523" u="1"/>
        <n v="1519" u="1"/>
        <n v="35530" u="1"/>
        <n v="1515" u="1"/>
        <n v="450" u="1"/>
        <n v="41044" u="1"/>
        <n v="545" u="1"/>
        <n v="500" u="1"/>
        <n v="28100" u="1"/>
        <n v="1915" u="1"/>
        <n v="1534" u="1"/>
        <n v="1530" u="1"/>
        <n v="1475" u="1"/>
        <n v="1526" u="1"/>
        <n v="1522" u="1"/>
        <n v="2115" u="1"/>
        <n v="1200" u="1"/>
        <n v="1518" u="1"/>
        <n v="4476" u="1"/>
        <n v="1000" u="1"/>
        <n v="1400" u="1"/>
        <n v="1180" u="1"/>
        <n v="1600" u="1"/>
        <n v="2730" u="1"/>
        <n v="1800" u="1"/>
        <n v="1533" u="1"/>
        <n v="1529" u="1"/>
        <n v="1525" u="1"/>
        <n v="1521" u="1"/>
        <n v="2215" u="1"/>
        <n v="1517" u="1"/>
        <n v="650" u="1"/>
        <n v="540" u="1"/>
        <n v="1650" u="1"/>
        <n v="2015" u="1"/>
        <n v="1532" u="1"/>
        <n v="1528" u="1"/>
        <n v="1524" u="1"/>
        <n v="1520" u="1"/>
        <n v="1516" u="1"/>
        <n v="2315" u="1"/>
        <n v="1830" u="1"/>
        <n v="1500" u="1"/>
      </sharedItems>
    </cacheField>
    <cacheField name="Total Height" numFmtId="0">
      <sharedItems containsMixedTypes="1" containsNumber="1" containsInteger="1" minValue="0" maxValue="8300" count="60">
        <s v="HM"/>
        <n v="0"/>
        <n v="3531" u="1"/>
        <n v="3786" u="1"/>
        <n v="3032" u="1"/>
        <n v="3507" u="1"/>
        <n v="6055" u="1"/>
        <n v="3016" u="1"/>
        <n v="3762" u="1"/>
        <n v="3000" u="1"/>
        <n v="450" u="1"/>
        <n v="3475" u="1"/>
        <n v="3510" u="1"/>
        <n v="3027" u="1"/>
        <n v="3765" u="1"/>
        <n v="3011" u="1"/>
        <n v="800" u="1"/>
        <n v="3521" u="1"/>
        <n v="3250" u="1"/>
        <n v="3030" u="1"/>
        <n v="3776" u="1"/>
        <n v="2700" u="1"/>
        <n v="1200" u="1"/>
        <n v="3006" u="1"/>
        <n v="1000" u="1"/>
        <n v="3100" u="1"/>
        <n v="3524" u="1"/>
        <n v="3041" u="1"/>
        <n v="3779" u="1"/>
        <n v="3025" u="1"/>
        <n v="3500" u="1"/>
        <n v="1600" u="1"/>
        <n v="3009" u="1"/>
        <n v="3755" u="1"/>
        <n v="3535" u="1"/>
        <n v="3790" u="1"/>
        <n v="3503" u="1"/>
        <n v="3020" u="1"/>
        <n v="3758" u="1"/>
        <n v="3538" u="1"/>
        <n v="3004" u="1"/>
        <n v="3750" u="1"/>
        <n v="4625" u="1"/>
        <n v="3039" u="1"/>
        <n v="2505" u="1"/>
        <n v="3514" u="1"/>
        <n v="3023" u="1"/>
        <n v="3769" u="1"/>
        <n v="3600" u="1"/>
        <n v="3517" u="1"/>
        <n v="3034" u="1"/>
        <n v="8300" u="1"/>
        <n v="3772" u="1"/>
        <n v="3018" u="1"/>
        <n v="3002" u="1"/>
        <n v="3528" u="1"/>
        <n v="3037" u="1"/>
        <n v="3783" u="1"/>
        <n v="3013" u="1"/>
        <n v="3751" u="1"/>
      </sharedItems>
    </cacheField>
    <cacheField name="Panel n." numFmtId="0">
      <sharedItems containsString="0" containsBlank="1" containsNumber="1" containsInteger="1" minValue="0" maxValue="0"/>
    </cacheField>
    <cacheField name="Unit Sq. M" numFmtId="0">
      <sharedItems containsString="0" containsBlank="1" containsNumber="1" containsInteger="1" minValue="0" maxValue="0"/>
    </cacheField>
    <cacheField name="Building 1" numFmtId="0">
      <sharedItems containsString="0" containsBlank="1" containsNumber="1" containsInteger="1" minValue="0" maxValue="0"/>
    </cacheField>
    <cacheField name="Building 2" numFmtId="0">
      <sharedItems containsString="0" containsBlank="1" containsNumber="1" containsInteger="1" minValue="0" maxValue="0"/>
    </cacheField>
    <cacheField name="Building 3" numFmtId="0">
      <sharedItems containsString="0" containsBlank="1" containsNumber="1" containsInteger="1" minValue="0" maxValue="0"/>
    </cacheField>
    <cacheField name="Building 4" numFmtId="0">
      <sharedItems containsString="0" containsBlank="1" containsNumber="1" containsInteger="1" minValue="0" maxValue="0"/>
    </cacheField>
    <cacheField name="Building 5" numFmtId="0">
      <sharedItems containsString="0" containsBlank="1" containsNumber="1" containsInteger="1" minValue="0" maxValue="0"/>
    </cacheField>
    <cacheField name="Building 6" numFmtId="0">
      <sharedItems containsString="0" containsBlank="1" containsNumber="1" containsInteger="1" minValue="0" maxValue="0"/>
    </cacheField>
    <cacheField name="Building 7" numFmtId="0">
      <sharedItems containsString="0" containsBlank="1" containsNumber="1" containsInteger="1" minValue="0" maxValue="0"/>
    </cacheField>
    <cacheField name="Building 8" numFmtId="0">
      <sharedItems containsString="0" containsBlank="1" containsNumber="1" containsInteger="1" minValue="0" maxValue="0"/>
    </cacheField>
    <cacheField name="Total Sq.m" numFmtId="0">
      <sharedItems containsString="0" containsBlank="1" containsNumber="1" containsInteger="1" minValue="0" maxValue="0"/>
    </cacheField>
    <cacheField name="vertical cl." numFmtId="0">
      <sharedItems/>
    </cacheField>
    <cacheField name="top cl." numFmtId="0">
      <sharedItems/>
    </cacheField>
    <cacheField name="bottom cl." numFmtId="0">
      <sharedItems/>
    </cacheField>
    <cacheField name="corner" numFmtId="0">
      <sharedItems/>
    </cacheField>
    <cacheField name="coping" numFmtId="0">
      <sharedItems/>
    </cacheField>
    <cacheField name="slab cl." numFmtId="0">
      <sharedItems/>
    </cacheField>
    <cacheField name="Horiz. finish" numFmtId="0">
      <sharedItems/>
    </cacheField>
    <cacheField name="Vert. Finis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2">
  <r>
    <x v="0"/>
    <x v="0"/>
    <x v="0"/>
    <x v="0"/>
    <s v="Allowed values: 0 to 9"/>
    <m/>
    <m/>
    <m/>
    <m/>
    <m/>
    <m/>
    <m/>
    <s v="L1"/>
    <s v="L2"/>
    <s v="L3"/>
    <s v="L4"/>
    <s v="L5"/>
    <s v="L6"/>
    <s v="H1"/>
    <s v="H2"/>
    <s v="H3"/>
    <s v="H4"/>
    <s v="H5"/>
    <s v="H6"/>
    <x v="0"/>
    <x v="0"/>
    <x v="0"/>
    <x v="0"/>
    <m/>
    <m/>
    <m/>
    <m/>
    <m/>
    <m/>
    <m/>
    <m/>
    <m/>
    <m/>
    <m/>
    <s v="V"/>
    <s v="H"/>
    <s v="H"/>
    <s v="V"/>
    <s v="H"/>
    <s v="H"/>
    <s v="H"/>
    <s v="V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m/>
    <m/>
    <m/>
    <m/>
    <m/>
    <m/>
    <m/>
    <m/>
    <m/>
    <m/>
    <x v="1"/>
    <x v="1"/>
    <x v="1"/>
    <x v="1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suming" cacheId="0" autoFormatId="4117" applyNumberFormats="1" applyBorderFormats="1" applyFontFormats="1" applyPatternFormats="1" applyAlignmentFormats="1" applyWidthHeightFormats="1" dataCaption="Dati" grandTotalCaption="Total" errorCaption="#" showError="1" missingCaption="-" updatedVersion="6" minRefreshableVersion="3" asteriskTotals="1" showMultipleLabel="0" showDrill="0" showMemberPropertyTips="0" useAutoFormatting="1" colGrandTotals="0" itemPrintTitles="1" createdVersion="3" indent="0" compact="0" compactData="0">
  <location ref="A4:R5" firstHeaderRow="0" firstDataRow="1" firstDataCol="8"/>
  <pivotFields count="47">
    <pivotField axis="axisRow" compact="0" showAll="0" insertBlankRow="1" includeNewItemsInFilter="1" sortType="ascending">
      <items count="13">
        <item m="1" x="3"/>
        <item m="1" x="8"/>
        <item m="1" x="5"/>
        <item m="1" x="6"/>
        <item m="1" x="4"/>
        <item m="1" x="9"/>
        <item m="1" x="7"/>
        <item m="1" x="2"/>
        <item m="1" x="1"/>
        <item m="1" x="11"/>
        <item m="1" x="10"/>
        <item h="1" x="0"/>
        <item t="default"/>
      </items>
    </pivotField>
    <pivotField axis="axisRow" compact="0" showAll="0" includeNewItemsInFilter="1" sortType="ascending" rankBy="0">
      <items count="4">
        <item m="1" x="2"/>
        <item m="1" x="1"/>
        <item x="0"/>
        <item t="default"/>
      </items>
    </pivotField>
    <pivotField axis="axisRow" compact="0" showAll="0" includeNewItemsInFilter="1" sortType="ascending">
      <items count="34">
        <item m="1" x="5"/>
        <item m="1" x="29"/>
        <item m="1" x="21"/>
        <item m="1" x="15"/>
        <item m="1" x="20"/>
        <item m="1" x="13"/>
        <item m="1" x="31"/>
        <item m="1" x="11"/>
        <item m="1" x="16"/>
        <item m="1" x="8"/>
        <item m="1" x="26"/>
        <item m="1" x="10"/>
        <item m="1" x="22"/>
        <item m="1" x="12"/>
        <item m="1" x="1"/>
        <item m="1" x="7"/>
        <item m="1" x="18"/>
        <item m="1" x="3"/>
        <item m="1" x="25"/>
        <item m="1" x="14"/>
        <item m="1" x="4"/>
        <item m="1" x="30"/>
        <item m="1" x="28"/>
        <item m="1" x="19"/>
        <item m="1" x="2"/>
        <item m="1" x="23"/>
        <item m="1" x="17"/>
        <item m="1" x="32"/>
        <item m="1" x="9"/>
        <item m="1" x="6"/>
        <item m="1" x="27"/>
        <item m="1" x="24"/>
        <item x="0"/>
        <item t="default"/>
      </items>
    </pivotField>
    <pivotField axis="axisRow" compact="0" outline="0" showAll="0" includeNewItemsInFilter="1" sortType="ascending" rankBy="0" defaultSubtotal="0">
      <items count="66">
        <item m="1" x="30"/>
        <item m="1" x="7"/>
        <item m="1" x="14"/>
        <item m="1" x="65"/>
        <item m="1" x="24"/>
        <item m="1" x="62"/>
        <item m="1" x="38"/>
        <item m="1" x="44"/>
        <item m="1" x="26"/>
        <item m="1" x="56"/>
        <item m="1" x="48"/>
        <item m="1" x="49"/>
        <item m="1" x="36"/>
        <item m="1" x="54"/>
        <item m="1" x="18"/>
        <item m="1" x="5"/>
        <item m="1" x="15"/>
        <item m="1" x="17"/>
        <item m="1" x="10"/>
        <item m="1" x="42"/>
        <item m="1" x="4"/>
        <item m="1" x="39"/>
        <item m="1" x="11"/>
        <item m="1" x="21"/>
        <item m="1" x="13"/>
        <item m="1" x="59"/>
        <item m="1" x="41"/>
        <item m="1" x="50"/>
        <item m="1" x="19"/>
        <item m="1" x="8"/>
        <item m="1" x="22"/>
        <item m="1" x="9"/>
        <item m="1" x="63"/>
        <item m="1" x="45"/>
        <item m="1" x="23"/>
        <item m="1" x="61"/>
        <item m="1" x="12"/>
        <item m="1" x="52"/>
        <item m="1" x="16"/>
        <item m="1" x="46"/>
        <item m="1" x="51"/>
        <item m="1" x="53"/>
        <item m="1" x="20"/>
        <item m="1" x="37"/>
        <item m="1" x="27"/>
        <item m="1" x="6"/>
        <item m="1" x="43"/>
        <item m="1" x="58"/>
        <item m="1" x="35"/>
        <item m="1" x="64"/>
        <item m="1" x="29"/>
        <item m="1" x="33"/>
        <item m="1" x="47"/>
        <item m="1" x="32"/>
        <item m="1" x="34"/>
        <item m="1" x="25"/>
        <item m="1" x="40"/>
        <item m="1" x="3"/>
        <item m="1" x="57"/>
        <item m="1" x="1"/>
        <item m="1" x="2"/>
        <item m="1" x="60"/>
        <item m="1" x="31"/>
        <item m="1" x="55"/>
        <item m="1" x="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2">
        <item x="1"/>
        <item m="1" x="42"/>
        <item m="1" x="27"/>
        <item m="1" x="19"/>
        <item m="1" x="43"/>
        <item m="1" x="38"/>
        <item m="1" x="25"/>
        <item m="1" x="13"/>
        <item m="1" x="20"/>
        <item m="1" x="4"/>
        <item m="1" x="12"/>
        <item m="1" x="46"/>
        <item m="1" x="11"/>
        <item m="1" x="3"/>
        <item m="1" x="47"/>
        <item m="1" x="8"/>
        <item m="1" x="17"/>
        <item m="1" x="23"/>
        <item m="1" x="32"/>
        <item m="1" x="5"/>
        <item m="1" x="15"/>
        <item m="1" x="21"/>
        <item m="1" x="30"/>
        <item m="1" x="40"/>
        <item m="1" x="48"/>
        <item m="1" x="10"/>
        <item m="1" x="18"/>
        <item m="1" x="24"/>
        <item m="1" x="34"/>
        <item m="1" x="6"/>
        <item m="1" x="16"/>
        <item m="1" x="22"/>
        <item m="1" x="31"/>
        <item m="1" x="41"/>
        <item m="1" x="44"/>
        <item m="1" x="49"/>
        <item m="1" x="33"/>
        <item m="1" x="36"/>
        <item m="1" x="14"/>
        <item m="1" x="45"/>
        <item m="1" x="37"/>
        <item m="1" x="9"/>
        <item m="1" x="26"/>
        <item m="1" x="2"/>
        <item m="1" x="39"/>
        <item m="1" x="29"/>
        <item m="1" x="50"/>
        <item m="1" x="51"/>
        <item m="1" x="28"/>
        <item m="1" x="35"/>
        <item m="1" x="7"/>
        <item x="0"/>
      </items>
    </pivotField>
    <pivotField axis="axisRow" compact="0" outline="0" showAll="0" sortType="ascending" defaultSubtotal="0">
      <items count="70">
        <item x="1"/>
        <item m="1" x="55"/>
        <item m="1" x="35"/>
        <item m="1" x="64"/>
        <item m="1" x="42"/>
        <item m="1" x="25"/>
        <item m="1" x="14"/>
        <item m="1" x="13"/>
        <item m="1" x="34"/>
        <item m="1" x="62"/>
        <item m="1" x="18"/>
        <item m="1" x="54"/>
        <item m="1" x="29"/>
        <item m="1" x="65"/>
        <item m="1" x="7"/>
        <item m="1" x="40"/>
        <item m="1" x="2"/>
        <item m="1" x="69"/>
        <item m="1" x="52"/>
        <item m="1" x="22"/>
        <item m="1" x="46"/>
        <item m="1" x="19"/>
        <item m="1" x="58"/>
        <item m="1" x="31"/>
        <item m="1" x="28"/>
        <item m="1" x="16"/>
        <item m="1" x="56"/>
        <item m="1" x="11"/>
        <item m="1" x="53"/>
        <item m="1" x="23"/>
        <item m="1" x="47"/>
        <item m="1" x="45"/>
        <item m="1" x="30"/>
        <item m="1" x="20"/>
        <item m="1" x="43"/>
        <item m="1" x="17"/>
        <item m="1" x="57"/>
        <item m="1" x="12"/>
        <item m="1" x="10"/>
        <item m="1" x="67"/>
        <item m="1" x="36"/>
        <item m="1" x="60"/>
        <item m="1" x="32"/>
        <item m="1" x="21"/>
        <item m="1" x="44"/>
        <item m="1" x="41"/>
        <item m="1" x="27"/>
        <item m="1" x="3"/>
        <item m="1" x="24"/>
        <item m="1" x="68"/>
        <item m="1" x="37"/>
        <item m="1" x="61"/>
        <item m="1" x="59"/>
        <item m="1" x="66"/>
        <item m="1" x="33"/>
        <item m="1" x="8"/>
        <item m="1" x="48"/>
        <item m="1" x="5"/>
        <item m="1" x="39"/>
        <item m="1" x="26"/>
        <item m="1" x="15"/>
        <item m="1" x="6"/>
        <item m="1" x="49"/>
        <item m="1" x="63"/>
        <item m="1" x="9"/>
        <item m="1" x="50"/>
        <item m="1" x="4"/>
        <item m="1" x="51"/>
        <item m="1" x="38"/>
        <item x="0"/>
      </items>
    </pivotField>
    <pivotField axis="axisRow" compact="0" showAll="0" sortType="ascending">
      <items count="52">
        <item x="1"/>
        <item m="1" x="12"/>
        <item m="1" x="15"/>
        <item m="1" x="40"/>
        <item m="1" x="14"/>
        <item m="1" x="39"/>
        <item m="1" x="5"/>
        <item m="1" x="27"/>
        <item m="1" x="2"/>
        <item m="1" x="29"/>
        <item m="1" x="24"/>
        <item m="1" x="7"/>
        <item m="1" x="28"/>
        <item m="1" x="20"/>
        <item m="1" x="50"/>
        <item m="1" x="11"/>
        <item m="1" x="47"/>
        <item m="1" x="38"/>
        <item m="1" x="25"/>
        <item m="1" x="9"/>
        <item m="1" x="46"/>
        <item m="1" x="36"/>
        <item m="1" x="22"/>
        <item m="1" x="8"/>
        <item m="1" x="45"/>
        <item m="1" x="35"/>
        <item m="1" x="21"/>
        <item m="1" x="6"/>
        <item m="1" x="44"/>
        <item m="1" x="34"/>
        <item m="1" x="19"/>
        <item m="1" x="4"/>
        <item m="1" x="43"/>
        <item m="1" x="33"/>
        <item m="1" x="18"/>
        <item m="1" x="30"/>
        <item m="1" x="41"/>
        <item m="1" x="32"/>
        <item m="1" x="49"/>
        <item m="1" x="17"/>
        <item m="1" x="42"/>
        <item m="1" x="23"/>
        <item m="1" x="37"/>
        <item m="1" x="48"/>
        <item m="1" x="31"/>
        <item m="1" x="26"/>
        <item m="1" x="3"/>
        <item m="1" x="16"/>
        <item m="1" x="10"/>
        <item m="1" x="13"/>
        <item x="0"/>
        <item t="default"/>
      </items>
    </pivotField>
    <pivotField axis="axisRow" compact="0" showAll="0" sortType="ascending">
      <items count="61">
        <item x="1"/>
        <item m="1" x="10"/>
        <item m="1" x="16"/>
        <item m="1" x="24"/>
        <item m="1" x="22"/>
        <item m="1" x="31"/>
        <item m="1" x="44"/>
        <item m="1" x="21"/>
        <item m="1" x="9"/>
        <item m="1" x="54"/>
        <item m="1" x="40"/>
        <item m="1" x="23"/>
        <item m="1" x="32"/>
        <item m="1" x="15"/>
        <item m="1" x="58"/>
        <item m="1" x="7"/>
        <item m="1" x="53"/>
        <item m="1" x="37"/>
        <item m="1" x="46"/>
        <item m="1" x="29"/>
        <item m="1" x="13"/>
        <item m="1" x="19"/>
        <item m="1" x="4"/>
        <item m="1" x="50"/>
        <item m="1" x="56"/>
        <item m="1" x="43"/>
        <item m="1" x="27"/>
        <item m="1" x="25"/>
        <item m="1" x="18"/>
        <item m="1" x="11"/>
        <item m="1" x="30"/>
        <item m="1" x="36"/>
        <item m="1" x="5"/>
        <item m="1" x="12"/>
        <item m="1" x="45"/>
        <item m="1" x="49"/>
        <item m="1" x="17"/>
        <item m="1" x="26"/>
        <item m="1" x="55"/>
        <item m="1" x="2"/>
        <item m="1" x="34"/>
        <item m="1" x="39"/>
        <item m="1" x="48"/>
        <item m="1" x="41"/>
        <item m="1" x="59"/>
        <item m="1" x="33"/>
        <item m="1" x="38"/>
        <item m="1" x="8"/>
        <item m="1" x="14"/>
        <item m="1" x="47"/>
        <item m="1" x="52"/>
        <item m="1" x="20"/>
        <item m="1" x="28"/>
        <item m="1" x="57"/>
        <item m="1" x="3"/>
        <item m="1" x="35"/>
        <item m="1" x="42"/>
        <item m="1" x="6"/>
        <item m="1" x="51"/>
        <item x="0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</pivotFields>
  <rowFields count="8">
    <field x="0"/>
    <field x="1"/>
    <field x="2"/>
    <field x="26"/>
    <field x="27"/>
    <field x="24"/>
    <field x="25"/>
    <field x="3"/>
  </rowFields>
  <rowItems count="1"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4444" fld="28" baseField="27" baseItem="1" numFmtId="1"/>
    <dataField name="1111" fld="38" baseField="0" baseItem="0" numFmtId="1"/>
    <dataField name="2222" fld="39" baseField="0" baseItem="0" numFmtId="1"/>
    <dataField name="3333" fld="40" baseField="0" baseItem="0" numFmtId="1"/>
    <dataField name="5555" fld="41" baseField="0" baseItem="0" numFmtId="1"/>
    <dataField name="6666" fld="42" baseField="0" baseItem="0" numFmtId="1"/>
    <dataField name="7777" fld="43" baseField="0" baseItem="0" numFmtId="1"/>
    <dataField name="8888" fld="44" baseField="0" baseItem="0" numFmtId="1"/>
    <dataField name="9999" fld="45" baseField="0" baseItem="0" numFmtId="1"/>
    <dataField name="0000" fld="46" baseField="0" baseItem="0" numFmtId="1"/>
  </dataFields>
  <formats count="44">
    <format dxfId="43">
      <pivotArea dataOnly="0" labelOnly="1" fieldPosition="0">
        <references count="1">
          <reference field="24" count="0"/>
        </references>
      </pivotArea>
    </format>
    <format dxfId="42">
      <pivotArea dataOnly="0" labelOnly="1" fieldPosition="0">
        <references count="1">
          <reference field="24" count="0"/>
        </references>
      </pivotArea>
    </format>
    <format dxfId="41">
      <pivotArea dataOnly="0" labelOnly="1" fieldPosition="0">
        <references count="1">
          <reference field="25" count="0"/>
        </references>
      </pivotArea>
    </format>
    <format dxfId="40">
      <pivotArea field="26" type="button" dataOnly="0" labelOnly="1" outline="0" axis="axisRow" fieldPosition="3"/>
    </format>
    <format dxfId="39">
      <pivotArea field="27" type="button" dataOnly="0" labelOnly="1" outline="0" axis="axisRow" fieldPosition="4"/>
    </format>
    <format dxfId="38">
      <pivotArea field="26" type="button" dataOnly="0" labelOnly="1" outline="0" axis="axisRow" fieldPosition="3"/>
    </format>
    <format dxfId="37">
      <pivotArea field="27" type="button" dataOnly="0" labelOnly="1" outline="0" axis="axisRow" fieldPosition="4"/>
    </format>
    <format dxfId="36">
      <pivotArea field="24" type="button" dataOnly="0" labelOnly="1" outline="0" axis="axisRow" fieldPosition="5"/>
    </format>
    <format dxfId="35">
      <pivotArea field="25" type="button" dataOnly="0" labelOnly="1" outline="0" axis="axisRow" fieldPosition="6"/>
    </format>
    <format dxfId="34">
      <pivotArea field="26" type="button" dataOnly="0" labelOnly="1" outline="0" axis="axisRow" fieldPosition="3"/>
    </format>
    <format dxfId="33">
      <pivotArea field="27" type="button" dataOnly="0" labelOnly="1" outline="0" axis="axisRow" fieldPosition="4"/>
    </format>
    <format dxfId="32">
      <pivotArea field="24" type="button" dataOnly="0" labelOnly="1" outline="0" axis="axisRow" fieldPosition="5"/>
    </format>
    <format dxfId="31">
      <pivotArea field="25" type="button" dataOnly="0" labelOnly="1" outline="0" axis="axisRow" fieldPosition="6"/>
    </format>
    <format dxfId="30">
      <pivotArea field="26" type="button" dataOnly="0" labelOnly="1" outline="0" axis="axisRow" fieldPosition="3"/>
    </format>
    <format dxfId="29">
      <pivotArea field="27" type="button" dataOnly="0" labelOnly="1" outline="0" axis="axisRow" fieldPosition="4"/>
    </format>
    <format dxfId="28">
      <pivotArea field="24" type="button" dataOnly="0" labelOnly="1" outline="0" axis="axisRow" fieldPosition="5"/>
    </format>
    <format dxfId="27">
      <pivotArea field="25" type="button" dataOnly="0" labelOnly="1" outline="0" axis="axisRow" fieldPosition="6"/>
    </format>
    <format dxfId="26">
      <pivotArea field="26" type="button" dataOnly="0" labelOnly="1" outline="0" axis="axisRow" fieldPosition="3"/>
    </format>
    <format dxfId="25">
      <pivotArea field="27" type="button" dataOnly="0" labelOnly="1" outline="0" axis="axisRow" fieldPosition="4"/>
    </format>
    <format dxfId="24">
      <pivotArea field="24" type="button" dataOnly="0" labelOnly="1" outline="0" axis="axisRow" fieldPosition="5"/>
    </format>
    <format dxfId="23">
      <pivotArea field="25" type="button" dataOnly="0" labelOnly="1" outline="0" axis="axisRow" fieldPosition="6"/>
    </format>
    <format dxfId="22">
      <pivotArea field="26" type="button" dataOnly="0" labelOnly="1" outline="0" axis="axisRow" fieldPosition="3"/>
    </format>
    <format dxfId="21">
      <pivotArea field="27" type="button" dataOnly="0" labelOnly="1" outline="0" axis="axisRow" fieldPosition="4"/>
    </format>
    <format dxfId="20">
      <pivotArea field="24" type="button" dataOnly="0" labelOnly="1" outline="0" axis="axisRow" fieldPosition="5"/>
    </format>
    <format dxfId="19">
      <pivotArea field="25" type="button" dataOnly="0" labelOnly="1" outline="0" axis="axisRow" fieldPosition="6"/>
    </format>
    <format dxfId="18">
      <pivotArea dataOnly="0" labelOnly="1" fieldPosition="0">
        <references count="1">
          <reference field="26" count="0"/>
        </references>
      </pivotArea>
    </format>
    <format dxfId="17">
      <pivotArea dataOnly="0" labelOnly="1" fieldPosition="0">
        <references count="1">
          <reference field="26" count="0"/>
        </references>
      </pivotArea>
    </format>
    <format dxfId="16">
      <pivotArea dataOnly="0" labelOnly="1" fieldPosition="0">
        <references count="1">
          <reference field="27" count="0"/>
        </references>
      </pivotArea>
    </format>
    <format dxfId="15">
      <pivotArea dataOnly="0" labelOnly="1" fieldPosition="0">
        <references count="1">
          <reference field="24" count="0"/>
        </references>
      </pivotArea>
    </format>
    <format dxfId="14">
      <pivotArea dataOnly="0" labelOnly="1" fieldPosition="0">
        <references count="1">
          <reference field="24" count="0"/>
        </references>
      </pivotArea>
    </format>
    <format dxfId="13">
      <pivotArea dataOnly="0" labelOnly="1" fieldPosition="0">
        <references count="1">
          <reference field="25" count="0"/>
        </references>
      </pivotArea>
    </format>
    <format dxfId="12">
      <pivotArea dataOnly="0" labelOnly="1" fieldPosition="0">
        <references count="1">
          <reference field="25" count="0"/>
        </references>
      </pivotArea>
    </format>
    <format dxfId="11">
      <pivotArea dataOnly="0" labelOnly="1" fieldPosition="0">
        <references count="1">
          <reference field="24" count="0"/>
        </references>
      </pivotArea>
    </format>
    <format dxfId="10">
      <pivotArea dataOnly="0" labelOnly="1" fieldPosition="0">
        <references count="1">
          <reference field="24" count="0"/>
        </references>
      </pivotArea>
    </format>
    <format dxfId="9">
      <pivotArea dataOnly="0" labelOnly="1" fieldPosition="0">
        <references count="1">
          <reference field="24" count="0"/>
        </references>
      </pivotArea>
    </format>
    <format dxfId="8">
      <pivotArea dataOnly="0" labelOnly="1" fieldPosition="0">
        <references count="1">
          <reference field="24" count="0"/>
        </references>
      </pivotArea>
    </format>
    <format dxfId="7">
      <pivotArea dataOnly="0" labelOnly="1" fieldPosition="0">
        <references count="1">
          <reference field="24" count="0"/>
        </references>
      </pivotArea>
    </format>
    <format dxfId="6">
      <pivotArea dataOnly="0" labelOnly="1" fieldPosition="0">
        <references count="1">
          <reference field="25" count="0"/>
        </references>
      </pivotArea>
    </format>
    <format dxfId="5">
      <pivotArea dataOnly="0" labelOnly="1" fieldPosition="0">
        <references count="1">
          <reference field="24" count="0"/>
        </references>
      </pivotArea>
    </format>
    <format dxfId="4">
      <pivotArea dataOnly="0" labelOnly="1" fieldPosition="0">
        <references count="1">
          <reference field="24" count="0"/>
        </references>
      </pivotArea>
    </format>
    <format dxfId="3">
      <pivotArea dataOnly="0" labelOnly="1" fieldPosition="0">
        <references count="1">
          <reference field="26" count="0"/>
        </references>
      </pivotArea>
    </format>
    <format dxfId="2">
      <pivotArea dataOnly="0" labelOnly="1" fieldPosition="0">
        <references count="1">
          <reference field="27" count="0"/>
        </references>
      </pivotArea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Focchi 2" showRowHeaders="1" showColHeaders="0" showRowStripes="0" showColStripes="0" showLastColumn="1"/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WA299"/>
  <sheetViews>
    <sheetView showGridLines="0" tabSelected="1" zoomScaleNormal="100" workbookViewId="0">
      <pane xSplit="47" ySplit="7" topLeftCell="AV8" activePane="bottomRight" state="frozen"/>
      <selection pane="topRight" activeCell="AL1" sqref="AL1"/>
      <selection pane="bottomLeft" activeCell="A8" sqref="A8"/>
      <selection pane="bottomRight" activeCell="D2" sqref="D2"/>
    </sheetView>
  </sheetViews>
  <sheetFormatPr defaultColWidth="2.54296875" defaultRowHeight="12.5" outlineLevelCol="1" x14ac:dyDescent="0.25"/>
  <cols>
    <col min="1" max="1" width="15.1796875" style="7" customWidth="1"/>
    <col min="2" max="3" width="24.81640625" style="7" customWidth="1"/>
    <col min="4" max="4" width="28.1796875" style="7" bestFit="1" customWidth="1"/>
    <col min="5" max="12" width="3.26953125" style="7" customWidth="1"/>
    <col min="13" max="13" width="6" style="7" bestFit="1" customWidth="1"/>
    <col min="14" max="15" width="5.54296875" style="7" customWidth="1"/>
    <col min="16" max="18" width="5.54296875" style="7" hidden="1" customWidth="1"/>
    <col min="19" max="21" width="5.54296875" style="7" customWidth="1"/>
    <col min="22" max="23" width="5.54296875" style="7" hidden="1" customWidth="1"/>
    <col min="24" max="24" width="4.81640625" style="7" hidden="1" customWidth="1"/>
    <col min="25" max="26" width="9.26953125" style="7" hidden="1" customWidth="1"/>
    <col min="27" max="27" width="7.1796875" style="7" customWidth="1"/>
    <col min="28" max="28" width="6.7265625" style="7" customWidth="1"/>
    <col min="29" max="30" width="7.26953125" style="7" customWidth="1"/>
    <col min="31" max="38" width="7.26953125" style="7" hidden="1" customWidth="1" outlineLevel="1"/>
    <col min="39" max="39" width="10.453125" style="7" customWidth="1" collapsed="1"/>
    <col min="40" max="47" width="7.26953125" style="7" hidden="1" customWidth="1" outlineLevel="1"/>
    <col min="48" max="48" width="7.26953125" style="79" customWidth="1" collapsed="1"/>
    <col min="49" max="116" width="5.7265625" style="7" customWidth="1"/>
    <col min="117" max="117" width="7.26953125" style="79" customWidth="1"/>
    <col min="118" max="185" width="5.7265625" style="7" customWidth="1"/>
    <col min="186" max="186" width="7.26953125" style="79" customWidth="1"/>
    <col min="187" max="254" width="5.7265625" style="7" customWidth="1"/>
    <col min="255" max="255" width="7.26953125" style="79" customWidth="1"/>
    <col min="256" max="323" width="5.7265625" style="7" customWidth="1"/>
    <col min="324" max="324" width="7.26953125" style="79" customWidth="1"/>
    <col min="325" max="392" width="5.7265625" style="7" customWidth="1"/>
    <col min="393" max="393" width="7.26953125" style="79" customWidth="1"/>
    <col min="394" max="461" width="5.7265625" style="7" customWidth="1"/>
    <col min="462" max="462" width="7.26953125" style="79" customWidth="1"/>
    <col min="463" max="530" width="5.7265625" style="7" customWidth="1"/>
    <col min="531" max="531" width="7.26953125" style="79" customWidth="1"/>
    <col min="532" max="599" width="5.7265625" style="7" customWidth="1"/>
    <col min="600" max="16384" width="2.54296875" style="7"/>
  </cols>
  <sheetData>
    <row r="1" spans="1:599" s="26" customFormat="1" ht="33" customHeight="1" x14ac:dyDescent="0.25">
      <c r="A1" s="56" t="s">
        <v>28</v>
      </c>
      <c r="B1" s="54"/>
      <c r="C1" s="34" t="s">
        <v>33</v>
      </c>
      <c r="D1" s="54" t="s">
        <v>81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14" t="s">
        <v>82</v>
      </c>
      <c r="AB1" s="211"/>
      <c r="AC1" s="193" t="s">
        <v>32</v>
      </c>
      <c r="AD1" s="194"/>
      <c r="AE1" s="96"/>
      <c r="AF1" s="98"/>
      <c r="AG1" s="98"/>
      <c r="AH1" s="98"/>
      <c r="AI1" s="98"/>
      <c r="AJ1" s="98"/>
      <c r="AK1" s="98"/>
      <c r="AL1" s="94"/>
      <c r="AM1" s="80" t="s">
        <v>31</v>
      </c>
      <c r="AN1" s="64"/>
      <c r="AO1" s="25"/>
      <c r="AP1" s="25"/>
      <c r="AQ1" s="25"/>
      <c r="AR1" s="25"/>
      <c r="AS1" s="25"/>
      <c r="AT1" s="25"/>
      <c r="AU1" s="25"/>
      <c r="AV1" s="106"/>
      <c r="AW1" s="62" t="s">
        <v>39</v>
      </c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113"/>
      <c r="DN1" s="114" t="s">
        <v>39</v>
      </c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9"/>
      <c r="GE1" s="120" t="s">
        <v>39</v>
      </c>
      <c r="GF1" s="121"/>
      <c r="GG1" s="121"/>
      <c r="GH1" s="121"/>
      <c r="GI1" s="121"/>
      <c r="GJ1" s="121"/>
      <c r="GK1" s="121"/>
      <c r="GL1" s="121"/>
      <c r="GM1" s="121"/>
      <c r="GN1" s="121"/>
      <c r="GO1" s="121"/>
      <c r="GP1" s="121"/>
      <c r="GQ1" s="121"/>
      <c r="GR1" s="121"/>
      <c r="GS1" s="121"/>
      <c r="GT1" s="121"/>
      <c r="GU1" s="121"/>
      <c r="GV1" s="121"/>
      <c r="GW1" s="121"/>
      <c r="GX1" s="121"/>
      <c r="GY1" s="121"/>
      <c r="GZ1" s="121"/>
      <c r="HA1" s="121"/>
      <c r="HB1" s="121"/>
      <c r="HC1" s="121"/>
      <c r="HD1" s="121"/>
      <c r="HE1" s="121"/>
      <c r="HF1" s="121"/>
      <c r="HG1" s="121"/>
      <c r="HH1" s="121"/>
      <c r="HI1" s="121"/>
      <c r="HJ1" s="121"/>
      <c r="HK1" s="121"/>
      <c r="HL1" s="121"/>
      <c r="HM1" s="121"/>
      <c r="HN1" s="121"/>
      <c r="HO1" s="121"/>
      <c r="HP1" s="121"/>
      <c r="HQ1" s="121"/>
      <c r="HR1" s="121"/>
      <c r="HS1" s="121"/>
      <c r="HT1" s="121"/>
      <c r="HU1" s="121"/>
      <c r="HV1" s="121"/>
      <c r="HW1" s="121"/>
      <c r="HX1" s="121"/>
      <c r="HY1" s="121"/>
      <c r="HZ1" s="121"/>
      <c r="IA1" s="121"/>
      <c r="IB1" s="121"/>
      <c r="IC1" s="121"/>
      <c r="ID1" s="121"/>
      <c r="IE1" s="121"/>
      <c r="IF1" s="121"/>
      <c r="IG1" s="121"/>
      <c r="IH1" s="121"/>
      <c r="II1" s="121"/>
      <c r="IJ1" s="121"/>
      <c r="IK1" s="121"/>
      <c r="IL1" s="121"/>
      <c r="IM1" s="121"/>
      <c r="IN1" s="121"/>
      <c r="IO1" s="121"/>
      <c r="IP1" s="121"/>
      <c r="IQ1" s="121"/>
      <c r="IR1" s="121"/>
      <c r="IS1" s="121"/>
      <c r="IT1" s="121"/>
      <c r="IU1" s="128"/>
      <c r="IV1" s="129" t="s">
        <v>39</v>
      </c>
      <c r="IW1" s="130"/>
      <c r="IX1" s="130"/>
      <c r="IY1" s="130"/>
      <c r="IZ1" s="130"/>
      <c r="JA1" s="130"/>
      <c r="JB1" s="130"/>
      <c r="JC1" s="130"/>
      <c r="JD1" s="130"/>
      <c r="JE1" s="130"/>
      <c r="JF1" s="130"/>
      <c r="JG1" s="130"/>
      <c r="JH1" s="130"/>
      <c r="JI1" s="130"/>
      <c r="JJ1" s="130"/>
      <c r="JK1" s="130"/>
      <c r="JL1" s="130"/>
      <c r="JM1" s="130"/>
      <c r="JN1" s="130"/>
      <c r="JO1" s="130"/>
      <c r="JP1" s="130"/>
      <c r="JQ1" s="130"/>
      <c r="JR1" s="130"/>
      <c r="JS1" s="130"/>
      <c r="JT1" s="130"/>
      <c r="JU1" s="130"/>
      <c r="JV1" s="130"/>
      <c r="JW1" s="130"/>
      <c r="JX1" s="130"/>
      <c r="JY1" s="130"/>
      <c r="JZ1" s="130"/>
      <c r="KA1" s="130"/>
      <c r="KB1" s="130"/>
      <c r="KC1" s="130"/>
      <c r="KD1" s="130"/>
      <c r="KE1" s="130"/>
      <c r="KF1" s="130"/>
      <c r="KG1" s="130"/>
      <c r="KH1" s="130"/>
      <c r="KI1" s="130"/>
      <c r="KJ1" s="130"/>
      <c r="KK1" s="130"/>
      <c r="KL1" s="130"/>
      <c r="KM1" s="130"/>
      <c r="KN1" s="130"/>
      <c r="KO1" s="130"/>
      <c r="KP1" s="130"/>
      <c r="KQ1" s="130"/>
      <c r="KR1" s="130"/>
      <c r="KS1" s="130"/>
      <c r="KT1" s="130"/>
      <c r="KU1" s="130"/>
      <c r="KV1" s="130"/>
      <c r="KW1" s="130"/>
      <c r="KX1" s="130"/>
      <c r="KY1" s="130"/>
      <c r="KZ1" s="130"/>
      <c r="LA1" s="130"/>
      <c r="LB1" s="130"/>
      <c r="LC1" s="130"/>
      <c r="LD1" s="130"/>
      <c r="LE1" s="130"/>
      <c r="LF1" s="130"/>
      <c r="LG1" s="130"/>
      <c r="LH1" s="130"/>
      <c r="LI1" s="130"/>
      <c r="LJ1" s="130"/>
      <c r="LK1" s="130"/>
      <c r="LL1" s="125"/>
      <c r="LM1" s="126" t="s">
        <v>39</v>
      </c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7"/>
      <c r="LZ1" s="127"/>
      <c r="MA1" s="127"/>
      <c r="MB1" s="127"/>
      <c r="MC1" s="127"/>
      <c r="MD1" s="127"/>
      <c r="ME1" s="127"/>
      <c r="MF1" s="127"/>
      <c r="MG1" s="127"/>
      <c r="MH1" s="127"/>
      <c r="MI1" s="127"/>
      <c r="MJ1" s="127"/>
      <c r="MK1" s="127"/>
      <c r="ML1" s="127"/>
      <c r="MM1" s="127"/>
      <c r="MN1" s="127"/>
      <c r="MO1" s="127"/>
      <c r="MP1" s="127"/>
      <c r="MQ1" s="127"/>
      <c r="MR1" s="127"/>
      <c r="MS1" s="127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7"/>
      <c r="NQ1" s="127"/>
      <c r="NR1" s="127"/>
      <c r="NS1" s="127"/>
      <c r="NT1" s="127"/>
      <c r="NU1" s="127"/>
      <c r="NV1" s="127"/>
      <c r="NW1" s="127"/>
      <c r="NX1" s="127"/>
      <c r="NY1" s="127"/>
      <c r="NZ1" s="127"/>
      <c r="OA1" s="127"/>
      <c r="OB1" s="127"/>
      <c r="OC1" s="140"/>
      <c r="OD1" s="141" t="s">
        <v>39</v>
      </c>
      <c r="OE1" s="142"/>
      <c r="OF1" s="142"/>
      <c r="OG1" s="142"/>
      <c r="OH1" s="142"/>
      <c r="OI1" s="142"/>
      <c r="OJ1" s="142"/>
      <c r="OK1" s="142"/>
      <c r="OL1" s="142"/>
      <c r="OM1" s="142"/>
      <c r="ON1" s="142"/>
      <c r="OO1" s="142"/>
      <c r="OP1" s="142"/>
      <c r="OQ1" s="142"/>
      <c r="OR1" s="142"/>
      <c r="OS1" s="142"/>
      <c r="OT1" s="142"/>
      <c r="OU1" s="142"/>
      <c r="OV1" s="142"/>
      <c r="OW1" s="142"/>
      <c r="OX1" s="142"/>
      <c r="OY1" s="142"/>
      <c r="OZ1" s="142"/>
      <c r="PA1" s="142"/>
      <c r="PB1" s="142"/>
      <c r="PC1" s="142"/>
      <c r="PD1" s="142"/>
      <c r="PE1" s="142"/>
      <c r="PF1" s="142"/>
      <c r="PG1" s="142"/>
      <c r="PH1" s="142"/>
      <c r="PI1" s="142"/>
      <c r="PJ1" s="142"/>
      <c r="PK1" s="142"/>
      <c r="PL1" s="142"/>
      <c r="PM1" s="142"/>
      <c r="PN1" s="142"/>
      <c r="PO1" s="142"/>
      <c r="PP1" s="142"/>
      <c r="PQ1" s="142"/>
      <c r="PR1" s="142"/>
      <c r="PS1" s="142"/>
      <c r="PT1" s="142"/>
      <c r="PU1" s="142"/>
      <c r="PV1" s="142"/>
      <c r="PW1" s="142"/>
      <c r="PX1" s="142"/>
      <c r="PY1" s="142"/>
      <c r="PZ1" s="142"/>
      <c r="QA1" s="142"/>
      <c r="QB1" s="142"/>
      <c r="QC1" s="142"/>
      <c r="QD1" s="142"/>
      <c r="QE1" s="142"/>
      <c r="QF1" s="142"/>
      <c r="QG1" s="142"/>
      <c r="QH1" s="142"/>
      <c r="QI1" s="142"/>
      <c r="QJ1" s="142"/>
      <c r="QK1" s="142"/>
      <c r="QL1" s="142"/>
      <c r="QM1" s="142"/>
      <c r="QN1" s="142"/>
      <c r="QO1" s="142"/>
      <c r="QP1" s="142"/>
      <c r="QQ1" s="142"/>
      <c r="QR1" s="142"/>
      <c r="QS1" s="142"/>
      <c r="QT1" s="137"/>
      <c r="QU1" s="138" t="s">
        <v>39</v>
      </c>
      <c r="QV1" s="139"/>
      <c r="QW1" s="139"/>
      <c r="QX1" s="139"/>
      <c r="QY1" s="139"/>
      <c r="QZ1" s="139"/>
      <c r="RA1" s="139"/>
      <c r="RB1" s="139"/>
      <c r="RC1" s="139"/>
      <c r="RD1" s="139"/>
      <c r="RE1" s="139"/>
      <c r="RF1" s="139"/>
      <c r="RG1" s="139"/>
      <c r="RH1" s="139"/>
      <c r="RI1" s="139"/>
      <c r="RJ1" s="139"/>
      <c r="RK1" s="139"/>
      <c r="RL1" s="139"/>
      <c r="RM1" s="139"/>
      <c r="RN1" s="139"/>
      <c r="RO1" s="139"/>
      <c r="RP1" s="139"/>
      <c r="RQ1" s="139"/>
      <c r="RR1" s="139"/>
      <c r="RS1" s="139"/>
      <c r="RT1" s="139"/>
      <c r="RU1" s="139"/>
      <c r="RV1" s="139"/>
      <c r="RW1" s="139"/>
      <c r="RX1" s="139"/>
      <c r="RY1" s="139"/>
      <c r="RZ1" s="139"/>
      <c r="SA1" s="139"/>
      <c r="SB1" s="139"/>
      <c r="SC1" s="139"/>
      <c r="SD1" s="139"/>
      <c r="SE1" s="139"/>
      <c r="SF1" s="139"/>
      <c r="SG1" s="139"/>
      <c r="SH1" s="139"/>
      <c r="SI1" s="139"/>
      <c r="SJ1" s="139"/>
      <c r="SK1" s="139"/>
      <c r="SL1" s="139"/>
      <c r="SM1" s="139"/>
      <c r="SN1" s="139"/>
      <c r="SO1" s="139"/>
      <c r="SP1" s="139"/>
      <c r="SQ1" s="139"/>
      <c r="SR1" s="139"/>
      <c r="SS1" s="139"/>
      <c r="ST1" s="139"/>
      <c r="SU1" s="139"/>
      <c r="SV1" s="139"/>
      <c r="SW1" s="139"/>
      <c r="SX1" s="139"/>
      <c r="SY1" s="139"/>
      <c r="SZ1" s="139"/>
      <c r="TA1" s="139"/>
      <c r="TB1" s="139"/>
      <c r="TC1" s="139"/>
      <c r="TD1" s="139"/>
      <c r="TE1" s="139"/>
      <c r="TF1" s="139"/>
      <c r="TG1" s="139"/>
      <c r="TH1" s="139"/>
      <c r="TI1" s="139"/>
      <c r="TJ1" s="139"/>
      <c r="TK1" s="149"/>
      <c r="TL1" s="150" t="s">
        <v>39</v>
      </c>
      <c r="TM1" s="151"/>
      <c r="TN1" s="151"/>
      <c r="TO1" s="151"/>
      <c r="TP1" s="151"/>
      <c r="TQ1" s="151"/>
      <c r="TR1" s="151"/>
      <c r="TS1" s="151"/>
      <c r="TT1" s="151"/>
      <c r="TU1" s="151"/>
      <c r="TV1" s="151"/>
      <c r="TW1" s="151"/>
      <c r="TX1" s="151"/>
      <c r="TY1" s="151"/>
      <c r="TZ1" s="151"/>
      <c r="UA1" s="151"/>
      <c r="UB1" s="151"/>
      <c r="UC1" s="151"/>
      <c r="UD1" s="151"/>
      <c r="UE1" s="151"/>
      <c r="UF1" s="151"/>
      <c r="UG1" s="151"/>
      <c r="UH1" s="151"/>
      <c r="UI1" s="151"/>
      <c r="UJ1" s="151"/>
      <c r="UK1" s="151"/>
      <c r="UL1" s="151"/>
      <c r="UM1" s="151"/>
      <c r="UN1" s="151"/>
      <c r="UO1" s="151"/>
      <c r="UP1" s="151"/>
      <c r="UQ1" s="151"/>
      <c r="UR1" s="151"/>
      <c r="US1" s="151"/>
      <c r="UT1" s="151"/>
      <c r="UU1" s="151"/>
      <c r="UV1" s="151"/>
      <c r="UW1" s="151"/>
      <c r="UX1" s="151"/>
      <c r="UY1" s="151"/>
      <c r="UZ1" s="151"/>
      <c r="VA1" s="151"/>
      <c r="VB1" s="151"/>
      <c r="VC1" s="151"/>
      <c r="VD1" s="151"/>
      <c r="VE1" s="151"/>
      <c r="VF1" s="151"/>
      <c r="VG1" s="151"/>
      <c r="VH1" s="151"/>
      <c r="VI1" s="151"/>
      <c r="VJ1" s="151"/>
      <c r="VK1" s="151"/>
      <c r="VL1" s="151"/>
      <c r="VM1" s="151"/>
      <c r="VN1" s="151"/>
      <c r="VO1" s="151"/>
      <c r="VP1" s="151"/>
      <c r="VQ1" s="151"/>
      <c r="VR1" s="151"/>
      <c r="VS1" s="151"/>
      <c r="VT1" s="151"/>
      <c r="VU1" s="151"/>
      <c r="VV1" s="151"/>
      <c r="VW1" s="151"/>
      <c r="VX1" s="151"/>
      <c r="VY1" s="151"/>
      <c r="VZ1" s="151"/>
      <c r="WA1" s="151"/>
    </row>
    <row r="2" spans="1:599" s="24" customFormat="1" ht="33" customHeight="1" thickBot="1" x14ac:dyDescent="0.3">
      <c r="A2" s="35" t="s">
        <v>30</v>
      </c>
      <c r="B2" s="37"/>
      <c r="C2" s="35" t="s">
        <v>29</v>
      </c>
      <c r="D2" s="38"/>
      <c r="E2" s="36"/>
      <c r="F2" s="36"/>
      <c r="G2" s="36"/>
      <c r="H2" s="36"/>
      <c r="I2" s="36"/>
      <c r="J2" s="36"/>
      <c r="K2" s="36"/>
      <c r="L2" s="36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6"/>
      <c r="AC2" s="205">
        <f>SUM(AM7:AM298)</f>
        <v>0</v>
      </c>
      <c r="AD2" s="206"/>
      <c r="AE2" s="97"/>
      <c r="AF2" s="99"/>
      <c r="AG2" s="99"/>
      <c r="AH2" s="99"/>
      <c r="AI2" s="99"/>
      <c r="AJ2" s="99"/>
      <c r="AK2" s="99"/>
      <c r="AL2" s="95"/>
      <c r="AM2" s="63">
        <f>AC299</f>
        <v>0</v>
      </c>
      <c r="AN2" s="65"/>
      <c r="AO2" s="27"/>
      <c r="AP2" s="27"/>
      <c r="AQ2" s="27"/>
      <c r="AR2" s="27"/>
      <c r="AS2" s="27"/>
      <c r="AT2" s="27"/>
      <c r="AU2" s="27"/>
      <c r="AV2" s="107"/>
      <c r="AW2" s="112" t="s">
        <v>58</v>
      </c>
      <c r="AX2" s="28"/>
      <c r="AY2" s="28"/>
      <c r="AZ2" s="28"/>
      <c r="BA2" s="28"/>
      <c r="BB2" s="28"/>
      <c r="BC2" s="28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/>
      <c r="BQ2" s="28"/>
      <c r="BR2" s="28"/>
      <c r="BS2" s="28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8"/>
      <c r="CG2" s="28"/>
      <c r="CH2" s="28"/>
      <c r="CI2" s="28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8"/>
      <c r="CX2" s="28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30"/>
      <c r="DM2" s="107"/>
      <c r="DN2" s="112" t="s">
        <v>59</v>
      </c>
      <c r="DO2" s="28"/>
      <c r="DP2" s="28"/>
      <c r="DQ2" s="28"/>
      <c r="DR2" s="28"/>
      <c r="DS2" s="28"/>
      <c r="DT2" s="28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8"/>
      <c r="EH2" s="28"/>
      <c r="EI2" s="28"/>
      <c r="EJ2" s="28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8"/>
      <c r="EX2" s="28"/>
      <c r="EY2" s="28"/>
      <c r="EZ2" s="28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8"/>
      <c r="FO2" s="28"/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30"/>
      <c r="GD2" s="107"/>
      <c r="GE2" s="112" t="s">
        <v>60</v>
      </c>
      <c r="GF2" s="28"/>
      <c r="GG2" s="28"/>
      <c r="GH2" s="28"/>
      <c r="GI2" s="28"/>
      <c r="GJ2" s="28"/>
      <c r="GK2" s="28"/>
      <c r="GL2" s="29"/>
      <c r="GM2" s="29"/>
      <c r="GN2" s="29"/>
      <c r="GO2" s="29"/>
      <c r="GP2" s="29"/>
      <c r="GQ2" s="29"/>
      <c r="GR2" s="29"/>
      <c r="GS2" s="29"/>
      <c r="GT2" s="29"/>
      <c r="GU2" s="29"/>
      <c r="GV2" s="29"/>
      <c r="GW2" s="29"/>
      <c r="GX2" s="28"/>
      <c r="GY2" s="28"/>
      <c r="GZ2" s="28"/>
      <c r="HA2" s="28"/>
      <c r="HB2" s="29"/>
      <c r="HC2" s="29"/>
      <c r="HD2" s="29"/>
      <c r="HE2" s="29"/>
      <c r="HF2" s="29"/>
      <c r="HG2" s="29"/>
      <c r="HH2" s="29"/>
      <c r="HI2" s="29"/>
      <c r="HJ2" s="29"/>
      <c r="HK2" s="29"/>
      <c r="HL2" s="29"/>
      <c r="HM2" s="29"/>
      <c r="HN2" s="28"/>
      <c r="HO2" s="28"/>
      <c r="HP2" s="28"/>
      <c r="HQ2" s="28"/>
      <c r="HR2" s="29"/>
      <c r="HS2" s="29"/>
      <c r="HT2" s="29"/>
      <c r="HU2" s="29"/>
      <c r="HV2" s="29"/>
      <c r="HW2" s="29"/>
      <c r="HX2" s="29"/>
      <c r="HY2" s="29"/>
      <c r="HZ2" s="29"/>
      <c r="IA2" s="29"/>
      <c r="IB2" s="29"/>
      <c r="IC2" s="29"/>
      <c r="ID2" s="29"/>
      <c r="IE2" s="28"/>
      <c r="IF2" s="28"/>
      <c r="IG2" s="29"/>
      <c r="IH2" s="29"/>
      <c r="II2" s="29"/>
      <c r="IJ2" s="29"/>
      <c r="IK2" s="29"/>
      <c r="IL2" s="29"/>
      <c r="IM2" s="29"/>
      <c r="IN2" s="29"/>
      <c r="IO2" s="29"/>
      <c r="IP2" s="29"/>
      <c r="IQ2" s="29"/>
      <c r="IR2" s="29"/>
      <c r="IS2" s="29"/>
      <c r="IT2" s="30"/>
      <c r="IU2" s="107"/>
      <c r="IV2" s="112" t="s">
        <v>61</v>
      </c>
      <c r="IW2" s="28"/>
      <c r="IX2" s="28"/>
      <c r="IY2" s="28"/>
      <c r="IZ2" s="28"/>
      <c r="JA2" s="28"/>
      <c r="JB2" s="28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8"/>
      <c r="JP2" s="28"/>
      <c r="JQ2" s="28"/>
      <c r="JR2" s="28"/>
      <c r="JS2" s="29"/>
      <c r="JT2" s="29"/>
      <c r="JU2" s="29"/>
      <c r="JV2" s="29"/>
      <c r="JW2" s="29"/>
      <c r="JX2" s="29"/>
      <c r="JY2" s="29"/>
      <c r="JZ2" s="29"/>
      <c r="KA2" s="29"/>
      <c r="KB2" s="29"/>
      <c r="KC2" s="29"/>
      <c r="KD2" s="29"/>
      <c r="KE2" s="28"/>
      <c r="KF2" s="28"/>
      <c r="KG2" s="28"/>
      <c r="KH2" s="28"/>
      <c r="KI2" s="29"/>
      <c r="KJ2" s="29"/>
      <c r="KK2" s="29"/>
      <c r="KL2" s="29"/>
      <c r="KM2" s="29"/>
      <c r="KN2" s="29"/>
      <c r="KO2" s="29"/>
      <c r="KP2" s="29"/>
      <c r="KQ2" s="29"/>
      <c r="KR2" s="29"/>
      <c r="KS2" s="29"/>
      <c r="KT2" s="29"/>
      <c r="KU2" s="29"/>
      <c r="KV2" s="28"/>
      <c r="KW2" s="28"/>
      <c r="KX2" s="29"/>
      <c r="KY2" s="29"/>
      <c r="KZ2" s="29"/>
      <c r="LA2" s="29"/>
      <c r="LB2" s="29"/>
      <c r="LC2" s="29"/>
      <c r="LD2" s="29"/>
      <c r="LE2" s="29"/>
      <c r="LF2" s="29"/>
      <c r="LG2" s="29"/>
      <c r="LH2" s="29"/>
      <c r="LI2" s="29"/>
      <c r="LJ2" s="29"/>
      <c r="LK2" s="30"/>
      <c r="LL2" s="107"/>
      <c r="LM2" s="112" t="s">
        <v>62</v>
      </c>
      <c r="LN2" s="28"/>
      <c r="LO2" s="28"/>
      <c r="LP2" s="28"/>
      <c r="LQ2" s="28"/>
      <c r="LR2" s="28"/>
      <c r="LS2" s="28"/>
      <c r="LT2" s="29"/>
      <c r="LU2" s="29"/>
      <c r="LV2" s="29"/>
      <c r="LW2" s="29"/>
      <c r="LX2" s="29"/>
      <c r="LY2" s="29"/>
      <c r="LZ2" s="29"/>
      <c r="MA2" s="29"/>
      <c r="MB2" s="29"/>
      <c r="MC2" s="29"/>
      <c r="MD2" s="29"/>
      <c r="ME2" s="29"/>
      <c r="MF2" s="28"/>
      <c r="MG2" s="28"/>
      <c r="MH2" s="28"/>
      <c r="MI2" s="28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8"/>
      <c r="MW2" s="28"/>
      <c r="MX2" s="28"/>
      <c r="MY2" s="28"/>
      <c r="MZ2" s="29"/>
      <c r="NA2" s="29"/>
      <c r="NB2" s="29"/>
      <c r="NC2" s="29"/>
      <c r="ND2" s="29"/>
      <c r="NE2" s="29"/>
      <c r="NF2" s="29"/>
      <c r="NG2" s="29"/>
      <c r="NH2" s="29"/>
      <c r="NI2" s="29"/>
      <c r="NJ2" s="29"/>
      <c r="NK2" s="29"/>
      <c r="NL2" s="29"/>
      <c r="NM2" s="28"/>
      <c r="NN2" s="28"/>
      <c r="NO2" s="29"/>
      <c r="NP2" s="29"/>
      <c r="NQ2" s="29"/>
      <c r="NR2" s="29"/>
      <c r="NS2" s="29"/>
      <c r="NT2" s="29"/>
      <c r="NU2" s="29"/>
      <c r="NV2" s="29"/>
      <c r="NW2" s="29"/>
      <c r="NX2" s="29"/>
      <c r="NY2" s="29"/>
      <c r="NZ2" s="29"/>
      <c r="OA2" s="29"/>
      <c r="OB2" s="30"/>
      <c r="OC2" s="107"/>
      <c r="OD2" s="112" t="s">
        <v>63</v>
      </c>
      <c r="OE2" s="28"/>
      <c r="OF2" s="28"/>
      <c r="OG2" s="28"/>
      <c r="OH2" s="28"/>
      <c r="OI2" s="28"/>
      <c r="OJ2" s="28"/>
      <c r="OK2" s="29"/>
      <c r="OL2" s="29"/>
      <c r="OM2" s="29"/>
      <c r="ON2" s="29"/>
      <c r="OO2" s="29"/>
      <c r="OP2" s="29"/>
      <c r="OQ2" s="29"/>
      <c r="OR2" s="29"/>
      <c r="OS2" s="29"/>
      <c r="OT2" s="29"/>
      <c r="OU2" s="29"/>
      <c r="OV2" s="29"/>
      <c r="OW2" s="28"/>
      <c r="OX2" s="28"/>
      <c r="OY2" s="28"/>
      <c r="OZ2" s="28"/>
      <c r="PA2" s="29"/>
      <c r="PB2" s="29"/>
      <c r="PC2" s="29"/>
      <c r="PD2" s="29"/>
      <c r="PE2" s="29"/>
      <c r="PF2" s="29"/>
      <c r="PG2" s="29"/>
      <c r="PH2" s="29"/>
      <c r="PI2" s="29"/>
      <c r="PJ2" s="29"/>
      <c r="PK2" s="29"/>
      <c r="PL2" s="29"/>
      <c r="PM2" s="28"/>
      <c r="PN2" s="28"/>
      <c r="PO2" s="28"/>
      <c r="PP2" s="28"/>
      <c r="PQ2" s="29"/>
      <c r="PR2" s="29"/>
      <c r="PS2" s="29"/>
      <c r="PT2" s="29"/>
      <c r="PU2" s="29"/>
      <c r="PV2" s="29"/>
      <c r="PW2" s="29"/>
      <c r="PX2" s="29"/>
      <c r="PY2" s="29"/>
      <c r="PZ2" s="29"/>
      <c r="QA2" s="29"/>
      <c r="QB2" s="29"/>
      <c r="QC2" s="29"/>
      <c r="QD2" s="28"/>
      <c r="QE2" s="28"/>
      <c r="QF2" s="29"/>
      <c r="QG2" s="29"/>
      <c r="QH2" s="29"/>
      <c r="QI2" s="29"/>
      <c r="QJ2" s="29"/>
      <c r="QK2" s="29"/>
      <c r="QL2" s="29"/>
      <c r="QM2" s="29"/>
      <c r="QN2" s="29"/>
      <c r="QO2" s="29"/>
      <c r="QP2" s="29"/>
      <c r="QQ2" s="29"/>
      <c r="QR2" s="29"/>
      <c r="QS2" s="30"/>
      <c r="QT2" s="107"/>
      <c r="QU2" s="112" t="s">
        <v>64</v>
      </c>
      <c r="QV2" s="28"/>
      <c r="QW2" s="28"/>
      <c r="QX2" s="28"/>
      <c r="QY2" s="28"/>
      <c r="QZ2" s="28"/>
      <c r="RA2" s="28"/>
      <c r="RB2" s="29"/>
      <c r="RC2" s="29"/>
      <c r="RD2" s="29"/>
      <c r="RE2" s="29"/>
      <c r="RF2" s="29"/>
      <c r="RG2" s="29"/>
      <c r="RH2" s="29"/>
      <c r="RI2" s="29"/>
      <c r="RJ2" s="29"/>
      <c r="RK2" s="29"/>
      <c r="RL2" s="29"/>
      <c r="RM2" s="29"/>
      <c r="RN2" s="28"/>
      <c r="RO2" s="28"/>
      <c r="RP2" s="28"/>
      <c r="RQ2" s="28"/>
      <c r="RR2" s="29"/>
      <c r="RS2" s="29"/>
      <c r="RT2" s="29"/>
      <c r="RU2" s="29"/>
      <c r="RV2" s="29"/>
      <c r="RW2" s="29"/>
      <c r="RX2" s="29"/>
      <c r="RY2" s="29"/>
      <c r="RZ2" s="29"/>
      <c r="SA2" s="29"/>
      <c r="SB2" s="29"/>
      <c r="SC2" s="29"/>
      <c r="SD2" s="28"/>
      <c r="SE2" s="28"/>
      <c r="SF2" s="28"/>
      <c r="SG2" s="28"/>
      <c r="SH2" s="29"/>
      <c r="SI2" s="29"/>
      <c r="SJ2" s="29"/>
      <c r="SK2" s="29"/>
      <c r="SL2" s="29"/>
      <c r="SM2" s="29"/>
      <c r="SN2" s="29"/>
      <c r="SO2" s="29"/>
      <c r="SP2" s="29"/>
      <c r="SQ2" s="29"/>
      <c r="SR2" s="29"/>
      <c r="SS2" s="29"/>
      <c r="ST2" s="29"/>
      <c r="SU2" s="28"/>
      <c r="SV2" s="28"/>
      <c r="SW2" s="29"/>
      <c r="SX2" s="29"/>
      <c r="SY2" s="29"/>
      <c r="SZ2" s="29"/>
      <c r="TA2" s="29"/>
      <c r="TB2" s="29"/>
      <c r="TC2" s="29"/>
      <c r="TD2" s="29"/>
      <c r="TE2" s="29"/>
      <c r="TF2" s="29"/>
      <c r="TG2" s="29"/>
      <c r="TH2" s="29"/>
      <c r="TI2" s="29"/>
      <c r="TJ2" s="30"/>
      <c r="TK2" s="107"/>
      <c r="TL2" s="112" t="s">
        <v>65</v>
      </c>
      <c r="TM2" s="28"/>
      <c r="TN2" s="28"/>
      <c r="TO2" s="28"/>
      <c r="TP2" s="28"/>
      <c r="TQ2" s="28"/>
      <c r="TR2" s="28"/>
      <c r="TS2" s="29"/>
      <c r="TT2" s="29"/>
      <c r="TU2" s="29"/>
      <c r="TV2" s="29"/>
      <c r="TW2" s="29"/>
      <c r="TX2" s="29"/>
      <c r="TY2" s="29"/>
      <c r="TZ2" s="29"/>
      <c r="UA2" s="29"/>
      <c r="UB2" s="29"/>
      <c r="UC2" s="29"/>
      <c r="UD2" s="29"/>
      <c r="UE2" s="28"/>
      <c r="UF2" s="28"/>
      <c r="UG2" s="28"/>
      <c r="UH2" s="28"/>
      <c r="UI2" s="29"/>
      <c r="UJ2" s="29"/>
      <c r="UK2" s="29"/>
      <c r="UL2" s="29"/>
      <c r="UM2" s="29"/>
      <c r="UN2" s="29"/>
      <c r="UO2" s="29"/>
      <c r="UP2" s="29"/>
      <c r="UQ2" s="29"/>
      <c r="UR2" s="29"/>
      <c r="US2" s="29"/>
      <c r="UT2" s="29"/>
      <c r="UU2" s="28"/>
      <c r="UV2" s="28"/>
      <c r="UW2" s="28"/>
      <c r="UX2" s="28"/>
      <c r="UY2" s="29"/>
      <c r="UZ2" s="29"/>
      <c r="VA2" s="29"/>
      <c r="VB2" s="29"/>
      <c r="VC2" s="29"/>
      <c r="VD2" s="29"/>
      <c r="VE2" s="29"/>
      <c r="VF2" s="29"/>
      <c r="VG2" s="29"/>
      <c r="VH2" s="29"/>
      <c r="VI2" s="29"/>
      <c r="VJ2" s="29"/>
      <c r="VK2" s="29"/>
      <c r="VL2" s="28"/>
      <c r="VM2" s="28"/>
      <c r="VN2" s="29"/>
      <c r="VO2" s="29"/>
      <c r="VP2" s="29"/>
      <c r="VQ2" s="29"/>
      <c r="VR2" s="29"/>
      <c r="VS2" s="29"/>
      <c r="VT2" s="29"/>
      <c r="VU2" s="29"/>
      <c r="VV2" s="29"/>
      <c r="VW2" s="29"/>
      <c r="VX2" s="29"/>
      <c r="VY2" s="29"/>
      <c r="VZ2" s="29"/>
      <c r="WA2" s="30"/>
    </row>
    <row r="3" spans="1:599" ht="14.25" customHeight="1" x14ac:dyDescent="0.3">
      <c r="A3" s="57" t="s">
        <v>52</v>
      </c>
      <c r="B3" s="58"/>
      <c r="C3" s="58"/>
      <c r="D3" s="207" t="s">
        <v>53</v>
      </c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8"/>
      <c r="AN3" s="198" t="s">
        <v>8</v>
      </c>
      <c r="AO3" s="199"/>
      <c r="AP3" s="199"/>
      <c r="AQ3" s="199"/>
      <c r="AR3" s="199"/>
      <c r="AS3" s="199"/>
      <c r="AT3" s="199"/>
      <c r="AU3" s="199"/>
      <c r="AV3" s="108"/>
      <c r="AW3" s="202"/>
      <c r="AX3" s="202"/>
      <c r="AY3" s="202"/>
      <c r="AZ3" s="202"/>
      <c r="BA3" s="202"/>
      <c r="BB3" s="202"/>
      <c r="BC3" s="202"/>
      <c r="BD3" s="202"/>
      <c r="BE3" s="202"/>
      <c r="BF3" s="202"/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2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02"/>
      <c r="CE3" s="202"/>
      <c r="CF3" s="202"/>
      <c r="CG3" s="202"/>
      <c r="CH3" s="202"/>
      <c r="CI3" s="202"/>
      <c r="CJ3" s="202"/>
      <c r="CK3" s="202"/>
      <c r="CL3" s="202"/>
      <c r="CM3" s="202"/>
      <c r="CN3" s="202"/>
      <c r="CO3" s="202"/>
      <c r="CP3" s="202"/>
      <c r="CQ3" s="202"/>
      <c r="CR3" s="202"/>
      <c r="CS3" s="202"/>
      <c r="CT3" s="202"/>
      <c r="CU3" s="202"/>
      <c r="CV3" s="202"/>
      <c r="CW3" s="202"/>
      <c r="CX3" s="202"/>
      <c r="CY3" s="202"/>
      <c r="CZ3" s="202"/>
      <c r="DA3" s="202"/>
      <c r="DB3" s="202"/>
      <c r="DC3" s="202"/>
      <c r="DD3" s="202"/>
      <c r="DE3" s="202"/>
      <c r="DF3" s="202"/>
      <c r="DG3" s="202"/>
      <c r="DH3" s="202"/>
      <c r="DI3" s="202"/>
      <c r="DJ3" s="202"/>
      <c r="DK3" s="202"/>
      <c r="DL3" s="203"/>
      <c r="DM3" s="116"/>
      <c r="DN3" s="184"/>
      <c r="DO3" s="184"/>
      <c r="DP3" s="184"/>
      <c r="DQ3" s="184"/>
      <c r="DR3" s="184"/>
      <c r="DS3" s="184"/>
      <c r="DT3" s="184"/>
      <c r="DU3" s="184"/>
      <c r="DV3" s="184"/>
      <c r="DW3" s="184"/>
      <c r="DX3" s="184"/>
      <c r="DY3" s="184"/>
      <c r="DZ3" s="184"/>
      <c r="EA3" s="184"/>
      <c r="EB3" s="184"/>
      <c r="EC3" s="184"/>
      <c r="ED3" s="184"/>
      <c r="EE3" s="184"/>
      <c r="EF3" s="184"/>
      <c r="EG3" s="184"/>
      <c r="EH3" s="184"/>
      <c r="EI3" s="184"/>
      <c r="EJ3" s="184"/>
      <c r="EK3" s="184"/>
      <c r="EL3" s="184"/>
      <c r="EM3" s="184"/>
      <c r="EN3" s="184"/>
      <c r="EO3" s="184"/>
      <c r="EP3" s="184"/>
      <c r="EQ3" s="184"/>
      <c r="ER3" s="184"/>
      <c r="ES3" s="184"/>
      <c r="ET3" s="184"/>
      <c r="EU3" s="184"/>
      <c r="EV3" s="184"/>
      <c r="EW3" s="184"/>
      <c r="EX3" s="184"/>
      <c r="EY3" s="184"/>
      <c r="EZ3" s="184"/>
      <c r="FA3" s="184"/>
      <c r="FB3" s="184"/>
      <c r="FC3" s="184"/>
      <c r="FD3" s="184"/>
      <c r="FE3" s="184"/>
      <c r="FF3" s="184"/>
      <c r="FG3" s="184"/>
      <c r="FH3" s="184"/>
      <c r="FI3" s="184"/>
      <c r="FJ3" s="184"/>
      <c r="FK3" s="184"/>
      <c r="FL3" s="184"/>
      <c r="FM3" s="184"/>
      <c r="FN3" s="184"/>
      <c r="FO3" s="184"/>
      <c r="FP3" s="184"/>
      <c r="FQ3" s="184"/>
      <c r="FR3" s="184"/>
      <c r="FS3" s="184"/>
      <c r="FT3" s="184"/>
      <c r="FU3" s="184"/>
      <c r="FV3" s="184"/>
      <c r="FW3" s="184"/>
      <c r="FX3" s="184"/>
      <c r="FY3" s="184"/>
      <c r="FZ3" s="184"/>
      <c r="GA3" s="184"/>
      <c r="GB3" s="184"/>
      <c r="GC3" s="185"/>
      <c r="GD3" s="122"/>
      <c r="GE3" s="187"/>
      <c r="GF3" s="187"/>
      <c r="GG3" s="187"/>
      <c r="GH3" s="187"/>
      <c r="GI3" s="187"/>
      <c r="GJ3" s="187"/>
      <c r="GK3" s="187"/>
      <c r="GL3" s="187"/>
      <c r="GM3" s="187"/>
      <c r="GN3" s="187"/>
      <c r="GO3" s="187"/>
      <c r="GP3" s="187"/>
      <c r="GQ3" s="187"/>
      <c r="GR3" s="187"/>
      <c r="GS3" s="187"/>
      <c r="GT3" s="187"/>
      <c r="GU3" s="187"/>
      <c r="GV3" s="187"/>
      <c r="GW3" s="187"/>
      <c r="GX3" s="187"/>
      <c r="GY3" s="187"/>
      <c r="GZ3" s="187"/>
      <c r="HA3" s="187"/>
      <c r="HB3" s="187"/>
      <c r="HC3" s="187"/>
      <c r="HD3" s="187"/>
      <c r="HE3" s="187"/>
      <c r="HF3" s="187"/>
      <c r="HG3" s="187"/>
      <c r="HH3" s="187"/>
      <c r="HI3" s="187"/>
      <c r="HJ3" s="187"/>
      <c r="HK3" s="187"/>
      <c r="HL3" s="187"/>
      <c r="HM3" s="187"/>
      <c r="HN3" s="187"/>
      <c r="HO3" s="187"/>
      <c r="HP3" s="187"/>
      <c r="HQ3" s="187"/>
      <c r="HR3" s="187"/>
      <c r="HS3" s="187"/>
      <c r="HT3" s="187"/>
      <c r="HU3" s="187"/>
      <c r="HV3" s="187"/>
      <c r="HW3" s="187"/>
      <c r="HX3" s="187"/>
      <c r="HY3" s="187"/>
      <c r="HZ3" s="187"/>
      <c r="IA3" s="187"/>
      <c r="IB3" s="187"/>
      <c r="IC3" s="187"/>
      <c r="ID3" s="187"/>
      <c r="IE3" s="187"/>
      <c r="IF3" s="187"/>
      <c r="IG3" s="187"/>
      <c r="IH3" s="187"/>
      <c r="II3" s="187"/>
      <c r="IJ3" s="187"/>
      <c r="IK3" s="187"/>
      <c r="IL3" s="187"/>
      <c r="IM3" s="187"/>
      <c r="IN3" s="187"/>
      <c r="IO3" s="187"/>
      <c r="IP3" s="187"/>
      <c r="IQ3" s="187"/>
      <c r="IR3" s="187"/>
      <c r="IS3" s="187"/>
      <c r="IT3" s="188"/>
      <c r="IU3" s="131"/>
      <c r="IV3" s="190"/>
      <c r="IW3" s="190"/>
      <c r="IX3" s="190"/>
      <c r="IY3" s="190"/>
      <c r="IZ3" s="190"/>
      <c r="JA3" s="190"/>
      <c r="JB3" s="190"/>
      <c r="JC3" s="190"/>
      <c r="JD3" s="190"/>
      <c r="JE3" s="190"/>
      <c r="JF3" s="190"/>
      <c r="JG3" s="190"/>
      <c r="JH3" s="190"/>
      <c r="JI3" s="190"/>
      <c r="JJ3" s="190"/>
      <c r="JK3" s="190"/>
      <c r="JL3" s="190"/>
      <c r="JM3" s="190"/>
      <c r="JN3" s="190"/>
      <c r="JO3" s="190"/>
      <c r="JP3" s="190"/>
      <c r="JQ3" s="190"/>
      <c r="JR3" s="190"/>
      <c r="JS3" s="190"/>
      <c r="JT3" s="190"/>
      <c r="JU3" s="190"/>
      <c r="JV3" s="190"/>
      <c r="JW3" s="190"/>
      <c r="JX3" s="190"/>
      <c r="JY3" s="190"/>
      <c r="JZ3" s="190"/>
      <c r="KA3" s="190"/>
      <c r="KB3" s="190"/>
      <c r="KC3" s="190"/>
      <c r="KD3" s="190"/>
      <c r="KE3" s="190"/>
      <c r="KF3" s="190"/>
      <c r="KG3" s="190"/>
      <c r="KH3" s="190"/>
      <c r="KI3" s="190"/>
      <c r="KJ3" s="190"/>
      <c r="KK3" s="190"/>
      <c r="KL3" s="190"/>
      <c r="KM3" s="190"/>
      <c r="KN3" s="190"/>
      <c r="KO3" s="190"/>
      <c r="KP3" s="190"/>
      <c r="KQ3" s="190"/>
      <c r="KR3" s="190"/>
      <c r="KS3" s="190"/>
      <c r="KT3" s="190"/>
      <c r="KU3" s="190"/>
      <c r="KV3" s="190"/>
      <c r="KW3" s="190"/>
      <c r="KX3" s="190"/>
      <c r="KY3" s="190"/>
      <c r="KZ3" s="190"/>
      <c r="LA3" s="190"/>
      <c r="LB3" s="190"/>
      <c r="LC3" s="190"/>
      <c r="LD3" s="190"/>
      <c r="LE3" s="190"/>
      <c r="LF3" s="190"/>
      <c r="LG3" s="190"/>
      <c r="LH3" s="190"/>
      <c r="LI3" s="190"/>
      <c r="LJ3" s="190"/>
      <c r="LK3" s="191"/>
      <c r="LL3" s="134"/>
      <c r="LM3" s="175"/>
      <c r="LN3" s="175"/>
      <c r="LO3" s="175"/>
      <c r="LP3" s="175"/>
      <c r="LQ3" s="175"/>
      <c r="LR3" s="175"/>
      <c r="LS3" s="175"/>
      <c r="LT3" s="175"/>
      <c r="LU3" s="175"/>
      <c r="LV3" s="175"/>
      <c r="LW3" s="175"/>
      <c r="LX3" s="175"/>
      <c r="LY3" s="175"/>
      <c r="LZ3" s="175"/>
      <c r="MA3" s="175"/>
      <c r="MB3" s="175"/>
      <c r="MC3" s="175"/>
      <c r="MD3" s="175"/>
      <c r="ME3" s="175"/>
      <c r="MF3" s="175"/>
      <c r="MG3" s="175"/>
      <c r="MH3" s="175"/>
      <c r="MI3" s="175"/>
      <c r="MJ3" s="175"/>
      <c r="MK3" s="175"/>
      <c r="ML3" s="175"/>
      <c r="MM3" s="175"/>
      <c r="MN3" s="175"/>
      <c r="MO3" s="175"/>
      <c r="MP3" s="175"/>
      <c r="MQ3" s="175"/>
      <c r="MR3" s="175"/>
      <c r="MS3" s="175"/>
      <c r="MT3" s="175"/>
      <c r="MU3" s="175"/>
      <c r="MV3" s="175"/>
      <c r="MW3" s="175"/>
      <c r="MX3" s="175"/>
      <c r="MY3" s="175"/>
      <c r="MZ3" s="175"/>
      <c r="NA3" s="175"/>
      <c r="NB3" s="175"/>
      <c r="NC3" s="175"/>
      <c r="ND3" s="175"/>
      <c r="NE3" s="175"/>
      <c r="NF3" s="175"/>
      <c r="NG3" s="175"/>
      <c r="NH3" s="175"/>
      <c r="NI3" s="175"/>
      <c r="NJ3" s="175"/>
      <c r="NK3" s="175"/>
      <c r="NL3" s="175"/>
      <c r="NM3" s="175"/>
      <c r="NN3" s="175"/>
      <c r="NO3" s="175"/>
      <c r="NP3" s="175"/>
      <c r="NQ3" s="175"/>
      <c r="NR3" s="175"/>
      <c r="NS3" s="175"/>
      <c r="NT3" s="175"/>
      <c r="NU3" s="175"/>
      <c r="NV3" s="175"/>
      <c r="NW3" s="175"/>
      <c r="NX3" s="175"/>
      <c r="NY3" s="175"/>
      <c r="NZ3" s="175"/>
      <c r="OA3" s="175"/>
      <c r="OB3" s="176"/>
      <c r="OC3" s="143"/>
      <c r="OD3" s="178"/>
      <c r="OE3" s="178"/>
      <c r="OF3" s="178"/>
      <c r="OG3" s="178"/>
      <c r="OH3" s="178"/>
      <c r="OI3" s="178"/>
      <c r="OJ3" s="178"/>
      <c r="OK3" s="178"/>
      <c r="OL3" s="178"/>
      <c r="OM3" s="178"/>
      <c r="ON3" s="178"/>
      <c r="OO3" s="178"/>
      <c r="OP3" s="178"/>
      <c r="OQ3" s="178"/>
      <c r="OR3" s="178"/>
      <c r="OS3" s="178"/>
      <c r="OT3" s="178"/>
      <c r="OU3" s="178"/>
      <c r="OV3" s="178"/>
      <c r="OW3" s="178"/>
      <c r="OX3" s="178"/>
      <c r="OY3" s="178"/>
      <c r="OZ3" s="178"/>
      <c r="PA3" s="178"/>
      <c r="PB3" s="178"/>
      <c r="PC3" s="178"/>
      <c r="PD3" s="178"/>
      <c r="PE3" s="178"/>
      <c r="PF3" s="178"/>
      <c r="PG3" s="178"/>
      <c r="PH3" s="178"/>
      <c r="PI3" s="178"/>
      <c r="PJ3" s="178"/>
      <c r="PK3" s="178"/>
      <c r="PL3" s="178"/>
      <c r="PM3" s="178"/>
      <c r="PN3" s="178"/>
      <c r="PO3" s="178"/>
      <c r="PP3" s="178"/>
      <c r="PQ3" s="178"/>
      <c r="PR3" s="178"/>
      <c r="PS3" s="178"/>
      <c r="PT3" s="178"/>
      <c r="PU3" s="178"/>
      <c r="PV3" s="178"/>
      <c r="PW3" s="178"/>
      <c r="PX3" s="178"/>
      <c r="PY3" s="178"/>
      <c r="PZ3" s="178"/>
      <c r="QA3" s="178"/>
      <c r="QB3" s="178"/>
      <c r="QC3" s="178"/>
      <c r="QD3" s="178"/>
      <c r="QE3" s="178"/>
      <c r="QF3" s="178"/>
      <c r="QG3" s="178"/>
      <c r="QH3" s="178"/>
      <c r="QI3" s="178"/>
      <c r="QJ3" s="178"/>
      <c r="QK3" s="178"/>
      <c r="QL3" s="178"/>
      <c r="QM3" s="178"/>
      <c r="QN3" s="178"/>
      <c r="QO3" s="178"/>
      <c r="QP3" s="178"/>
      <c r="QQ3" s="178"/>
      <c r="QR3" s="178"/>
      <c r="QS3" s="179"/>
      <c r="QT3" s="146"/>
      <c r="QU3" s="181"/>
      <c r="QV3" s="181"/>
      <c r="QW3" s="181"/>
      <c r="QX3" s="181"/>
      <c r="QY3" s="181"/>
      <c r="QZ3" s="181"/>
      <c r="RA3" s="181"/>
      <c r="RB3" s="181"/>
      <c r="RC3" s="181"/>
      <c r="RD3" s="181"/>
      <c r="RE3" s="181"/>
      <c r="RF3" s="181"/>
      <c r="RG3" s="181"/>
      <c r="RH3" s="181"/>
      <c r="RI3" s="181"/>
      <c r="RJ3" s="181"/>
      <c r="RK3" s="181"/>
      <c r="RL3" s="181"/>
      <c r="RM3" s="181"/>
      <c r="RN3" s="181"/>
      <c r="RO3" s="181"/>
      <c r="RP3" s="181"/>
      <c r="RQ3" s="181"/>
      <c r="RR3" s="181"/>
      <c r="RS3" s="181"/>
      <c r="RT3" s="181"/>
      <c r="RU3" s="181"/>
      <c r="RV3" s="181"/>
      <c r="RW3" s="181"/>
      <c r="RX3" s="181"/>
      <c r="RY3" s="181"/>
      <c r="RZ3" s="181"/>
      <c r="SA3" s="181"/>
      <c r="SB3" s="181"/>
      <c r="SC3" s="181"/>
      <c r="SD3" s="181"/>
      <c r="SE3" s="181"/>
      <c r="SF3" s="181"/>
      <c r="SG3" s="181"/>
      <c r="SH3" s="181"/>
      <c r="SI3" s="181"/>
      <c r="SJ3" s="181"/>
      <c r="SK3" s="181"/>
      <c r="SL3" s="181"/>
      <c r="SM3" s="181"/>
      <c r="SN3" s="181"/>
      <c r="SO3" s="181"/>
      <c r="SP3" s="181"/>
      <c r="SQ3" s="181"/>
      <c r="SR3" s="181"/>
      <c r="SS3" s="181"/>
      <c r="ST3" s="181"/>
      <c r="SU3" s="181"/>
      <c r="SV3" s="181"/>
      <c r="SW3" s="181"/>
      <c r="SX3" s="181"/>
      <c r="SY3" s="181"/>
      <c r="SZ3" s="181"/>
      <c r="TA3" s="181"/>
      <c r="TB3" s="181"/>
      <c r="TC3" s="181"/>
      <c r="TD3" s="181"/>
      <c r="TE3" s="181"/>
      <c r="TF3" s="181"/>
      <c r="TG3" s="181"/>
      <c r="TH3" s="181"/>
      <c r="TI3" s="181"/>
      <c r="TJ3" s="182"/>
      <c r="TK3" s="152"/>
      <c r="TL3" s="172"/>
      <c r="TM3" s="172"/>
      <c r="TN3" s="172"/>
      <c r="TO3" s="172"/>
      <c r="TP3" s="172"/>
      <c r="TQ3" s="172"/>
      <c r="TR3" s="172"/>
      <c r="TS3" s="172"/>
      <c r="TT3" s="172"/>
      <c r="TU3" s="172"/>
      <c r="TV3" s="172"/>
      <c r="TW3" s="172"/>
      <c r="TX3" s="172"/>
      <c r="TY3" s="172"/>
      <c r="TZ3" s="172"/>
      <c r="UA3" s="172"/>
      <c r="UB3" s="172"/>
      <c r="UC3" s="172"/>
      <c r="UD3" s="172"/>
      <c r="UE3" s="172"/>
      <c r="UF3" s="172"/>
      <c r="UG3" s="172"/>
      <c r="UH3" s="172"/>
      <c r="UI3" s="172"/>
      <c r="UJ3" s="172"/>
      <c r="UK3" s="172"/>
      <c r="UL3" s="172"/>
      <c r="UM3" s="172"/>
      <c r="UN3" s="172"/>
      <c r="UO3" s="172"/>
      <c r="UP3" s="172"/>
      <c r="UQ3" s="172"/>
      <c r="UR3" s="172"/>
      <c r="US3" s="172"/>
      <c r="UT3" s="172"/>
      <c r="UU3" s="172"/>
      <c r="UV3" s="172"/>
      <c r="UW3" s="172"/>
      <c r="UX3" s="172"/>
      <c r="UY3" s="172"/>
      <c r="UZ3" s="172"/>
      <c r="VA3" s="172"/>
      <c r="VB3" s="172"/>
      <c r="VC3" s="172"/>
      <c r="VD3" s="172"/>
      <c r="VE3" s="172"/>
      <c r="VF3" s="172"/>
      <c r="VG3" s="172"/>
      <c r="VH3" s="172"/>
      <c r="VI3" s="172"/>
      <c r="VJ3" s="172"/>
      <c r="VK3" s="172"/>
      <c r="VL3" s="172"/>
      <c r="VM3" s="172"/>
      <c r="VN3" s="172"/>
      <c r="VO3" s="172"/>
      <c r="VP3" s="172"/>
      <c r="VQ3" s="172"/>
      <c r="VR3" s="172"/>
      <c r="VS3" s="172"/>
      <c r="VT3" s="172"/>
      <c r="VU3" s="172"/>
      <c r="VV3" s="172"/>
      <c r="VW3" s="172"/>
      <c r="VX3" s="172"/>
      <c r="VY3" s="172"/>
      <c r="VZ3" s="172"/>
      <c r="WA3" s="173"/>
    </row>
    <row r="4" spans="1:599" ht="13.5" customHeight="1" thickBot="1" x14ac:dyDescent="0.35">
      <c r="A4" s="59"/>
      <c r="B4" s="60"/>
      <c r="C4" s="60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10"/>
      <c r="AN4" s="200"/>
      <c r="AO4" s="201"/>
      <c r="AP4" s="201"/>
      <c r="AQ4" s="201"/>
      <c r="AR4" s="201"/>
      <c r="AS4" s="201"/>
      <c r="AT4" s="201"/>
      <c r="AU4" s="201"/>
      <c r="AV4" s="108"/>
      <c r="AW4" s="204" t="s">
        <v>54</v>
      </c>
      <c r="AX4" s="202"/>
      <c r="AY4" s="202"/>
      <c r="AZ4" s="202"/>
      <c r="BA4" s="202"/>
      <c r="BB4" s="202"/>
      <c r="BC4" s="202"/>
      <c r="BD4" s="202"/>
      <c r="BE4" s="202"/>
      <c r="BF4" s="202"/>
      <c r="BG4" s="202"/>
      <c r="BH4" s="202"/>
      <c r="BI4" s="202"/>
      <c r="BJ4" s="202"/>
      <c r="BK4" s="202"/>
      <c r="BL4" s="202"/>
      <c r="BM4" s="202"/>
      <c r="BN4" s="202"/>
      <c r="BO4" s="202"/>
      <c r="BP4" s="202"/>
      <c r="BQ4" s="202"/>
      <c r="BR4" s="202"/>
      <c r="BS4" s="202"/>
      <c r="BT4" s="202"/>
      <c r="BU4" s="202"/>
      <c r="BV4" s="202"/>
      <c r="BW4" s="202"/>
      <c r="BX4" s="202"/>
      <c r="BY4" s="202"/>
      <c r="BZ4" s="202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  <c r="CW4" s="202"/>
      <c r="CX4" s="202"/>
      <c r="CY4" s="202"/>
      <c r="CZ4" s="202"/>
      <c r="DA4" s="202"/>
      <c r="DB4" s="202"/>
      <c r="DC4" s="202"/>
      <c r="DD4" s="202"/>
      <c r="DE4" s="202"/>
      <c r="DF4" s="202"/>
      <c r="DG4" s="202"/>
      <c r="DH4" s="202"/>
      <c r="DI4" s="202"/>
      <c r="DJ4" s="202"/>
      <c r="DK4" s="202"/>
      <c r="DL4" s="203"/>
      <c r="DM4" s="116"/>
      <c r="DN4" s="186" t="s">
        <v>54</v>
      </c>
      <c r="DO4" s="184"/>
      <c r="DP4" s="184"/>
      <c r="DQ4" s="184"/>
      <c r="DR4" s="184"/>
      <c r="DS4" s="184"/>
      <c r="DT4" s="184"/>
      <c r="DU4" s="184"/>
      <c r="DV4" s="184"/>
      <c r="DW4" s="184"/>
      <c r="DX4" s="184"/>
      <c r="DY4" s="184"/>
      <c r="DZ4" s="184"/>
      <c r="EA4" s="184"/>
      <c r="EB4" s="184"/>
      <c r="EC4" s="184"/>
      <c r="ED4" s="184"/>
      <c r="EE4" s="184"/>
      <c r="EF4" s="184"/>
      <c r="EG4" s="184"/>
      <c r="EH4" s="184"/>
      <c r="EI4" s="184"/>
      <c r="EJ4" s="184"/>
      <c r="EK4" s="184"/>
      <c r="EL4" s="184"/>
      <c r="EM4" s="184"/>
      <c r="EN4" s="184"/>
      <c r="EO4" s="184"/>
      <c r="EP4" s="184"/>
      <c r="EQ4" s="184"/>
      <c r="ER4" s="184"/>
      <c r="ES4" s="184"/>
      <c r="ET4" s="184"/>
      <c r="EU4" s="184"/>
      <c r="EV4" s="184"/>
      <c r="EW4" s="184"/>
      <c r="EX4" s="184"/>
      <c r="EY4" s="184"/>
      <c r="EZ4" s="184"/>
      <c r="FA4" s="184"/>
      <c r="FB4" s="184"/>
      <c r="FC4" s="184"/>
      <c r="FD4" s="184"/>
      <c r="FE4" s="184"/>
      <c r="FF4" s="184"/>
      <c r="FG4" s="184"/>
      <c r="FH4" s="184"/>
      <c r="FI4" s="184"/>
      <c r="FJ4" s="184"/>
      <c r="FK4" s="184"/>
      <c r="FL4" s="184"/>
      <c r="FM4" s="184"/>
      <c r="FN4" s="184"/>
      <c r="FO4" s="184"/>
      <c r="FP4" s="184"/>
      <c r="FQ4" s="184"/>
      <c r="FR4" s="184"/>
      <c r="FS4" s="184"/>
      <c r="FT4" s="184"/>
      <c r="FU4" s="184"/>
      <c r="FV4" s="184"/>
      <c r="FW4" s="184"/>
      <c r="FX4" s="184"/>
      <c r="FY4" s="184"/>
      <c r="FZ4" s="184"/>
      <c r="GA4" s="184"/>
      <c r="GB4" s="184"/>
      <c r="GC4" s="185"/>
      <c r="GD4" s="122"/>
      <c r="GE4" s="189" t="s">
        <v>54</v>
      </c>
      <c r="GF4" s="187"/>
      <c r="GG4" s="187"/>
      <c r="GH4" s="187"/>
      <c r="GI4" s="187"/>
      <c r="GJ4" s="187"/>
      <c r="GK4" s="187"/>
      <c r="GL4" s="187"/>
      <c r="GM4" s="187"/>
      <c r="GN4" s="187"/>
      <c r="GO4" s="187"/>
      <c r="GP4" s="187"/>
      <c r="GQ4" s="187"/>
      <c r="GR4" s="187"/>
      <c r="GS4" s="187"/>
      <c r="GT4" s="187"/>
      <c r="GU4" s="187"/>
      <c r="GV4" s="187"/>
      <c r="GW4" s="187"/>
      <c r="GX4" s="187"/>
      <c r="GY4" s="187"/>
      <c r="GZ4" s="187"/>
      <c r="HA4" s="187"/>
      <c r="HB4" s="187"/>
      <c r="HC4" s="187"/>
      <c r="HD4" s="187"/>
      <c r="HE4" s="187"/>
      <c r="HF4" s="187"/>
      <c r="HG4" s="187"/>
      <c r="HH4" s="187"/>
      <c r="HI4" s="187"/>
      <c r="HJ4" s="187"/>
      <c r="HK4" s="187"/>
      <c r="HL4" s="187"/>
      <c r="HM4" s="187"/>
      <c r="HN4" s="187"/>
      <c r="HO4" s="187"/>
      <c r="HP4" s="187"/>
      <c r="HQ4" s="187"/>
      <c r="HR4" s="187"/>
      <c r="HS4" s="187"/>
      <c r="HT4" s="187"/>
      <c r="HU4" s="187"/>
      <c r="HV4" s="187"/>
      <c r="HW4" s="187"/>
      <c r="HX4" s="187"/>
      <c r="HY4" s="187"/>
      <c r="HZ4" s="187"/>
      <c r="IA4" s="187"/>
      <c r="IB4" s="187"/>
      <c r="IC4" s="187"/>
      <c r="ID4" s="187"/>
      <c r="IE4" s="187"/>
      <c r="IF4" s="187"/>
      <c r="IG4" s="187"/>
      <c r="IH4" s="187"/>
      <c r="II4" s="187"/>
      <c r="IJ4" s="187"/>
      <c r="IK4" s="187"/>
      <c r="IL4" s="187"/>
      <c r="IM4" s="187"/>
      <c r="IN4" s="187"/>
      <c r="IO4" s="187"/>
      <c r="IP4" s="187"/>
      <c r="IQ4" s="187"/>
      <c r="IR4" s="187"/>
      <c r="IS4" s="187"/>
      <c r="IT4" s="188"/>
      <c r="IU4" s="131"/>
      <c r="IV4" s="192" t="s">
        <v>54</v>
      </c>
      <c r="IW4" s="190"/>
      <c r="IX4" s="190"/>
      <c r="IY4" s="190"/>
      <c r="IZ4" s="190"/>
      <c r="JA4" s="190"/>
      <c r="JB4" s="190"/>
      <c r="JC4" s="190"/>
      <c r="JD4" s="190"/>
      <c r="JE4" s="190"/>
      <c r="JF4" s="190"/>
      <c r="JG4" s="190"/>
      <c r="JH4" s="190"/>
      <c r="JI4" s="190"/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U4" s="190"/>
      <c r="JV4" s="190"/>
      <c r="JW4" s="190"/>
      <c r="JX4" s="190"/>
      <c r="JY4" s="190"/>
      <c r="JZ4" s="190"/>
      <c r="KA4" s="190"/>
      <c r="KB4" s="190"/>
      <c r="KC4" s="190"/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O4" s="190"/>
      <c r="KP4" s="190"/>
      <c r="KQ4" s="190"/>
      <c r="KR4" s="190"/>
      <c r="KS4" s="190"/>
      <c r="KT4" s="190"/>
      <c r="KU4" s="190"/>
      <c r="KV4" s="190"/>
      <c r="KW4" s="190"/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I4" s="190"/>
      <c r="LJ4" s="190"/>
      <c r="LK4" s="191"/>
      <c r="LL4" s="134"/>
      <c r="LM4" s="177" t="s">
        <v>54</v>
      </c>
      <c r="LN4" s="175"/>
      <c r="LO4" s="175"/>
      <c r="LP4" s="175"/>
      <c r="LQ4" s="175"/>
      <c r="LR4" s="175"/>
      <c r="LS4" s="175"/>
      <c r="LT4" s="175"/>
      <c r="LU4" s="175"/>
      <c r="LV4" s="175"/>
      <c r="LW4" s="175"/>
      <c r="LX4" s="175"/>
      <c r="LY4" s="175"/>
      <c r="LZ4" s="175"/>
      <c r="MA4" s="175"/>
      <c r="MB4" s="175"/>
      <c r="MC4" s="175"/>
      <c r="MD4" s="175"/>
      <c r="ME4" s="175"/>
      <c r="MF4" s="175"/>
      <c r="MG4" s="175"/>
      <c r="MH4" s="175"/>
      <c r="MI4" s="175"/>
      <c r="MJ4" s="175"/>
      <c r="MK4" s="175"/>
      <c r="ML4" s="175"/>
      <c r="MM4" s="175"/>
      <c r="MN4" s="175"/>
      <c r="MO4" s="175"/>
      <c r="MP4" s="175"/>
      <c r="MQ4" s="175"/>
      <c r="MR4" s="175"/>
      <c r="MS4" s="175"/>
      <c r="MT4" s="175"/>
      <c r="MU4" s="175"/>
      <c r="MV4" s="175"/>
      <c r="MW4" s="175"/>
      <c r="MX4" s="175"/>
      <c r="MY4" s="175"/>
      <c r="MZ4" s="175"/>
      <c r="NA4" s="175"/>
      <c r="NB4" s="175"/>
      <c r="NC4" s="175"/>
      <c r="ND4" s="175"/>
      <c r="NE4" s="175"/>
      <c r="NF4" s="175"/>
      <c r="NG4" s="175"/>
      <c r="NH4" s="175"/>
      <c r="NI4" s="175"/>
      <c r="NJ4" s="175"/>
      <c r="NK4" s="175"/>
      <c r="NL4" s="175"/>
      <c r="NM4" s="175"/>
      <c r="NN4" s="175"/>
      <c r="NO4" s="175"/>
      <c r="NP4" s="175"/>
      <c r="NQ4" s="175"/>
      <c r="NR4" s="175"/>
      <c r="NS4" s="175"/>
      <c r="NT4" s="175"/>
      <c r="NU4" s="175"/>
      <c r="NV4" s="175"/>
      <c r="NW4" s="175"/>
      <c r="NX4" s="175"/>
      <c r="NY4" s="175"/>
      <c r="NZ4" s="175"/>
      <c r="OA4" s="175"/>
      <c r="OB4" s="176"/>
      <c r="OC4" s="143"/>
      <c r="OD4" s="180" t="s">
        <v>54</v>
      </c>
      <c r="OE4" s="178"/>
      <c r="OF4" s="178"/>
      <c r="OG4" s="178"/>
      <c r="OH4" s="178"/>
      <c r="OI4" s="178"/>
      <c r="OJ4" s="178"/>
      <c r="OK4" s="178"/>
      <c r="OL4" s="178"/>
      <c r="OM4" s="178"/>
      <c r="ON4" s="178"/>
      <c r="OO4" s="178"/>
      <c r="OP4" s="178"/>
      <c r="OQ4" s="178"/>
      <c r="OR4" s="178"/>
      <c r="OS4" s="178"/>
      <c r="OT4" s="178"/>
      <c r="OU4" s="178"/>
      <c r="OV4" s="178"/>
      <c r="OW4" s="178"/>
      <c r="OX4" s="178"/>
      <c r="OY4" s="178"/>
      <c r="OZ4" s="178"/>
      <c r="PA4" s="178"/>
      <c r="PB4" s="178"/>
      <c r="PC4" s="178"/>
      <c r="PD4" s="178"/>
      <c r="PE4" s="178"/>
      <c r="PF4" s="178"/>
      <c r="PG4" s="178"/>
      <c r="PH4" s="178"/>
      <c r="PI4" s="178"/>
      <c r="PJ4" s="178"/>
      <c r="PK4" s="178"/>
      <c r="PL4" s="178"/>
      <c r="PM4" s="178"/>
      <c r="PN4" s="178"/>
      <c r="PO4" s="178"/>
      <c r="PP4" s="178"/>
      <c r="PQ4" s="178"/>
      <c r="PR4" s="178"/>
      <c r="PS4" s="178"/>
      <c r="PT4" s="178"/>
      <c r="PU4" s="178"/>
      <c r="PV4" s="178"/>
      <c r="PW4" s="178"/>
      <c r="PX4" s="178"/>
      <c r="PY4" s="178"/>
      <c r="PZ4" s="178"/>
      <c r="QA4" s="178"/>
      <c r="QB4" s="178"/>
      <c r="QC4" s="178"/>
      <c r="QD4" s="178"/>
      <c r="QE4" s="178"/>
      <c r="QF4" s="178"/>
      <c r="QG4" s="178"/>
      <c r="QH4" s="178"/>
      <c r="QI4" s="178"/>
      <c r="QJ4" s="178"/>
      <c r="QK4" s="178"/>
      <c r="QL4" s="178"/>
      <c r="QM4" s="178"/>
      <c r="QN4" s="178"/>
      <c r="QO4" s="178"/>
      <c r="QP4" s="178"/>
      <c r="QQ4" s="178"/>
      <c r="QR4" s="178"/>
      <c r="QS4" s="179"/>
      <c r="QT4" s="146"/>
      <c r="QU4" s="183" t="s">
        <v>54</v>
      </c>
      <c r="QV4" s="181"/>
      <c r="QW4" s="181"/>
      <c r="QX4" s="181"/>
      <c r="QY4" s="181"/>
      <c r="QZ4" s="181"/>
      <c r="RA4" s="181"/>
      <c r="RB4" s="181"/>
      <c r="RC4" s="181"/>
      <c r="RD4" s="181"/>
      <c r="RE4" s="181"/>
      <c r="RF4" s="181"/>
      <c r="RG4" s="181"/>
      <c r="RH4" s="181"/>
      <c r="RI4" s="181"/>
      <c r="RJ4" s="181"/>
      <c r="RK4" s="181"/>
      <c r="RL4" s="181"/>
      <c r="RM4" s="181"/>
      <c r="RN4" s="181"/>
      <c r="RO4" s="181"/>
      <c r="RP4" s="181"/>
      <c r="RQ4" s="181"/>
      <c r="RR4" s="181"/>
      <c r="RS4" s="181"/>
      <c r="RT4" s="181"/>
      <c r="RU4" s="181"/>
      <c r="RV4" s="181"/>
      <c r="RW4" s="181"/>
      <c r="RX4" s="181"/>
      <c r="RY4" s="181"/>
      <c r="RZ4" s="181"/>
      <c r="SA4" s="181"/>
      <c r="SB4" s="181"/>
      <c r="SC4" s="181"/>
      <c r="SD4" s="181"/>
      <c r="SE4" s="181"/>
      <c r="SF4" s="181"/>
      <c r="SG4" s="181"/>
      <c r="SH4" s="181"/>
      <c r="SI4" s="181"/>
      <c r="SJ4" s="181"/>
      <c r="SK4" s="181"/>
      <c r="SL4" s="181"/>
      <c r="SM4" s="181"/>
      <c r="SN4" s="181"/>
      <c r="SO4" s="181"/>
      <c r="SP4" s="181"/>
      <c r="SQ4" s="181"/>
      <c r="SR4" s="181"/>
      <c r="SS4" s="181"/>
      <c r="ST4" s="181"/>
      <c r="SU4" s="181"/>
      <c r="SV4" s="181"/>
      <c r="SW4" s="181"/>
      <c r="SX4" s="181"/>
      <c r="SY4" s="181"/>
      <c r="SZ4" s="181"/>
      <c r="TA4" s="181"/>
      <c r="TB4" s="181"/>
      <c r="TC4" s="181"/>
      <c r="TD4" s="181"/>
      <c r="TE4" s="181"/>
      <c r="TF4" s="181"/>
      <c r="TG4" s="181"/>
      <c r="TH4" s="181"/>
      <c r="TI4" s="181"/>
      <c r="TJ4" s="182"/>
      <c r="TK4" s="152"/>
      <c r="TL4" s="174" t="s">
        <v>54</v>
      </c>
      <c r="TM4" s="172"/>
      <c r="TN4" s="172"/>
      <c r="TO4" s="172"/>
      <c r="TP4" s="172"/>
      <c r="TQ4" s="172"/>
      <c r="TR4" s="172"/>
      <c r="TS4" s="172"/>
      <c r="TT4" s="172"/>
      <c r="TU4" s="172"/>
      <c r="TV4" s="172"/>
      <c r="TW4" s="172"/>
      <c r="TX4" s="172"/>
      <c r="TY4" s="172"/>
      <c r="TZ4" s="172"/>
      <c r="UA4" s="172"/>
      <c r="UB4" s="172"/>
      <c r="UC4" s="172"/>
      <c r="UD4" s="172"/>
      <c r="UE4" s="172"/>
      <c r="UF4" s="172"/>
      <c r="UG4" s="172"/>
      <c r="UH4" s="172"/>
      <c r="UI4" s="172"/>
      <c r="UJ4" s="172"/>
      <c r="UK4" s="172"/>
      <c r="UL4" s="172"/>
      <c r="UM4" s="172"/>
      <c r="UN4" s="172"/>
      <c r="UO4" s="172"/>
      <c r="UP4" s="172"/>
      <c r="UQ4" s="172"/>
      <c r="UR4" s="172"/>
      <c r="US4" s="172"/>
      <c r="UT4" s="172"/>
      <c r="UU4" s="172"/>
      <c r="UV4" s="172"/>
      <c r="UW4" s="172"/>
      <c r="UX4" s="172"/>
      <c r="UY4" s="172"/>
      <c r="UZ4" s="172"/>
      <c r="VA4" s="172"/>
      <c r="VB4" s="172"/>
      <c r="VC4" s="172"/>
      <c r="VD4" s="172"/>
      <c r="VE4" s="172"/>
      <c r="VF4" s="172"/>
      <c r="VG4" s="172"/>
      <c r="VH4" s="172"/>
      <c r="VI4" s="172"/>
      <c r="VJ4" s="172"/>
      <c r="VK4" s="172"/>
      <c r="VL4" s="172"/>
      <c r="VM4" s="172"/>
      <c r="VN4" s="172"/>
      <c r="VO4" s="172"/>
      <c r="VP4" s="172"/>
      <c r="VQ4" s="172"/>
      <c r="VR4" s="172"/>
      <c r="VS4" s="172"/>
      <c r="VT4" s="172"/>
      <c r="VU4" s="172"/>
      <c r="VV4" s="172"/>
      <c r="VW4" s="172"/>
      <c r="VX4" s="172"/>
      <c r="VY4" s="172"/>
      <c r="VZ4" s="172"/>
      <c r="WA4" s="173"/>
    </row>
    <row r="5" spans="1:599" ht="67" thickBot="1" x14ac:dyDescent="0.3">
      <c r="A5" s="8" t="s">
        <v>27</v>
      </c>
      <c r="B5" s="9" t="s">
        <v>11</v>
      </c>
      <c r="C5" s="9" t="s">
        <v>12</v>
      </c>
      <c r="D5" s="9" t="s">
        <v>13</v>
      </c>
      <c r="E5" s="10" t="s">
        <v>19</v>
      </c>
      <c r="F5" s="11" t="s">
        <v>20</v>
      </c>
      <c r="G5" s="11" t="s">
        <v>21</v>
      </c>
      <c r="H5" s="11" t="s">
        <v>22</v>
      </c>
      <c r="I5" s="11" t="s">
        <v>23</v>
      </c>
      <c r="J5" s="11" t="s">
        <v>24</v>
      </c>
      <c r="K5" s="11" t="s">
        <v>25</v>
      </c>
      <c r="L5" s="11" t="s">
        <v>26</v>
      </c>
      <c r="M5" s="9" t="s">
        <v>40</v>
      </c>
      <c r="N5" s="9" t="s">
        <v>41</v>
      </c>
      <c r="O5" s="9" t="s">
        <v>42</v>
      </c>
      <c r="P5" s="9" t="s">
        <v>43</v>
      </c>
      <c r="Q5" s="9" t="s">
        <v>44</v>
      </c>
      <c r="R5" s="9" t="s">
        <v>45</v>
      </c>
      <c r="S5" s="9" t="s">
        <v>46</v>
      </c>
      <c r="T5" s="9" t="s">
        <v>47</v>
      </c>
      <c r="U5" s="9" t="s">
        <v>48</v>
      </c>
      <c r="V5" s="9" t="s">
        <v>49</v>
      </c>
      <c r="W5" s="9" t="s">
        <v>50</v>
      </c>
      <c r="X5" s="9" t="s">
        <v>51</v>
      </c>
      <c r="Y5" s="13" t="s">
        <v>78</v>
      </c>
      <c r="Z5" s="13" t="s">
        <v>35</v>
      </c>
      <c r="AA5" s="13" t="s">
        <v>55</v>
      </c>
      <c r="AB5" s="13" t="s">
        <v>56</v>
      </c>
      <c r="AC5" s="8" t="s">
        <v>9</v>
      </c>
      <c r="AD5" s="8" t="s">
        <v>1</v>
      </c>
      <c r="AE5" s="100" t="str">
        <f>AW2</f>
        <v>Building 1</v>
      </c>
      <c r="AF5" s="100" t="str">
        <f>DN2</f>
        <v>Building 2</v>
      </c>
      <c r="AG5" s="100" t="str">
        <f>GE2</f>
        <v>Building 3</v>
      </c>
      <c r="AH5" s="100" t="str">
        <f>IV2</f>
        <v>Building 4</v>
      </c>
      <c r="AI5" s="100" t="str">
        <f>LM2</f>
        <v>Building 5</v>
      </c>
      <c r="AJ5" s="100" t="str">
        <f>OD2</f>
        <v>Building 6</v>
      </c>
      <c r="AK5" s="100" t="str">
        <f>QU2</f>
        <v>Building 7</v>
      </c>
      <c r="AL5" s="100" t="str">
        <f>TL2</f>
        <v>Building 8</v>
      </c>
      <c r="AM5" s="8" t="s">
        <v>0</v>
      </c>
      <c r="AN5" s="12" t="s">
        <v>4</v>
      </c>
      <c r="AO5" s="8" t="s">
        <v>5</v>
      </c>
      <c r="AP5" s="8" t="s">
        <v>6</v>
      </c>
      <c r="AQ5" s="8" t="s">
        <v>2</v>
      </c>
      <c r="AR5" s="8" t="s">
        <v>3</v>
      </c>
      <c r="AS5" s="8" t="s">
        <v>7</v>
      </c>
      <c r="AT5" s="8" t="s">
        <v>10</v>
      </c>
      <c r="AU5" s="101" t="s">
        <v>15</v>
      </c>
      <c r="AV5" s="109" t="s">
        <v>57</v>
      </c>
      <c r="AW5" s="14">
        <f t="shared" ref="AW5:CB5" si="0">SUMPRODUCT(AW7:AW298,$AD7:$AD298)</f>
        <v>0</v>
      </c>
      <c r="AX5" s="14">
        <f t="shared" si="0"/>
        <v>0</v>
      </c>
      <c r="AY5" s="14">
        <f t="shared" si="0"/>
        <v>0</v>
      </c>
      <c r="AZ5" s="14">
        <f t="shared" si="0"/>
        <v>0</v>
      </c>
      <c r="BA5" s="14">
        <f t="shared" si="0"/>
        <v>0</v>
      </c>
      <c r="BB5" s="14">
        <f t="shared" si="0"/>
        <v>0</v>
      </c>
      <c r="BC5" s="14">
        <f t="shared" si="0"/>
        <v>0</v>
      </c>
      <c r="BD5" s="14">
        <f t="shared" si="0"/>
        <v>0</v>
      </c>
      <c r="BE5" s="14">
        <f t="shared" si="0"/>
        <v>0</v>
      </c>
      <c r="BF5" s="14">
        <f t="shared" si="0"/>
        <v>0</v>
      </c>
      <c r="BG5" s="14">
        <f t="shared" si="0"/>
        <v>0</v>
      </c>
      <c r="BH5" s="14">
        <f t="shared" si="0"/>
        <v>0</v>
      </c>
      <c r="BI5" s="14">
        <f t="shared" si="0"/>
        <v>0</v>
      </c>
      <c r="BJ5" s="14">
        <f t="shared" si="0"/>
        <v>0</v>
      </c>
      <c r="BK5" s="14">
        <f t="shared" si="0"/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 t="shared" si="0"/>
        <v>0</v>
      </c>
      <c r="BP5" s="14">
        <f t="shared" si="0"/>
        <v>0</v>
      </c>
      <c r="BQ5" s="14">
        <f t="shared" si="0"/>
        <v>0</v>
      </c>
      <c r="BR5" s="14">
        <f t="shared" si="0"/>
        <v>0</v>
      </c>
      <c r="BS5" s="14">
        <f t="shared" si="0"/>
        <v>0</v>
      </c>
      <c r="BT5" s="14">
        <f t="shared" si="0"/>
        <v>0</v>
      </c>
      <c r="BU5" s="14">
        <f t="shared" si="0"/>
        <v>0</v>
      </c>
      <c r="BV5" s="14">
        <f t="shared" si="0"/>
        <v>0</v>
      </c>
      <c r="BW5" s="14">
        <f t="shared" si="0"/>
        <v>0</v>
      </c>
      <c r="BX5" s="14">
        <f t="shared" si="0"/>
        <v>0</v>
      </c>
      <c r="BY5" s="14">
        <f t="shared" si="0"/>
        <v>0</v>
      </c>
      <c r="BZ5" s="14">
        <f t="shared" si="0"/>
        <v>0</v>
      </c>
      <c r="CA5" s="14">
        <f t="shared" si="0"/>
        <v>0</v>
      </c>
      <c r="CB5" s="14">
        <f t="shared" si="0"/>
        <v>0</v>
      </c>
      <c r="CC5" s="14">
        <f t="shared" ref="CC5:DL5" si="1">SUMPRODUCT(CC7:CC298,$AD7:$AD298)</f>
        <v>0</v>
      </c>
      <c r="CD5" s="14">
        <f t="shared" si="1"/>
        <v>0</v>
      </c>
      <c r="CE5" s="14">
        <f t="shared" si="1"/>
        <v>0</v>
      </c>
      <c r="CF5" s="14">
        <f t="shared" si="1"/>
        <v>0</v>
      </c>
      <c r="CG5" s="14">
        <f t="shared" si="1"/>
        <v>0</v>
      </c>
      <c r="CH5" s="14">
        <f t="shared" si="1"/>
        <v>0</v>
      </c>
      <c r="CI5" s="14">
        <f t="shared" si="1"/>
        <v>0</v>
      </c>
      <c r="CJ5" s="14">
        <f t="shared" si="1"/>
        <v>0</v>
      </c>
      <c r="CK5" s="14">
        <f t="shared" si="1"/>
        <v>0</v>
      </c>
      <c r="CL5" s="14">
        <f t="shared" si="1"/>
        <v>0</v>
      </c>
      <c r="CM5" s="14">
        <f t="shared" si="1"/>
        <v>0</v>
      </c>
      <c r="CN5" s="14">
        <f t="shared" si="1"/>
        <v>0</v>
      </c>
      <c r="CO5" s="14">
        <f t="shared" si="1"/>
        <v>0</v>
      </c>
      <c r="CP5" s="14">
        <f t="shared" si="1"/>
        <v>0</v>
      </c>
      <c r="CQ5" s="14">
        <f t="shared" si="1"/>
        <v>0</v>
      </c>
      <c r="CR5" s="14">
        <f t="shared" si="1"/>
        <v>0</v>
      </c>
      <c r="CS5" s="14">
        <f t="shared" si="1"/>
        <v>0</v>
      </c>
      <c r="CT5" s="14">
        <f t="shared" si="1"/>
        <v>0</v>
      </c>
      <c r="CU5" s="14">
        <f t="shared" si="1"/>
        <v>0</v>
      </c>
      <c r="CV5" s="14">
        <f t="shared" si="1"/>
        <v>0</v>
      </c>
      <c r="CW5" s="14">
        <f t="shared" si="1"/>
        <v>0</v>
      </c>
      <c r="CX5" s="14">
        <f t="shared" si="1"/>
        <v>0</v>
      </c>
      <c r="CY5" s="14">
        <f t="shared" si="1"/>
        <v>0</v>
      </c>
      <c r="CZ5" s="14">
        <f t="shared" si="1"/>
        <v>0</v>
      </c>
      <c r="DA5" s="14">
        <f t="shared" si="1"/>
        <v>0</v>
      </c>
      <c r="DB5" s="14">
        <f t="shared" si="1"/>
        <v>0</v>
      </c>
      <c r="DC5" s="14">
        <f t="shared" si="1"/>
        <v>0</v>
      </c>
      <c r="DD5" s="14">
        <f t="shared" si="1"/>
        <v>0</v>
      </c>
      <c r="DE5" s="14">
        <f t="shared" si="1"/>
        <v>0</v>
      </c>
      <c r="DF5" s="14">
        <f t="shared" si="1"/>
        <v>0</v>
      </c>
      <c r="DG5" s="14">
        <f t="shared" si="1"/>
        <v>0</v>
      </c>
      <c r="DH5" s="14">
        <f t="shared" si="1"/>
        <v>0</v>
      </c>
      <c r="DI5" s="14">
        <f t="shared" si="1"/>
        <v>0</v>
      </c>
      <c r="DJ5" s="14">
        <f t="shared" si="1"/>
        <v>0</v>
      </c>
      <c r="DK5" s="14">
        <f t="shared" si="1"/>
        <v>0</v>
      </c>
      <c r="DL5" s="14">
        <f t="shared" si="1"/>
        <v>0</v>
      </c>
      <c r="DM5" s="109" t="s">
        <v>57</v>
      </c>
      <c r="DN5" s="14">
        <f t="shared" ref="DN5:FY5" si="2">SUMPRODUCT(DN7:DN298,$AD7:$AD298)</f>
        <v>0</v>
      </c>
      <c r="DO5" s="14">
        <f t="shared" si="2"/>
        <v>0</v>
      </c>
      <c r="DP5" s="14">
        <f t="shared" si="2"/>
        <v>0</v>
      </c>
      <c r="DQ5" s="14">
        <f t="shared" si="2"/>
        <v>0</v>
      </c>
      <c r="DR5" s="14">
        <f t="shared" si="2"/>
        <v>0</v>
      </c>
      <c r="DS5" s="14">
        <f t="shared" si="2"/>
        <v>0</v>
      </c>
      <c r="DT5" s="14">
        <f t="shared" si="2"/>
        <v>0</v>
      </c>
      <c r="DU5" s="14">
        <f t="shared" si="2"/>
        <v>0</v>
      </c>
      <c r="DV5" s="14">
        <f t="shared" si="2"/>
        <v>0</v>
      </c>
      <c r="DW5" s="14">
        <f t="shared" si="2"/>
        <v>0</v>
      </c>
      <c r="DX5" s="14">
        <f t="shared" si="2"/>
        <v>0</v>
      </c>
      <c r="DY5" s="14">
        <f t="shared" si="2"/>
        <v>0</v>
      </c>
      <c r="DZ5" s="14">
        <f t="shared" si="2"/>
        <v>0</v>
      </c>
      <c r="EA5" s="14">
        <f t="shared" si="2"/>
        <v>0</v>
      </c>
      <c r="EB5" s="14">
        <f t="shared" si="2"/>
        <v>0</v>
      </c>
      <c r="EC5" s="14">
        <f t="shared" si="2"/>
        <v>0</v>
      </c>
      <c r="ED5" s="14">
        <f t="shared" si="2"/>
        <v>0</v>
      </c>
      <c r="EE5" s="14">
        <f t="shared" si="2"/>
        <v>0</v>
      </c>
      <c r="EF5" s="14">
        <f t="shared" si="2"/>
        <v>0</v>
      </c>
      <c r="EG5" s="14">
        <f t="shared" si="2"/>
        <v>0</v>
      </c>
      <c r="EH5" s="14">
        <f t="shared" si="2"/>
        <v>0</v>
      </c>
      <c r="EI5" s="14">
        <f t="shared" si="2"/>
        <v>0</v>
      </c>
      <c r="EJ5" s="14">
        <f t="shared" si="2"/>
        <v>0</v>
      </c>
      <c r="EK5" s="14">
        <f t="shared" si="2"/>
        <v>0</v>
      </c>
      <c r="EL5" s="14">
        <f t="shared" si="2"/>
        <v>0</v>
      </c>
      <c r="EM5" s="14">
        <f t="shared" si="2"/>
        <v>0</v>
      </c>
      <c r="EN5" s="14">
        <f t="shared" si="2"/>
        <v>0</v>
      </c>
      <c r="EO5" s="14">
        <f t="shared" si="2"/>
        <v>0</v>
      </c>
      <c r="EP5" s="14">
        <f t="shared" si="2"/>
        <v>0</v>
      </c>
      <c r="EQ5" s="14">
        <f t="shared" si="2"/>
        <v>0</v>
      </c>
      <c r="ER5" s="14">
        <f t="shared" si="2"/>
        <v>0</v>
      </c>
      <c r="ES5" s="14">
        <f t="shared" si="2"/>
        <v>0</v>
      </c>
      <c r="ET5" s="14">
        <f t="shared" si="2"/>
        <v>0</v>
      </c>
      <c r="EU5" s="14">
        <f t="shared" si="2"/>
        <v>0</v>
      </c>
      <c r="EV5" s="14">
        <f t="shared" si="2"/>
        <v>0</v>
      </c>
      <c r="EW5" s="14">
        <f t="shared" si="2"/>
        <v>0</v>
      </c>
      <c r="EX5" s="14">
        <f t="shared" si="2"/>
        <v>0</v>
      </c>
      <c r="EY5" s="14">
        <f t="shared" si="2"/>
        <v>0</v>
      </c>
      <c r="EZ5" s="14">
        <f t="shared" si="2"/>
        <v>0</v>
      </c>
      <c r="FA5" s="14">
        <f t="shared" si="2"/>
        <v>0</v>
      </c>
      <c r="FB5" s="14">
        <f t="shared" si="2"/>
        <v>0</v>
      </c>
      <c r="FC5" s="14">
        <f t="shared" si="2"/>
        <v>0</v>
      </c>
      <c r="FD5" s="14">
        <f t="shared" si="2"/>
        <v>0</v>
      </c>
      <c r="FE5" s="14">
        <f t="shared" si="2"/>
        <v>0</v>
      </c>
      <c r="FF5" s="14">
        <f t="shared" si="2"/>
        <v>0</v>
      </c>
      <c r="FG5" s="14">
        <f t="shared" si="2"/>
        <v>0</v>
      </c>
      <c r="FH5" s="14">
        <f t="shared" si="2"/>
        <v>0</v>
      </c>
      <c r="FI5" s="14">
        <f t="shared" si="2"/>
        <v>0</v>
      </c>
      <c r="FJ5" s="14">
        <f t="shared" si="2"/>
        <v>0</v>
      </c>
      <c r="FK5" s="14">
        <f t="shared" si="2"/>
        <v>0</v>
      </c>
      <c r="FL5" s="14">
        <f t="shared" si="2"/>
        <v>0</v>
      </c>
      <c r="FM5" s="14">
        <f t="shared" si="2"/>
        <v>0</v>
      </c>
      <c r="FN5" s="14">
        <f t="shared" si="2"/>
        <v>0</v>
      </c>
      <c r="FO5" s="14">
        <f t="shared" si="2"/>
        <v>0</v>
      </c>
      <c r="FP5" s="14">
        <f t="shared" si="2"/>
        <v>0</v>
      </c>
      <c r="FQ5" s="14">
        <f t="shared" si="2"/>
        <v>0</v>
      </c>
      <c r="FR5" s="14">
        <f t="shared" si="2"/>
        <v>0</v>
      </c>
      <c r="FS5" s="14">
        <f t="shared" si="2"/>
        <v>0</v>
      </c>
      <c r="FT5" s="14">
        <f t="shared" si="2"/>
        <v>0</v>
      </c>
      <c r="FU5" s="14">
        <f t="shared" si="2"/>
        <v>0</v>
      </c>
      <c r="FV5" s="14">
        <f t="shared" si="2"/>
        <v>0</v>
      </c>
      <c r="FW5" s="14">
        <f t="shared" si="2"/>
        <v>0</v>
      </c>
      <c r="FX5" s="14">
        <f t="shared" si="2"/>
        <v>0</v>
      </c>
      <c r="FY5" s="14">
        <f t="shared" si="2"/>
        <v>0</v>
      </c>
      <c r="FZ5" s="14">
        <f t="shared" ref="FZ5:GC5" si="3">SUMPRODUCT(FZ7:FZ298,$AD7:$AD298)</f>
        <v>0</v>
      </c>
      <c r="GA5" s="14">
        <f t="shared" si="3"/>
        <v>0</v>
      </c>
      <c r="GB5" s="14">
        <f t="shared" si="3"/>
        <v>0</v>
      </c>
      <c r="GC5" s="14">
        <f t="shared" si="3"/>
        <v>0</v>
      </c>
      <c r="GD5" s="109" t="s">
        <v>57</v>
      </c>
      <c r="GE5" s="14">
        <f t="shared" ref="GE5:IP5" si="4">SUMPRODUCT(GE7:GE298,$AD7:$AD298)</f>
        <v>0</v>
      </c>
      <c r="GF5" s="14">
        <f t="shared" si="4"/>
        <v>0</v>
      </c>
      <c r="GG5" s="14">
        <f t="shared" si="4"/>
        <v>0</v>
      </c>
      <c r="GH5" s="14">
        <f t="shared" si="4"/>
        <v>0</v>
      </c>
      <c r="GI5" s="14">
        <f t="shared" si="4"/>
        <v>0</v>
      </c>
      <c r="GJ5" s="14">
        <f t="shared" si="4"/>
        <v>0</v>
      </c>
      <c r="GK5" s="14">
        <f t="shared" si="4"/>
        <v>0</v>
      </c>
      <c r="GL5" s="14">
        <f t="shared" si="4"/>
        <v>0</v>
      </c>
      <c r="GM5" s="14">
        <f t="shared" si="4"/>
        <v>0</v>
      </c>
      <c r="GN5" s="14">
        <f t="shared" si="4"/>
        <v>0</v>
      </c>
      <c r="GO5" s="14">
        <f t="shared" si="4"/>
        <v>0</v>
      </c>
      <c r="GP5" s="14">
        <f t="shared" si="4"/>
        <v>0</v>
      </c>
      <c r="GQ5" s="14">
        <f t="shared" si="4"/>
        <v>0</v>
      </c>
      <c r="GR5" s="14">
        <f t="shared" si="4"/>
        <v>0</v>
      </c>
      <c r="GS5" s="14">
        <f t="shared" si="4"/>
        <v>0</v>
      </c>
      <c r="GT5" s="14">
        <f t="shared" si="4"/>
        <v>0</v>
      </c>
      <c r="GU5" s="14">
        <f t="shared" si="4"/>
        <v>0</v>
      </c>
      <c r="GV5" s="14">
        <f t="shared" si="4"/>
        <v>0</v>
      </c>
      <c r="GW5" s="14">
        <f t="shared" si="4"/>
        <v>0</v>
      </c>
      <c r="GX5" s="14">
        <f t="shared" si="4"/>
        <v>0</v>
      </c>
      <c r="GY5" s="14">
        <f t="shared" si="4"/>
        <v>0</v>
      </c>
      <c r="GZ5" s="14">
        <f t="shared" si="4"/>
        <v>0</v>
      </c>
      <c r="HA5" s="14">
        <f t="shared" si="4"/>
        <v>0</v>
      </c>
      <c r="HB5" s="14">
        <f t="shared" si="4"/>
        <v>0</v>
      </c>
      <c r="HC5" s="14">
        <f t="shared" si="4"/>
        <v>0</v>
      </c>
      <c r="HD5" s="14">
        <f t="shared" si="4"/>
        <v>0</v>
      </c>
      <c r="HE5" s="14">
        <f t="shared" si="4"/>
        <v>0</v>
      </c>
      <c r="HF5" s="14">
        <f t="shared" si="4"/>
        <v>0</v>
      </c>
      <c r="HG5" s="14">
        <f t="shared" si="4"/>
        <v>0</v>
      </c>
      <c r="HH5" s="14">
        <f t="shared" si="4"/>
        <v>0</v>
      </c>
      <c r="HI5" s="14">
        <f t="shared" si="4"/>
        <v>0</v>
      </c>
      <c r="HJ5" s="14">
        <f t="shared" si="4"/>
        <v>0</v>
      </c>
      <c r="HK5" s="14">
        <f t="shared" si="4"/>
        <v>0</v>
      </c>
      <c r="HL5" s="14">
        <f t="shared" si="4"/>
        <v>0</v>
      </c>
      <c r="HM5" s="14">
        <f t="shared" si="4"/>
        <v>0</v>
      </c>
      <c r="HN5" s="14">
        <f t="shared" si="4"/>
        <v>0</v>
      </c>
      <c r="HO5" s="14">
        <f t="shared" si="4"/>
        <v>0</v>
      </c>
      <c r="HP5" s="14">
        <f t="shared" si="4"/>
        <v>0</v>
      </c>
      <c r="HQ5" s="14">
        <f t="shared" si="4"/>
        <v>0</v>
      </c>
      <c r="HR5" s="14">
        <f t="shared" si="4"/>
        <v>0</v>
      </c>
      <c r="HS5" s="14">
        <f t="shared" si="4"/>
        <v>0</v>
      </c>
      <c r="HT5" s="14">
        <f t="shared" si="4"/>
        <v>0</v>
      </c>
      <c r="HU5" s="14">
        <f t="shared" si="4"/>
        <v>0</v>
      </c>
      <c r="HV5" s="14">
        <f t="shared" si="4"/>
        <v>0</v>
      </c>
      <c r="HW5" s="14">
        <f t="shared" si="4"/>
        <v>0</v>
      </c>
      <c r="HX5" s="14">
        <f t="shared" si="4"/>
        <v>0</v>
      </c>
      <c r="HY5" s="14">
        <f t="shared" si="4"/>
        <v>0</v>
      </c>
      <c r="HZ5" s="14">
        <f t="shared" si="4"/>
        <v>0</v>
      </c>
      <c r="IA5" s="14">
        <f t="shared" si="4"/>
        <v>0</v>
      </c>
      <c r="IB5" s="14">
        <f t="shared" si="4"/>
        <v>0</v>
      </c>
      <c r="IC5" s="14">
        <f t="shared" si="4"/>
        <v>0</v>
      </c>
      <c r="ID5" s="14">
        <f t="shared" si="4"/>
        <v>0</v>
      </c>
      <c r="IE5" s="14">
        <f t="shared" si="4"/>
        <v>0</v>
      </c>
      <c r="IF5" s="14">
        <f t="shared" si="4"/>
        <v>0</v>
      </c>
      <c r="IG5" s="14">
        <f t="shared" si="4"/>
        <v>0</v>
      </c>
      <c r="IH5" s="14">
        <f t="shared" si="4"/>
        <v>0</v>
      </c>
      <c r="II5" s="14">
        <f t="shared" si="4"/>
        <v>0</v>
      </c>
      <c r="IJ5" s="14">
        <f t="shared" si="4"/>
        <v>0</v>
      </c>
      <c r="IK5" s="14">
        <f t="shared" si="4"/>
        <v>0</v>
      </c>
      <c r="IL5" s="14">
        <f t="shared" si="4"/>
        <v>0</v>
      </c>
      <c r="IM5" s="14">
        <f t="shared" si="4"/>
        <v>0</v>
      </c>
      <c r="IN5" s="14">
        <f t="shared" si="4"/>
        <v>0</v>
      </c>
      <c r="IO5" s="14">
        <f t="shared" si="4"/>
        <v>0</v>
      </c>
      <c r="IP5" s="14">
        <f t="shared" si="4"/>
        <v>0</v>
      </c>
      <c r="IQ5" s="14">
        <f t="shared" ref="IQ5:IT5" si="5">SUMPRODUCT(IQ7:IQ298,$AD7:$AD298)</f>
        <v>0</v>
      </c>
      <c r="IR5" s="14">
        <f t="shared" si="5"/>
        <v>0</v>
      </c>
      <c r="IS5" s="14">
        <f t="shared" si="5"/>
        <v>0</v>
      </c>
      <c r="IT5" s="14">
        <f t="shared" si="5"/>
        <v>0</v>
      </c>
      <c r="IU5" s="109" t="s">
        <v>57</v>
      </c>
      <c r="IV5" s="14">
        <f t="shared" ref="IV5:LG5" si="6">SUMPRODUCT(IV7:IV298,$AD7:$AD298)</f>
        <v>0</v>
      </c>
      <c r="IW5" s="14">
        <f t="shared" si="6"/>
        <v>0</v>
      </c>
      <c r="IX5" s="14">
        <f t="shared" si="6"/>
        <v>0</v>
      </c>
      <c r="IY5" s="14">
        <f t="shared" si="6"/>
        <v>0</v>
      </c>
      <c r="IZ5" s="14">
        <f t="shared" si="6"/>
        <v>0</v>
      </c>
      <c r="JA5" s="14">
        <f t="shared" si="6"/>
        <v>0</v>
      </c>
      <c r="JB5" s="14">
        <f t="shared" si="6"/>
        <v>0</v>
      </c>
      <c r="JC5" s="14">
        <f t="shared" si="6"/>
        <v>0</v>
      </c>
      <c r="JD5" s="14">
        <f t="shared" si="6"/>
        <v>0</v>
      </c>
      <c r="JE5" s="14">
        <f t="shared" si="6"/>
        <v>0</v>
      </c>
      <c r="JF5" s="14">
        <f t="shared" si="6"/>
        <v>0</v>
      </c>
      <c r="JG5" s="14">
        <f t="shared" si="6"/>
        <v>0</v>
      </c>
      <c r="JH5" s="14">
        <f t="shared" si="6"/>
        <v>0</v>
      </c>
      <c r="JI5" s="14">
        <f t="shared" si="6"/>
        <v>0</v>
      </c>
      <c r="JJ5" s="14">
        <f t="shared" si="6"/>
        <v>0</v>
      </c>
      <c r="JK5" s="14">
        <f t="shared" si="6"/>
        <v>0</v>
      </c>
      <c r="JL5" s="14">
        <f t="shared" si="6"/>
        <v>0</v>
      </c>
      <c r="JM5" s="14">
        <f t="shared" si="6"/>
        <v>0</v>
      </c>
      <c r="JN5" s="14">
        <f t="shared" si="6"/>
        <v>0</v>
      </c>
      <c r="JO5" s="14">
        <f t="shared" si="6"/>
        <v>0</v>
      </c>
      <c r="JP5" s="14">
        <f t="shared" si="6"/>
        <v>0</v>
      </c>
      <c r="JQ5" s="14">
        <f t="shared" si="6"/>
        <v>0</v>
      </c>
      <c r="JR5" s="14">
        <f t="shared" si="6"/>
        <v>0</v>
      </c>
      <c r="JS5" s="14">
        <f t="shared" si="6"/>
        <v>0</v>
      </c>
      <c r="JT5" s="14">
        <f t="shared" si="6"/>
        <v>0</v>
      </c>
      <c r="JU5" s="14">
        <f t="shared" si="6"/>
        <v>0</v>
      </c>
      <c r="JV5" s="14">
        <f t="shared" si="6"/>
        <v>0</v>
      </c>
      <c r="JW5" s="14">
        <f t="shared" si="6"/>
        <v>0</v>
      </c>
      <c r="JX5" s="14">
        <f t="shared" si="6"/>
        <v>0</v>
      </c>
      <c r="JY5" s="14">
        <f t="shared" si="6"/>
        <v>0</v>
      </c>
      <c r="JZ5" s="14">
        <f t="shared" si="6"/>
        <v>0</v>
      </c>
      <c r="KA5" s="14">
        <f t="shared" si="6"/>
        <v>0</v>
      </c>
      <c r="KB5" s="14">
        <f t="shared" si="6"/>
        <v>0</v>
      </c>
      <c r="KC5" s="14">
        <f t="shared" si="6"/>
        <v>0</v>
      </c>
      <c r="KD5" s="14">
        <f t="shared" si="6"/>
        <v>0</v>
      </c>
      <c r="KE5" s="14">
        <f t="shared" si="6"/>
        <v>0</v>
      </c>
      <c r="KF5" s="14">
        <f t="shared" si="6"/>
        <v>0</v>
      </c>
      <c r="KG5" s="14">
        <f t="shared" si="6"/>
        <v>0</v>
      </c>
      <c r="KH5" s="14">
        <f t="shared" si="6"/>
        <v>0</v>
      </c>
      <c r="KI5" s="14">
        <f t="shared" si="6"/>
        <v>0</v>
      </c>
      <c r="KJ5" s="14">
        <f t="shared" si="6"/>
        <v>0</v>
      </c>
      <c r="KK5" s="14">
        <f t="shared" si="6"/>
        <v>0</v>
      </c>
      <c r="KL5" s="14">
        <f t="shared" si="6"/>
        <v>0</v>
      </c>
      <c r="KM5" s="14">
        <f t="shared" si="6"/>
        <v>0</v>
      </c>
      <c r="KN5" s="14">
        <f t="shared" si="6"/>
        <v>0</v>
      </c>
      <c r="KO5" s="14">
        <f t="shared" si="6"/>
        <v>0</v>
      </c>
      <c r="KP5" s="14">
        <f t="shared" si="6"/>
        <v>0</v>
      </c>
      <c r="KQ5" s="14">
        <f t="shared" si="6"/>
        <v>0</v>
      </c>
      <c r="KR5" s="14">
        <f t="shared" si="6"/>
        <v>0</v>
      </c>
      <c r="KS5" s="14">
        <f t="shared" si="6"/>
        <v>0</v>
      </c>
      <c r="KT5" s="14">
        <f t="shared" si="6"/>
        <v>0</v>
      </c>
      <c r="KU5" s="14">
        <f t="shared" si="6"/>
        <v>0</v>
      </c>
      <c r="KV5" s="14">
        <f t="shared" si="6"/>
        <v>0</v>
      </c>
      <c r="KW5" s="14">
        <f t="shared" si="6"/>
        <v>0</v>
      </c>
      <c r="KX5" s="14">
        <f t="shared" si="6"/>
        <v>0</v>
      </c>
      <c r="KY5" s="14">
        <f t="shared" si="6"/>
        <v>0</v>
      </c>
      <c r="KZ5" s="14">
        <f t="shared" si="6"/>
        <v>0</v>
      </c>
      <c r="LA5" s="14">
        <f t="shared" si="6"/>
        <v>0</v>
      </c>
      <c r="LB5" s="14">
        <f t="shared" si="6"/>
        <v>0</v>
      </c>
      <c r="LC5" s="14">
        <f t="shared" si="6"/>
        <v>0</v>
      </c>
      <c r="LD5" s="14">
        <f t="shared" si="6"/>
        <v>0</v>
      </c>
      <c r="LE5" s="14">
        <f t="shared" si="6"/>
        <v>0</v>
      </c>
      <c r="LF5" s="14">
        <f t="shared" si="6"/>
        <v>0</v>
      </c>
      <c r="LG5" s="14">
        <f t="shared" si="6"/>
        <v>0</v>
      </c>
      <c r="LH5" s="14">
        <f t="shared" ref="LH5:LK5" si="7">SUMPRODUCT(LH7:LH298,$AD7:$AD298)</f>
        <v>0</v>
      </c>
      <c r="LI5" s="14">
        <f t="shared" si="7"/>
        <v>0</v>
      </c>
      <c r="LJ5" s="14">
        <f t="shared" si="7"/>
        <v>0</v>
      </c>
      <c r="LK5" s="14">
        <f t="shared" si="7"/>
        <v>0</v>
      </c>
      <c r="LL5" s="109" t="s">
        <v>57</v>
      </c>
      <c r="LM5" s="14">
        <f t="shared" ref="LM5:NX5" si="8">SUMPRODUCT(LM7:LM298,$AD7:$AD298)</f>
        <v>0</v>
      </c>
      <c r="LN5" s="14">
        <f t="shared" si="8"/>
        <v>0</v>
      </c>
      <c r="LO5" s="14">
        <f t="shared" si="8"/>
        <v>0</v>
      </c>
      <c r="LP5" s="14">
        <f t="shared" si="8"/>
        <v>0</v>
      </c>
      <c r="LQ5" s="14">
        <f t="shared" si="8"/>
        <v>0</v>
      </c>
      <c r="LR5" s="14">
        <f t="shared" si="8"/>
        <v>0</v>
      </c>
      <c r="LS5" s="14">
        <f t="shared" si="8"/>
        <v>0</v>
      </c>
      <c r="LT5" s="14">
        <f t="shared" si="8"/>
        <v>0</v>
      </c>
      <c r="LU5" s="14">
        <f t="shared" si="8"/>
        <v>0</v>
      </c>
      <c r="LV5" s="14">
        <f t="shared" si="8"/>
        <v>0</v>
      </c>
      <c r="LW5" s="14">
        <f t="shared" si="8"/>
        <v>0</v>
      </c>
      <c r="LX5" s="14">
        <f t="shared" si="8"/>
        <v>0</v>
      </c>
      <c r="LY5" s="14">
        <f t="shared" si="8"/>
        <v>0</v>
      </c>
      <c r="LZ5" s="14">
        <f t="shared" si="8"/>
        <v>0</v>
      </c>
      <c r="MA5" s="14">
        <f t="shared" si="8"/>
        <v>0</v>
      </c>
      <c r="MB5" s="14">
        <f t="shared" si="8"/>
        <v>0</v>
      </c>
      <c r="MC5" s="14">
        <f t="shared" si="8"/>
        <v>0</v>
      </c>
      <c r="MD5" s="14">
        <f t="shared" si="8"/>
        <v>0</v>
      </c>
      <c r="ME5" s="14">
        <f t="shared" si="8"/>
        <v>0</v>
      </c>
      <c r="MF5" s="14">
        <f t="shared" si="8"/>
        <v>0</v>
      </c>
      <c r="MG5" s="14">
        <f t="shared" si="8"/>
        <v>0</v>
      </c>
      <c r="MH5" s="14">
        <f t="shared" si="8"/>
        <v>0</v>
      </c>
      <c r="MI5" s="14">
        <f t="shared" si="8"/>
        <v>0</v>
      </c>
      <c r="MJ5" s="14">
        <f t="shared" si="8"/>
        <v>0</v>
      </c>
      <c r="MK5" s="14">
        <f t="shared" si="8"/>
        <v>0</v>
      </c>
      <c r="ML5" s="14">
        <f t="shared" si="8"/>
        <v>0</v>
      </c>
      <c r="MM5" s="14">
        <f t="shared" si="8"/>
        <v>0</v>
      </c>
      <c r="MN5" s="14">
        <f t="shared" si="8"/>
        <v>0</v>
      </c>
      <c r="MO5" s="14">
        <f t="shared" si="8"/>
        <v>0</v>
      </c>
      <c r="MP5" s="14">
        <f t="shared" si="8"/>
        <v>0</v>
      </c>
      <c r="MQ5" s="14">
        <f t="shared" si="8"/>
        <v>0</v>
      </c>
      <c r="MR5" s="14">
        <f t="shared" si="8"/>
        <v>0</v>
      </c>
      <c r="MS5" s="14">
        <f t="shared" si="8"/>
        <v>0</v>
      </c>
      <c r="MT5" s="14">
        <f t="shared" si="8"/>
        <v>0</v>
      </c>
      <c r="MU5" s="14">
        <f t="shared" si="8"/>
        <v>0</v>
      </c>
      <c r="MV5" s="14">
        <f t="shared" si="8"/>
        <v>0</v>
      </c>
      <c r="MW5" s="14">
        <f t="shared" si="8"/>
        <v>0</v>
      </c>
      <c r="MX5" s="14">
        <f t="shared" si="8"/>
        <v>0</v>
      </c>
      <c r="MY5" s="14">
        <f t="shared" si="8"/>
        <v>0</v>
      </c>
      <c r="MZ5" s="14">
        <f t="shared" si="8"/>
        <v>0</v>
      </c>
      <c r="NA5" s="14">
        <f t="shared" si="8"/>
        <v>0</v>
      </c>
      <c r="NB5" s="14">
        <f t="shared" si="8"/>
        <v>0</v>
      </c>
      <c r="NC5" s="14">
        <f t="shared" si="8"/>
        <v>0</v>
      </c>
      <c r="ND5" s="14">
        <f t="shared" si="8"/>
        <v>0</v>
      </c>
      <c r="NE5" s="14">
        <f t="shared" si="8"/>
        <v>0</v>
      </c>
      <c r="NF5" s="14">
        <f t="shared" si="8"/>
        <v>0</v>
      </c>
      <c r="NG5" s="14">
        <f t="shared" si="8"/>
        <v>0</v>
      </c>
      <c r="NH5" s="14">
        <f t="shared" si="8"/>
        <v>0</v>
      </c>
      <c r="NI5" s="14">
        <f t="shared" si="8"/>
        <v>0</v>
      </c>
      <c r="NJ5" s="14">
        <f t="shared" si="8"/>
        <v>0</v>
      </c>
      <c r="NK5" s="14">
        <f t="shared" si="8"/>
        <v>0</v>
      </c>
      <c r="NL5" s="14">
        <f t="shared" si="8"/>
        <v>0</v>
      </c>
      <c r="NM5" s="14">
        <f t="shared" si="8"/>
        <v>0</v>
      </c>
      <c r="NN5" s="14">
        <f t="shared" si="8"/>
        <v>0</v>
      </c>
      <c r="NO5" s="14">
        <f t="shared" si="8"/>
        <v>0</v>
      </c>
      <c r="NP5" s="14">
        <f t="shared" si="8"/>
        <v>0</v>
      </c>
      <c r="NQ5" s="14">
        <f t="shared" si="8"/>
        <v>0</v>
      </c>
      <c r="NR5" s="14">
        <f t="shared" si="8"/>
        <v>0</v>
      </c>
      <c r="NS5" s="14">
        <f t="shared" si="8"/>
        <v>0</v>
      </c>
      <c r="NT5" s="14">
        <f t="shared" si="8"/>
        <v>0</v>
      </c>
      <c r="NU5" s="14">
        <f t="shared" si="8"/>
        <v>0</v>
      </c>
      <c r="NV5" s="14">
        <f t="shared" si="8"/>
        <v>0</v>
      </c>
      <c r="NW5" s="14">
        <f t="shared" si="8"/>
        <v>0</v>
      </c>
      <c r="NX5" s="14">
        <f t="shared" si="8"/>
        <v>0</v>
      </c>
      <c r="NY5" s="14">
        <f t="shared" ref="NY5:OB5" si="9">SUMPRODUCT(NY7:NY298,$AD7:$AD298)</f>
        <v>0</v>
      </c>
      <c r="NZ5" s="14">
        <f t="shared" si="9"/>
        <v>0</v>
      </c>
      <c r="OA5" s="14">
        <f t="shared" si="9"/>
        <v>0</v>
      </c>
      <c r="OB5" s="14">
        <f t="shared" si="9"/>
        <v>0</v>
      </c>
      <c r="OC5" s="109" t="s">
        <v>57</v>
      </c>
      <c r="OD5" s="14">
        <f t="shared" ref="OD5:QO5" si="10">SUMPRODUCT(OD7:OD298,$AD7:$AD298)</f>
        <v>0</v>
      </c>
      <c r="OE5" s="14">
        <f t="shared" si="10"/>
        <v>0</v>
      </c>
      <c r="OF5" s="14">
        <f t="shared" si="10"/>
        <v>0</v>
      </c>
      <c r="OG5" s="14">
        <f t="shared" si="10"/>
        <v>0</v>
      </c>
      <c r="OH5" s="14">
        <f t="shared" si="10"/>
        <v>0</v>
      </c>
      <c r="OI5" s="14">
        <f t="shared" si="10"/>
        <v>0</v>
      </c>
      <c r="OJ5" s="14">
        <f t="shared" si="10"/>
        <v>0</v>
      </c>
      <c r="OK5" s="14">
        <f t="shared" si="10"/>
        <v>0</v>
      </c>
      <c r="OL5" s="14">
        <f t="shared" si="10"/>
        <v>0</v>
      </c>
      <c r="OM5" s="14">
        <f t="shared" si="10"/>
        <v>0</v>
      </c>
      <c r="ON5" s="14">
        <f t="shared" si="10"/>
        <v>0</v>
      </c>
      <c r="OO5" s="14">
        <f t="shared" si="10"/>
        <v>0</v>
      </c>
      <c r="OP5" s="14">
        <f t="shared" si="10"/>
        <v>0</v>
      </c>
      <c r="OQ5" s="14">
        <f t="shared" si="10"/>
        <v>0</v>
      </c>
      <c r="OR5" s="14">
        <f t="shared" si="10"/>
        <v>0</v>
      </c>
      <c r="OS5" s="14">
        <f t="shared" si="10"/>
        <v>0</v>
      </c>
      <c r="OT5" s="14">
        <f t="shared" si="10"/>
        <v>0</v>
      </c>
      <c r="OU5" s="14">
        <f t="shared" si="10"/>
        <v>0</v>
      </c>
      <c r="OV5" s="14">
        <f t="shared" si="10"/>
        <v>0</v>
      </c>
      <c r="OW5" s="14">
        <f t="shared" si="10"/>
        <v>0</v>
      </c>
      <c r="OX5" s="14">
        <f t="shared" si="10"/>
        <v>0</v>
      </c>
      <c r="OY5" s="14">
        <f t="shared" si="10"/>
        <v>0</v>
      </c>
      <c r="OZ5" s="14">
        <f t="shared" si="10"/>
        <v>0</v>
      </c>
      <c r="PA5" s="14">
        <f t="shared" si="10"/>
        <v>0</v>
      </c>
      <c r="PB5" s="14">
        <f t="shared" si="10"/>
        <v>0</v>
      </c>
      <c r="PC5" s="14">
        <f t="shared" si="10"/>
        <v>0</v>
      </c>
      <c r="PD5" s="14">
        <f t="shared" si="10"/>
        <v>0</v>
      </c>
      <c r="PE5" s="14">
        <f t="shared" si="10"/>
        <v>0</v>
      </c>
      <c r="PF5" s="14">
        <f t="shared" si="10"/>
        <v>0</v>
      </c>
      <c r="PG5" s="14">
        <f t="shared" si="10"/>
        <v>0</v>
      </c>
      <c r="PH5" s="14">
        <f t="shared" si="10"/>
        <v>0</v>
      </c>
      <c r="PI5" s="14">
        <f t="shared" si="10"/>
        <v>0</v>
      </c>
      <c r="PJ5" s="14">
        <f t="shared" si="10"/>
        <v>0</v>
      </c>
      <c r="PK5" s="14">
        <f t="shared" si="10"/>
        <v>0</v>
      </c>
      <c r="PL5" s="14">
        <f t="shared" si="10"/>
        <v>0</v>
      </c>
      <c r="PM5" s="14">
        <f t="shared" si="10"/>
        <v>0</v>
      </c>
      <c r="PN5" s="14">
        <f t="shared" si="10"/>
        <v>0</v>
      </c>
      <c r="PO5" s="14">
        <f t="shared" si="10"/>
        <v>0</v>
      </c>
      <c r="PP5" s="14">
        <f t="shared" si="10"/>
        <v>0</v>
      </c>
      <c r="PQ5" s="14">
        <f t="shared" si="10"/>
        <v>0</v>
      </c>
      <c r="PR5" s="14">
        <f t="shared" si="10"/>
        <v>0</v>
      </c>
      <c r="PS5" s="14">
        <f t="shared" si="10"/>
        <v>0</v>
      </c>
      <c r="PT5" s="14">
        <f t="shared" si="10"/>
        <v>0</v>
      </c>
      <c r="PU5" s="14">
        <f t="shared" si="10"/>
        <v>0</v>
      </c>
      <c r="PV5" s="14">
        <f t="shared" si="10"/>
        <v>0</v>
      </c>
      <c r="PW5" s="14">
        <f t="shared" si="10"/>
        <v>0</v>
      </c>
      <c r="PX5" s="14">
        <f t="shared" si="10"/>
        <v>0</v>
      </c>
      <c r="PY5" s="14">
        <f t="shared" si="10"/>
        <v>0</v>
      </c>
      <c r="PZ5" s="14">
        <f t="shared" si="10"/>
        <v>0</v>
      </c>
      <c r="QA5" s="14">
        <f t="shared" si="10"/>
        <v>0</v>
      </c>
      <c r="QB5" s="14">
        <f t="shared" si="10"/>
        <v>0</v>
      </c>
      <c r="QC5" s="14">
        <f t="shared" si="10"/>
        <v>0</v>
      </c>
      <c r="QD5" s="14">
        <f t="shared" si="10"/>
        <v>0</v>
      </c>
      <c r="QE5" s="14">
        <f t="shared" si="10"/>
        <v>0</v>
      </c>
      <c r="QF5" s="14">
        <f t="shared" si="10"/>
        <v>0</v>
      </c>
      <c r="QG5" s="14">
        <f t="shared" si="10"/>
        <v>0</v>
      </c>
      <c r="QH5" s="14">
        <f t="shared" si="10"/>
        <v>0</v>
      </c>
      <c r="QI5" s="14">
        <f t="shared" si="10"/>
        <v>0</v>
      </c>
      <c r="QJ5" s="14">
        <f t="shared" si="10"/>
        <v>0</v>
      </c>
      <c r="QK5" s="14">
        <f t="shared" si="10"/>
        <v>0</v>
      </c>
      <c r="QL5" s="14">
        <f t="shared" si="10"/>
        <v>0</v>
      </c>
      <c r="QM5" s="14">
        <f t="shared" si="10"/>
        <v>0</v>
      </c>
      <c r="QN5" s="14">
        <f t="shared" si="10"/>
        <v>0</v>
      </c>
      <c r="QO5" s="14">
        <f t="shared" si="10"/>
        <v>0</v>
      </c>
      <c r="QP5" s="14">
        <f t="shared" ref="QP5:QS5" si="11">SUMPRODUCT(QP7:QP298,$AD7:$AD298)</f>
        <v>0</v>
      </c>
      <c r="QQ5" s="14">
        <f t="shared" si="11"/>
        <v>0</v>
      </c>
      <c r="QR5" s="14">
        <f t="shared" si="11"/>
        <v>0</v>
      </c>
      <c r="QS5" s="14">
        <f t="shared" si="11"/>
        <v>0</v>
      </c>
      <c r="QT5" s="109" t="s">
        <v>57</v>
      </c>
      <c r="QU5" s="14">
        <f t="shared" ref="QU5:TF5" si="12">SUMPRODUCT(QU7:QU298,$AD7:$AD298)</f>
        <v>0</v>
      </c>
      <c r="QV5" s="14">
        <f t="shared" si="12"/>
        <v>0</v>
      </c>
      <c r="QW5" s="14">
        <f t="shared" si="12"/>
        <v>0</v>
      </c>
      <c r="QX5" s="14">
        <f t="shared" si="12"/>
        <v>0</v>
      </c>
      <c r="QY5" s="14">
        <f t="shared" si="12"/>
        <v>0</v>
      </c>
      <c r="QZ5" s="14">
        <f t="shared" si="12"/>
        <v>0</v>
      </c>
      <c r="RA5" s="14">
        <f t="shared" si="12"/>
        <v>0</v>
      </c>
      <c r="RB5" s="14">
        <f t="shared" si="12"/>
        <v>0</v>
      </c>
      <c r="RC5" s="14">
        <f t="shared" si="12"/>
        <v>0</v>
      </c>
      <c r="RD5" s="14">
        <f t="shared" si="12"/>
        <v>0</v>
      </c>
      <c r="RE5" s="14">
        <f t="shared" si="12"/>
        <v>0</v>
      </c>
      <c r="RF5" s="14">
        <f t="shared" si="12"/>
        <v>0</v>
      </c>
      <c r="RG5" s="14">
        <f t="shared" si="12"/>
        <v>0</v>
      </c>
      <c r="RH5" s="14">
        <f t="shared" si="12"/>
        <v>0</v>
      </c>
      <c r="RI5" s="14">
        <f t="shared" si="12"/>
        <v>0</v>
      </c>
      <c r="RJ5" s="14">
        <f t="shared" si="12"/>
        <v>0</v>
      </c>
      <c r="RK5" s="14">
        <f t="shared" si="12"/>
        <v>0</v>
      </c>
      <c r="RL5" s="14">
        <f t="shared" si="12"/>
        <v>0</v>
      </c>
      <c r="RM5" s="14">
        <f t="shared" si="12"/>
        <v>0</v>
      </c>
      <c r="RN5" s="14">
        <f t="shared" si="12"/>
        <v>0</v>
      </c>
      <c r="RO5" s="14">
        <f t="shared" si="12"/>
        <v>0</v>
      </c>
      <c r="RP5" s="14">
        <f t="shared" si="12"/>
        <v>0</v>
      </c>
      <c r="RQ5" s="14">
        <f t="shared" si="12"/>
        <v>0</v>
      </c>
      <c r="RR5" s="14">
        <f t="shared" si="12"/>
        <v>0</v>
      </c>
      <c r="RS5" s="14">
        <f t="shared" si="12"/>
        <v>0</v>
      </c>
      <c r="RT5" s="14">
        <f t="shared" si="12"/>
        <v>0</v>
      </c>
      <c r="RU5" s="14">
        <f t="shared" si="12"/>
        <v>0</v>
      </c>
      <c r="RV5" s="14">
        <f t="shared" si="12"/>
        <v>0</v>
      </c>
      <c r="RW5" s="14">
        <f t="shared" si="12"/>
        <v>0</v>
      </c>
      <c r="RX5" s="14">
        <f t="shared" si="12"/>
        <v>0</v>
      </c>
      <c r="RY5" s="14">
        <f t="shared" si="12"/>
        <v>0</v>
      </c>
      <c r="RZ5" s="14">
        <f t="shared" si="12"/>
        <v>0</v>
      </c>
      <c r="SA5" s="14">
        <f t="shared" si="12"/>
        <v>0</v>
      </c>
      <c r="SB5" s="14">
        <f t="shared" si="12"/>
        <v>0</v>
      </c>
      <c r="SC5" s="14">
        <f t="shared" si="12"/>
        <v>0</v>
      </c>
      <c r="SD5" s="14">
        <f t="shared" si="12"/>
        <v>0</v>
      </c>
      <c r="SE5" s="14">
        <f t="shared" si="12"/>
        <v>0</v>
      </c>
      <c r="SF5" s="14">
        <f t="shared" si="12"/>
        <v>0</v>
      </c>
      <c r="SG5" s="14">
        <f t="shared" si="12"/>
        <v>0</v>
      </c>
      <c r="SH5" s="14">
        <f t="shared" si="12"/>
        <v>0</v>
      </c>
      <c r="SI5" s="14">
        <f t="shared" si="12"/>
        <v>0</v>
      </c>
      <c r="SJ5" s="14">
        <f t="shared" si="12"/>
        <v>0</v>
      </c>
      <c r="SK5" s="14">
        <f t="shared" si="12"/>
        <v>0</v>
      </c>
      <c r="SL5" s="14">
        <f t="shared" si="12"/>
        <v>0</v>
      </c>
      <c r="SM5" s="14">
        <f t="shared" si="12"/>
        <v>0</v>
      </c>
      <c r="SN5" s="14">
        <f t="shared" si="12"/>
        <v>0</v>
      </c>
      <c r="SO5" s="14">
        <f t="shared" si="12"/>
        <v>0</v>
      </c>
      <c r="SP5" s="14">
        <f t="shared" si="12"/>
        <v>0</v>
      </c>
      <c r="SQ5" s="14">
        <f t="shared" si="12"/>
        <v>0</v>
      </c>
      <c r="SR5" s="14">
        <f t="shared" si="12"/>
        <v>0</v>
      </c>
      <c r="SS5" s="14">
        <f t="shared" si="12"/>
        <v>0</v>
      </c>
      <c r="ST5" s="14">
        <f t="shared" si="12"/>
        <v>0</v>
      </c>
      <c r="SU5" s="14">
        <f t="shared" si="12"/>
        <v>0</v>
      </c>
      <c r="SV5" s="14">
        <f t="shared" si="12"/>
        <v>0</v>
      </c>
      <c r="SW5" s="14">
        <f t="shared" si="12"/>
        <v>0</v>
      </c>
      <c r="SX5" s="14">
        <f t="shared" si="12"/>
        <v>0</v>
      </c>
      <c r="SY5" s="14">
        <f t="shared" si="12"/>
        <v>0</v>
      </c>
      <c r="SZ5" s="14">
        <f t="shared" si="12"/>
        <v>0</v>
      </c>
      <c r="TA5" s="14">
        <f t="shared" si="12"/>
        <v>0</v>
      </c>
      <c r="TB5" s="14">
        <f t="shared" si="12"/>
        <v>0</v>
      </c>
      <c r="TC5" s="14">
        <f t="shared" si="12"/>
        <v>0</v>
      </c>
      <c r="TD5" s="14">
        <f t="shared" si="12"/>
        <v>0</v>
      </c>
      <c r="TE5" s="14">
        <f t="shared" si="12"/>
        <v>0</v>
      </c>
      <c r="TF5" s="14">
        <f t="shared" si="12"/>
        <v>0</v>
      </c>
      <c r="TG5" s="14">
        <f t="shared" ref="TG5:TJ5" si="13">SUMPRODUCT(TG7:TG298,$AD7:$AD298)</f>
        <v>0</v>
      </c>
      <c r="TH5" s="14">
        <f t="shared" si="13"/>
        <v>0</v>
      </c>
      <c r="TI5" s="14">
        <f t="shared" si="13"/>
        <v>0</v>
      </c>
      <c r="TJ5" s="14">
        <f t="shared" si="13"/>
        <v>0</v>
      </c>
      <c r="TK5" s="109" t="s">
        <v>57</v>
      </c>
      <c r="TL5" s="14">
        <f t="shared" ref="TL5:VW5" si="14">SUMPRODUCT(TL7:TL298,$AD7:$AD298)</f>
        <v>0</v>
      </c>
      <c r="TM5" s="14">
        <f t="shared" si="14"/>
        <v>0</v>
      </c>
      <c r="TN5" s="14">
        <f t="shared" si="14"/>
        <v>0</v>
      </c>
      <c r="TO5" s="14">
        <f t="shared" si="14"/>
        <v>0</v>
      </c>
      <c r="TP5" s="14">
        <f t="shared" si="14"/>
        <v>0</v>
      </c>
      <c r="TQ5" s="14">
        <f t="shared" si="14"/>
        <v>0</v>
      </c>
      <c r="TR5" s="14">
        <f t="shared" si="14"/>
        <v>0</v>
      </c>
      <c r="TS5" s="14">
        <f t="shared" si="14"/>
        <v>0</v>
      </c>
      <c r="TT5" s="14">
        <f t="shared" si="14"/>
        <v>0</v>
      </c>
      <c r="TU5" s="14">
        <f t="shared" si="14"/>
        <v>0</v>
      </c>
      <c r="TV5" s="14">
        <f t="shared" si="14"/>
        <v>0</v>
      </c>
      <c r="TW5" s="14">
        <f t="shared" si="14"/>
        <v>0</v>
      </c>
      <c r="TX5" s="14">
        <f t="shared" si="14"/>
        <v>0</v>
      </c>
      <c r="TY5" s="14">
        <f t="shared" si="14"/>
        <v>0</v>
      </c>
      <c r="TZ5" s="14">
        <f t="shared" si="14"/>
        <v>0</v>
      </c>
      <c r="UA5" s="14">
        <f t="shared" si="14"/>
        <v>0</v>
      </c>
      <c r="UB5" s="14">
        <f t="shared" si="14"/>
        <v>0</v>
      </c>
      <c r="UC5" s="14">
        <f t="shared" si="14"/>
        <v>0</v>
      </c>
      <c r="UD5" s="14">
        <f t="shared" si="14"/>
        <v>0</v>
      </c>
      <c r="UE5" s="14">
        <f t="shared" si="14"/>
        <v>0</v>
      </c>
      <c r="UF5" s="14">
        <f t="shared" si="14"/>
        <v>0</v>
      </c>
      <c r="UG5" s="14">
        <f t="shared" si="14"/>
        <v>0</v>
      </c>
      <c r="UH5" s="14">
        <f t="shared" si="14"/>
        <v>0</v>
      </c>
      <c r="UI5" s="14">
        <f t="shared" si="14"/>
        <v>0</v>
      </c>
      <c r="UJ5" s="14">
        <f t="shared" si="14"/>
        <v>0</v>
      </c>
      <c r="UK5" s="14">
        <f t="shared" si="14"/>
        <v>0</v>
      </c>
      <c r="UL5" s="14">
        <f t="shared" si="14"/>
        <v>0</v>
      </c>
      <c r="UM5" s="14">
        <f t="shared" si="14"/>
        <v>0</v>
      </c>
      <c r="UN5" s="14">
        <f t="shared" si="14"/>
        <v>0</v>
      </c>
      <c r="UO5" s="14">
        <f t="shared" si="14"/>
        <v>0</v>
      </c>
      <c r="UP5" s="14">
        <f t="shared" si="14"/>
        <v>0</v>
      </c>
      <c r="UQ5" s="14">
        <f t="shared" si="14"/>
        <v>0</v>
      </c>
      <c r="UR5" s="14">
        <f t="shared" si="14"/>
        <v>0</v>
      </c>
      <c r="US5" s="14">
        <f t="shared" si="14"/>
        <v>0</v>
      </c>
      <c r="UT5" s="14">
        <f t="shared" si="14"/>
        <v>0</v>
      </c>
      <c r="UU5" s="14">
        <f t="shared" si="14"/>
        <v>0</v>
      </c>
      <c r="UV5" s="14">
        <f t="shared" si="14"/>
        <v>0</v>
      </c>
      <c r="UW5" s="14">
        <f t="shared" si="14"/>
        <v>0</v>
      </c>
      <c r="UX5" s="14">
        <f t="shared" si="14"/>
        <v>0</v>
      </c>
      <c r="UY5" s="14">
        <f t="shared" si="14"/>
        <v>0</v>
      </c>
      <c r="UZ5" s="14">
        <f t="shared" si="14"/>
        <v>0</v>
      </c>
      <c r="VA5" s="14">
        <f t="shared" si="14"/>
        <v>0</v>
      </c>
      <c r="VB5" s="14">
        <f t="shared" si="14"/>
        <v>0</v>
      </c>
      <c r="VC5" s="14">
        <f t="shared" si="14"/>
        <v>0</v>
      </c>
      <c r="VD5" s="14">
        <f t="shared" si="14"/>
        <v>0</v>
      </c>
      <c r="VE5" s="14">
        <f t="shared" si="14"/>
        <v>0</v>
      </c>
      <c r="VF5" s="14">
        <f t="shared" si="14"/>
        <v>0</v>
      </c>
      <c r="VG5" s="14">
        <f t="shared" si="14"/>
        <v>0</v>
      </c>
      <c r="VH5" s="14">
        <f t="shared" si="14"/>
        <v>0</v>
      </c>
      <c r="VI5" s="14">
        <f t="shared" si="14"/>
        <v>0</v>
      </c>
      <c r="VJ5" s="14">
        <f t="shared" si="14"/>
        <v>0</v>
      </c>
      <c r="VK5" s="14">
        <f t="shared" si="14"/>
        <v>0</v>
      </c>
      <c r="VL5" s="14">
        <f t="shared" si="14"/>
        <v>0</v>
      </c>
      <c r="VM5" s="14">
        <f t="shared" si="14"/>
        <v>0</v>
      </c>
      <c r="VN5" s="14">
        <f t="shared" si="14"/>
        <v>0</v>
      </c>
      <c r="VO5" s="14">
        <f t="shared" si="14"/>
        <v>0</v>
      </c>
      <c r="VP5" s="14">
        <f t="shared" si="14"/>
        <v>0</v>
      </c>
      <c r="VQ5" s="14">
        <f t="shared" si="14"/>
        <v>0</v>
      </c>
      <c r="VR5" s="14">
        <f t="shared" si="14"/>
        <v>0</v>
      </c>
      <c r="VS5" s="14">
        <f t="shared" si="14"/>
        <v>0</v>
      </c>
      <c r="VT5" s="14">
        <f t="shared" si="14"/>
        <v>0</v>
      </c>
      <c r="VU5" s="14">
        <f t="shared" si="14"/>
        <v>0</v>
      </c>
      <c r="VV5" s="14">
        <f t="shared" si="14"/>
        <v>0</v>
      </c>
      <c r="VW5" s="14">
        <f t="shared" si="14"/>
        <v>0</v>
      </c>
      <c r="VX5" s="14">
        <f t="shared" ref="VX5:WA5" si="15">SUMPRODUCT(VX7:VX298,$AD7:$AD298)</f>
        <v>0</v>
      </c>
      <c r="VY5" s="14">
        <f t="shared" si="15"/>
        <v>0</v>
      </c>
      <c r="VZ5" s="14">
        <f t="shared" si="15"/>
        <v>0</v>
      </c>
      <c r="WA5" s="14">
        <f t="shared" si="15"/>
        <v>0</v>
      </c>
    </row>
    <row r="6" spans="1:599" ht="13.5" thickBot="1" x14ac:dyDescent="0.35">
      <c r="A6" s="15"/>
      <c r="B6" s="15"/>
      <c r="C6" s="15"/>
      <c r="D6" s="15"/>
      <c r="E6" s="195" t="s">
        <v>66</v>
      </c>
      <c r="F6" s="196"/>
      <c r="G6" s="196"/>
      <c r="H6" s="196"/>
      <c r="I6" s="196"/>
      <c r="J6" s="196"/>
      <c r="K6" s="196"/>
      <c r="L6" s="197"/>
      <c r="M6" s="156" t="s">
        <v>40</v>
      </c>
      <c r="N6" s="156" t="s">
        <v>41</v>
      </c>
      <c r="O6" s="156" t="s">
        <v>42</v>
      </c>
      <c r="P6" s="156" t="s">
        <v>43</v>
      </c>
      <c r="Q6" s="156" t="s">
        <v>44</v>
      </c>
      <c r="R6" s="156" t="s">
        <v>45</v>
      </c>
      <c r="S6" s="155" t="s">
        <v>46</v>
      </c>
      <c r="T6" s="155" t="s">
        <v>47</v>
      </c>
      <c r="U6" s="155" t="s">
        <v>48</v>
      </c>
      <c r="V6" s="155" t="s">
        <v>49</v>
      </c>
      <c r="W6" s="155" t="s">
        <v>50</v>
      </c>
      <c r="X6" s="155" t="s">
        <v>51</v>
      </c>
      <c r="Y6" s="15"/>
      <c r="Z6" s="15"/>
      <c r="AA6" s="15" t="s">
        <v>37</v>
      </c>
      <c r="AB6" s="15" t="s">
        <v>38</v>
      </c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45" t="s">
        <v>34</v>
      </c>
      <c r="AO6" s="15" t="s">
        <v>35</v>
      </c>
      <c r="AP6" s="15" t="s">
        <v>35</v>
      </c>
      <c r="AQ6" s="45" t="s">
        <v>34</v>
      </c>
      <c r="AR6" s="15" t="s">
        <v>35</v>
      </c>
      <c r="AS6" s="15" t="s">
        <v>35</v>
      </c>
      <c r="AT6" s="15" t="s">
        <v>35</v>
      </c>
      <c r="AU6" s="102" t="s">
        <v>34</v>
      </c>
      <c r="AV6" s="110"/>
      <c r="AW6" s="42" t="s">
        <v>16</v>
      </c>
      <c r="AX6" s="42" t="s">
        <v>17</v>
      </c>
      <c r="AY6" s="42">
        <v>1</v>
      </c>
      <c r="AZ6" s="42">
        <v>2</v>
      </c>
      <c r="BA6" s="42">
        <v>3</v>
      </c>
      <c r="BB6" s="42">
        <v>4</v>
      </c>
      <c r="BC6" s="42">
        <v>5</v>
      </c>
      <c r="BD6" s="42">
        <v>6</v>
      </c>
      <c r="BE6" s="42">
        <v>7</v>
      </c>
      <c r="BF6" s="42">
        <v>8</v>
      </c>
      <c r="BG6" s="42">
        <v>9</v>
      </c>
      <c r="BH6" s="42">
        <v>10</v>
      </c>
      <c r="BI6" s="42">
        <v>11</v>
      </c>
      <c r="BJ6" s="42">
        <v>12</v>
      </c>
      <c r="BK6" s="42">
        <v>13</v>
      </c>
      <c r="BL6" s="42">
        <v>14</v>
      </c>
      <c r="BM6" s="42">
        <v>15</v>
      </c>
      <c r="BN6" s="42">
        <v>16</v>
      </c>
      <c r="BO6" s="42">
        <v>17</v>
      </c>
      <c r="BP6" s="42">
        <v>18</v>
      </c>
      <c r="BQ6" s="42">
        <v>19</v>
      </c>
      <c r="BR6" s="42">
        <v>20</v>
      </c>
      <c r="BS6" s="42">
        <v>21</v>
      </c>
      <c r="BT6" s="42">
        <v>22</v>
      </c>
      <c r="BU6" s="42">
        <v>23</v>
      </c>
      <c r="BV6" s="42">
        <v>24</v>
      </c>
      <c r="BW6" s="42">
        <v>25</v>
      </c>
      <c r="BX6" s="42">
        <v>26</v>
      </c>
      <c r="BY6" s="42">
        <v>27</v>
      </c>
      <c r="BZ6" s="42">
        <v>28</v>
      </c>
      <c r="CA6" s="42">
        <v>29</v>
      </c>
      <c r="CB6" s="42">
        <v>30</v>
      </c>
      <c r="CC6" s="42">
        <v>31</v>
      </c>
      <c r="CD6" s="42">
        <v>32</v>
      </c>
      <c r="CE6" s="42">
        <v>33</v>
      </c>
      <c r="CF6" s="42">
        <v>34</v>
      </c>
      <c r="CG6" s="42">
        <v>35</v>
      </c>
      <c r="CH6" s="42">
        <v>36</v>
      </c>
      <c r="CI6" s="42">
        <v>37</v>
      </c>
      <c r="CJ6" s="42">
        <v>38</v>
      </c>
      <c r="CK6" s="42">
        <v>39</v>
      </c>
      <c r="CL6" s="42">
        <v>40</v>
      </c>
      <c r="CM6" s="42">
        <v>41</v>
      </c>
      <c r="CN6" s="42">
        <v>42</v>
      </c>
      <c r="CO6" s="42">
        <v>43</v>
      </c>
      <c r="CP6" s="42">
        <v>44</v>
      </c>
      <c r="CQ6" s="42">
        <v>45</v>
      </c>
      <c r="CR6" s="42">
        <v>46</v>
      </c>
      <c r="CS6" s="42">
        <v>47</v>
      </c>
      <c r="CT6" s="42">
        <v>48</v>
      </c>
      <c r="CU6" s="42">
        <v>49</v>
      </c>
      <c r="CV6" s="42">
        <v>50</v>
      </c>
      <c r="CW6" s="42">
        <v>51</v>
      </c>
      <c r="CX6" s="42">
        <v>52</v>
      </c>
      <c r="CY6" s="42">
        <v>53</v>
      </c>
      <c r="CZ6" s="42">
        <v>54</v>
      </c>
      <c r="DA6" s="42">
        <v>55</v>
      </c>
      <c r="DB6" s="42">
        <v>56</v>
      </c>
      <c r="DC6" s="42">
        <v>57</v>
      </c>
      <c r="DD6" s="42">
        <v>58</v>
      </c>
      <c r="DE6" s="42">
        <v>59</v>
      </c>
      <c r="DF6" s="42">
        <v>60</v>
      </c>
      <c r="DG6" s="42">
        <v>61</v>
      </c>
      <c r="DH6" s="42">
        <v>62</v>
      </c>
      <c r="DI6" s="42">
        <v>63</v>
      </c>
      <c r="DJ6" s="42">
        <v>64</v>
      </c>
      <c r="DK6" s="42">
        <v>65</v>
      </c>
      <c r="DL6" s="42" t="s">
        <v>18</v>
      </c>
      <c r="DM6" s="117"/>
      <c r="DN6" s="118" t="s">
        <v>16</v>
      </c>
      <c r="DO6" s="118" t="s">
        <v>17</v>
      </c>
      <c r="DP6" s="118">
        <v>1</v>
      </c>
      <c r="DQ6" s="118">
        <v>2</v>
      </c>
      <c r="DR6" s="118">
        <v>3</v>
      </c>
      <c r="DS6" s="118">
        <v>4</v>
      </c>
      <c r="DT6" s="118">
        <v>5</v>
      </c>
      <c r="DU6" s="118">
        <v>6</v>
      </c>
      <c r="DV6" s="118">
        <v>7</v>
      </c>
      <c r="DW6" s="118">
        <v>8</v>
      </c>
      <c r="DX6" s="118">
        <v>9</v>
      </c>
      <c r="DY6" s="118">
        <v>10</v>
      </c>
      <c r="DZ6" s="118">
        <v>11</v>
      </c>
      <c r="EA6" s="118">
        <v>12</v>
      </c>
      <c r="EB6" s="118">
        <v>13</v>
      </c>
      <c r="EC6" s="118">
        <v>14</v>
      </c>
      <c r="ED6" s="118">
        <v>15</v>
      </c>
      <c r="EE6" s="118">
        <v>16</v>
      </c>
      <c r="EF6" s="118">
        <v>17</v>
      </c>
      <c r="EG6" s="118">
        <v>18</v>
      </c>
      <c r="EH6" s="118">
        <v>19</v>
      </c>
      <c r="EI6" s="118">
        <v>20</v>
      </c>
      <c r="EJ6" s="118">
        <v>21</v>
      </c>
      <c r="EK6" s="118">
        <v>22</v>
      </c>
      <c r="EL6" s="118">
        <v>23</v>
      </c>
      <c r="EM6" s="118">
        <v>24</v>
      </c>
      <c r="EN6" s="118">
        <v>25</v>
      </c>
      <c r="EO6" s="118">
        <v>26</v>
      </c>
      <c r="EP6" s="118">
        <v>27</v>
      </c>
      <c r="EQ6" s="118">
        <v>28</v>
      </c>
      <c r="ER6" s="118">
        <v>29</v>
      </c>
      <c r="ES6" s="118">
        <v>30</v>
      </c>
      <c r="ET6" s="118">
        <v>31</v>
      </c>
      <c r="EU6" s="118">
        <v>32</v>
      </c>
      <c r="EV6" s="118">
        <v>33</v>
      </c>
      <c r="EW6" s="118">
        <v>34</v>
      </c>
      <c r="EX6" s="118">
        <v>35</v>
      </c>
      <c r="EY6" s="118">
        <v>36</v>
      </c>
      <c r="EZ6" s="118">
        <v>37</v>
      </c>
      <c r="FA6" s="118">
        <v>38</v>
      </c>
      <c r="FB6" s="118">
        <v>39</v>
      </c>
      <c r="FC6" s="118">
        <v>40</v>
      </c>
      <c r="FD6" s="118">
        <v>41</v>
      </c>
      <c r="FE6" s="118">
        <v>42</v>
      </c>
      <c r="FF6" s="118">
        <v>43</v>
      </c>
      <c r="FG6" s="118">
        <v>44</v>
      </c>
      <c r="FH6" s="118">
        <v>45</v>
      </c>
      <c r="FI6" s="118">
        <v>46</v>
      </c>
      <c r="FJ6" s="118">
        <v>47</v>
      </c>
      <c r="FK6" s="118">
        <v>48</v>
      </c>
      <c r="FL6" s="118">
        <v>49</v>
      </c>
      <c r="FM6" s="118">
        <v>50</v>
      </c>
      <c r="FN6" s="118">
        <v>51</v>
      </c>
      <c r="FO6" s="118">
        <v>52</v>
      </c>
      <c r="FP6" s="118">
        <v>53</v>
      </c>
      <c r="FQ6" s="118">
        <v>54</v>
      </c>
      <c r="FR6" s="118">
        <v>55</v>
      </c>
      <c r="FS6" s="118">
        <v>56</v>
      </c>
      <c r="FT6" s="118">
        <v>57</v>
      </c>
      <c r="FU6" s="118">
        <v>58</v>
      </c>
      <c r="FV6" s="118">
        <v>59</v>
      </c>
      <c r="FW6" s="118">
        <v>60</v>
      </c>
      <c r="FX6" s="118">
        <v>61</v>
      </c>
      <c r="FY6" s="118">
        <v>62</v>
      </c>
      <c r="FZ6" s="118">
        <v>63</v>
      </c>
      <c r="GA6" s="118">
        <v>64</v>
      </c>
      <c r="GB6" s="118">
        <v>65</v>
      </c>
      <c r="GC6" s="118" t="s">
        <v>18</v>
      </c>
      <c r="GD6" s="123"/>
      <c r="GE6" s="124" t="s">
        <v>16</v>
      </c>
      <c r="GF6" s="124" t="s">
        <v>17</v>
      </c>
      <c r="GG6" s="124">
        <v>1</v>
      </c>
      <c r="GH6" s="124">
        <v>2</v>
      </c>
      <c r="GI6" s="124">
        <v>3</v>
      </c>
      <c r="GJ6" s="124">
        <v>4</v>
      </c>
      <c r="GK6" s="124">
        <v>5</v>
      </c>
      <c r="GL6" s="124">
        <v>6</v>
      </c>
      <c r="GM6" s="124">
        <v>7</v>
      </c>
      <c r="GN6" s="124">
        <v>8</v>
      </c>
      <c r="GO6" s="124">
        <v>9</v>
      </c>
      <c r="GP6" s="124">
        <v>10</v>
      </c>
      <c r="GQ6" s="124">
        <v>11</v>
      </c>
      <c r="GR6" s="124">
        <v>12</v>
      </c>
      <c r="GS6" s="124">
        <v>13</v>
      </c>
      <c r="GT6" s="124">
        <v>14</v>
      </c>
      <c r="GU6" s="124">
        <v>15</v>
      </c>
      <c r="GV6" s="124">
        <v>16</v>
      </c>
      <c r="GW6" s="124">
        <v>17</v>
      </c>
      <c r="GX6" s="124">
        <v>18</v>
      </c>
      <c r="GY6" s="124">
        <v>19</v>
      </c>
      <c r="GZ6" s="124">
        <v>20</v>
      </c>
      <c r="HA6" s="124">
        <v>21</v>
      </c>
      <c r="HB6" s="124">
        <v>22</v>
      </c>
      <c r="HC6" s="124">
        <v>23</v>
      </c>
      <c r="HD6" s="124">
        <v>24</v>
      </c>
      <c r="HE6" s="124">
        <v>25</v>
      </c>
      <c r="HF6" s="124">
        <v>26</v>
      </c>
      <c r="HG6" s="124">
        <v>27</v>
      </c>
      <c r="HH6" s="124">
        <v>28</v>
      </c>
      <c r="HI6" s="124">
        <v>29</v>
      </c>
      <c r="HJ6" s="124">
        <v>30</v>
      </c>
      <c r="HK6" s="124">
        <v>31</v>
      </c>
      <c r="HL6" s="124">
        <v>32</v>
      </c>
      <c r="HM6" s="124">
        <v>33</v>
      </c>
      <c r="HN6" s="124">
        <v>34</v>
      </c>
      <c r="HO6" s="124">
        <v>35</v>
      </c>
      <c r="HP6" s="124">
        <v>36</v>
      </c>
      <c r="HQ6" s="124">
        <v>37</v>
      </c>
      <c r="HR6" s="124">
        <v>38</v>
      </c>
      <c r="HS6" s="124">
        <v>39</v>
      </c>
      <c r="HT6" s="124">
        <v>40</v>
      </c>
      <c r="HU6" s="124">
        <v>41</v>
      </c>
      <c r="HV6" s="124">
        <v>42</v>
      </c>
      <c r="HW6" s="124">
        <v>43</v>
      </c>
      <c r="HX6" s="124">
        <v>44</v>
      </c>
      <c r="HY6" s="124">
        <v>45</v>
      </c>
      <c r="HZ6" s="124">
        <v>46</v>
      </c>
      <c r="IA6" s="124">
        <v>47</v>
      </c>
      <c r="IB6" s="124">
        <v>48</v>
      </c>
      <c r="IC6" s="124">
        <v>49</v>
      </c>
      <c r="ID6" s="124">
        <v>50</v>
      </c>
      <c r="IE6" s="124">
        <v>51</v>
      </c>
      <c r="IF6" s="124">
        <v>52</v>
      </c>
      <c r="IG6" s="124">
        <v>53</v>
      </c>
      <c r="IH6" s="124">
        <v>54</v>
      </c>
      <c r="II6" s="124">
        <v>55</v>
      </c>
      <c r="IJ6" s="124">
        <v>56</v>
      </c>
      <c r="IK6" s="124">
        <v>57</v>
      </c>
      <c r="IL6" s="124">
        <v>58</v>
      </c>
      <c r="IM6" s="124">
        <v>59</v>
      </c>
      <c r="IN6" s="124">
        <v>60</v>
      </c>
      <c r="IO6" s="124">
        <v>61</v>
      </c>
      <c r="IP6" s="124">
        <v>62</v>
      </c>
      <c r="IQ6" s="124">
        <v>63</v>
      </c>
      <c r="IR6" s="124">
        <v>64</v>
      </c>
      <c r="IS6" s="124">
        <v>65</v>
      </c>
      <c r="IT6" s="124" t="s">
        <v>18</v>
      </c>
      <c r="IU6" s="132"/>
      <c r="IV6" s="133" t="s">
        <v>16</v>
      </c>
      <c r="IW6" s="133" t="s">
        <v>17</v>
      </c>
      <c r="IX6" s="133">
        <v>1</v>
      </c>
      <c r="IY6" s="133">
        <v>2</v>
      </c>
      <c r="IZ6" s="133">
        <v>3</v>
      </c>
      <c r="JA6" s="133">
        <v>4</v>
      </c>
      <c r="JB6" s="133">
        <v>5</v>
      </c>
      <c r="JC6" s="133">
        <v>6</v>
      </c>
      <c r="JD6" s="133">
        <v>7</v>
      </c>
      <c r="JE6" s="133">
        <v>8</v>
      </c>
      <c r="JF6" s="133">
        <v>9</v>
      </c>
      <c r="JG6" s="133">
        <v>10</v>
      </c>
      <c r="JH6" s="133">
        <v>11</v>
      </c>
      <c r="JI6" s="133">
        <v>12</v>
      </c>
      <c r="JJ6" s="133">
        <v>13</v>
      </c>
      <c r="JK6" s="133">
        <v>14</v>
      </c>
      <c r="JL6" s="133">
        <v>15</v>
      </c>
      <c r="JM6" s="133">
        <v>16</v>
      </c>
      <c r="JN6" s="133">
        <v>17</v>
      </c>
      <c r="JO6" s="133">
        <v>18</v>
      </c>
      <c r="JP6" s="133">
        <v>19</v>
      </c>
      <c r="JQ6" s="133">
        <v>20</v>
      </c>
      <c r="JR6" s="133">
        <v>21</v>
      </c>
      <c r="JS6" s="133">
        <v>22</v>
      </c>
      <c r="JT6" s="133">
        <v>23</v>
      </c>
      <c r="JU6" s="133">
        <v>24</v>
      </c>
      <c r="JV6" s="133">
        <v>25</v>
      </c>
      <c r="JW6" s="133">
        <v>26</v>
      </c>
      <c r="JX6" s="133">
        <v>27</v>
      </c>
      <c r="JY6" s="133">
        <v>28</v>
      </c>
      <c r="JZ6" s="133">
        <v>29</v>
      </c>
      <c r="KA6" s="133">
        <v>30</v>
      </c>
      <c r="KB6" s="133">
        <v>31</v>
      </c>
      <c r="KC6" s="133">
        <v>32</v>
      </c>
      <c r="KD6" s="133">
        <v>33</v>
      </c>
      <c r="KE6" s="133">
        <v>34</v>
      </c>
      <c r="KF6" s="133">
        <v>35</v>
      </c>
      <c r="KG6" s="133">
        <v>36</v>
      </c>
      <c r="KH6" s="133">
        <v>37</v>
      </c>
      <c r="KI6" s="133">
        <v>38</v>
      </c>
      <c r="KJ6" s="133">
        <v>39</v>
      </c>
      <c r="KK6" s="133">
        <v>40</v>
      </c>
      <c r="KL6" s="133">
        <v>41</v>
      </c>
      <c r="KM6" s="133">
        <v>42</v>
      </c>
      <c r="KN6" s="133">
        <v>43</v>
      </c>
      <c r="KO6" s="133">
        <v>44</v>
      </c>
      <c r="KP6" s="133">
        <v>45</v>
      </c>
      <c r="KQ6" s="133">
        <v>46</v>
      </c>
      <c r="KR6" s="133">
        <v>47</v>
      </c>
      <c r="KS6" s="133">
        <v>48</v>
      </c>
      <c r="KT6" s="133">
        <v>49</v>
      </c>
      <c r="KU6" s="133">
        <v>50</v>
      </c>
      <c r="KV6" s="133">
        <v>51</v>
      </c>
      <c r="KW6" s="133">
        <v>52</v>
      </c>
      <c r="KX6" s="133">
        <v>53</v>
      </c>
      <c r="KY6" s="133">
        <v>54</v>
      </c>
      <c r="KZ6" s="133">
        <v>55</v>
      </c>
      <c r="LA6" s="133">
        <v>56</v>
      </c>
      <c r="LB6" s="133">
        <v>57</v>
      </c>
      <c r="LC6" s="133">
        <v>58</v>
      </c>
      <c r="LD6" s="133">
        <v>59</v>
      </c>
      <c r="LE6" s="133">
        <v>60</v>
      </c>
      <c r="LF6" s="133">
        <v>61</v>
      </c>
      <c r="LG6" s="133">
        <v>62</v>
      </c>
      <c r="LH6" s="133">
        <v>63</v>
      </c>
      <c r="LI6" s="133">
        <v>64</v>
      </c>
      <c r="LJ6" s="133">
        <v>65</v>
      </c>
      <c r="LK6" s="133" t="s">
        <v>18</v>
      </c>
      <c r="LL6" s="135"/>
      <c r="LM6" s="136" t="s">
        <v>16</v>
      </c>
      <c r="LN6" s="136" t="s">
        <v>17</v>
      </c>
      <c r="LO6" s="136">
        <v>1</v>
      </c>
      <c r="LP6" s="136">
        <v>2</v>
      </c>
      <c r="LQ6" s="136">
        <v>3</v>
      </c>
      <c r="LR6" s="136">
        <v>4</v>
      </c>
      <c r="LS6" s="136">
        <v>5</v>
      </c>
      <c r="LT6" s="136">
        <v>6</v>
      </c>
      <c r="LU6" s="136">
        <v>7</v>
      </c>
      <c r="LV6" s="136">
        <v>8</v>
      </c>
      <c r="LW6" s="136">
        <v>9</v>
      </c>
      <c r="LX6" s="136">
        <v>10</v>
      </c>
      <c r="LY6" s="136">
        <v>11</v>
      </c>
      <c r="LZ6" s="136">
        <v>12</v>
      </c>
      <c r="MA6" s="136">
        <v>13</v>
      </c>
      <c r="MB6" s="136">
        <v>14</v>
      </c>
      <c r="MC6" s="136">
        <v>15</v>
      </c>
      <c r="MD6" s="136">
        <v>16</v>
      </c>
      <c r="ME6" s="136">
        <v>17</v>
      </c>
      <c r="MF6" s="136">
        <v>18</v>
      </c>
      <c r="MG6" s="136">
        <v>19</v>
      </c>
      <c r="MH6" s="136">
        <v>20</v>
      </c>
      <c r="MI6" s="136">
        <v>21</v>
      </c>
      <c r="MJ6" s="136">
        <v>22</v>
      </c>
      <c r="MK6" s="136">
        <v>23</v>
      </c>
      <c r="ML6" s="136">
        <v>24</v>
      </c>
      <c r="MM6" s="136">
        <v>25</v>
      </c>
      <c r="MN6" s="136">
        <v>26</v>
      </c>
      <c r="MO6" s="136">
        <v>27</v>
      </c>
      <c r="MP6" s="136">
        <v>28</v>
      </c>
      <c r="MQ6" s="136">
        <v>29</v>
      </c>
      <c r="MR6" s="136">
        <v>30</v>
      </c>
      <c r="MS6" s="136">
        <v>31</v>
      </c>
      <c r="MT6" s="136">
        <v>32</v>
      </c>
      <c r="MU6" s="136">
        <v>33</v>
      </c>
      <c r="MV6" s="136">
        <v>34</v>
      </c>
      <c r="MW6" s="136">
        <v>35</v>
      </c>
      <c r="MX6" s="136">
        <v>36</v>
      </c>
      <c r="MY6" s="136">
        <v>37</v>
      </c>
      <c r="MZ6" s="136">
        <v>38</v>
      </c>
      <c r="NA6" s="136">
        <v>39</v>
      </c>
      <c r="NB6" s="136">
        <v>40</v>
      </c>
      <c r="NC6" s="136">
        <v>41</v>
      </c>
      <c r="ND6" s="136">
        <v>42</v>
      </c>
      <c r="NE6" s="136">
        <v>43</v>
      </c>
      <c r="NF6" s="136">
        <v>44</v>
      </c>
      <c r="NG6" s="136">
        <v>45</v>
      </c>
      <c r="NH6" s="136">
        <v>46</v>
      </c>
      <c r="NI6" s="136">
        <v>47</v>
      </c>
      <c r="NJ6" s="136">
        <v>48</v>
      </c>
      <c r="NK6" s="136">
        <v>49</v>
      </c>
      <c r="NL6" s="136">
        <v>50</v>
      </c>
      <c r="NM6" s="136">
        <v>51</v>
      </c>
      <c r="NN6" s="136">
        <v>52</v>
      </c>
      <c r="NO6" s="136">
        <v>53</v>
      </c>
      <c r="NP6" s="136">
        <v>54</v>
      </c>
      <c r="NQ6" s="136">
        <v>55</v>
      </c>
      <c r="NR6" s="136">
        <v>56</v>
      </c>
      <c r="NS6" s="136">
        <v>57</v>
      </c>
      <c r="NT6" s="136">
        <v>58</v>
      </c>
      <c r="NU6" s="136">
        <v>59</v>
      </c>
      <c r="NV6" s="136">
        <v>60</v>
      </c>
      <c r="NW6" s="136">
        <v>61</v>
      </c>
      <c r="NX6" s="136">
        <v>62</v>
      </c>
      <c r="NY6" s="136">
        <v>63</v>
      </c>
      <c r="NZ6" s="136">
        <v>64</v>
      </c>
      <c r="OA6" s="136">
        <v>65</v>
      </c>
      <c r="OB6" s="136" t="s">
        <v>18</v>
      </c>
      <c r="OC6" s="144"/>
      <c r="OD6" s="145" t="s">
        <v>16</v>
      </c>
      <c r="OE6" s="145" t="s">
        <v>17</v>
      </c>
      <c r="OF6" s="145">
        <v>1</v>
      </c>
      <c r="OG6" s="145">
        <v>2</v>
      </c>
      <c r="OH6" s="145">
        <v>3</v>
      </c>
      <c r="OI6" s="145">
        <v>4</v>
      </c>
      <c r="OJ6" s="145">
        <v>5</v>
      </c>
      <c r="OK6" s="145">
        <v>6</v>
      </c>
      <c r="OL6" s="145">
        <v>7</v>
      </c>
      <c r="OM6" s="145">
        <v>8</v>
      </c>
      <c r="ON6" s="145">
        <v>9</v>
      </c>
      <c r="OO6" s="145">
        <v>10</v>
      </c>
      <c r="OP6" s="145">
        <v>11</v>
      </c>
      <c r="OQ6" s="145">
        <v>12</v>
      </c>
      <c r="OR6" s="145">
        <v>13</v>
      </c>
      <c r="OS6" s="145">
        <v>14</v>
      </c>
      <c r="OT6" s="145">
        <v>15</v>
      </c>
      <c r="OU6" s="145">
        <v>16</v>
      </c>
      <c r="OV6" s="145">
        <v>17</v>
      </c>
      <c r="OW6" s="145">
        <v>18</v>
      </c>
      <c r="OX6" s="145">
        <v>19</v>
      </c>
      <c r="OY6" s="145">
        <v>20</v>
      </c>
      <c r="OZ6" s="145">
        <v>21</v>
      </c>
      <c r="PA6" s="145">
        <v>22</v>
      </c>
      <c r="PB6" s="145">
        <v>23</v>
      </c>
      <c r="PC6" s="145">
        <v>24</v>
      </c>
      <c r="PD6" s="145">
        <v>25</v>
      </c>
      <c r="PE6" s="145">
        <v>26</v>
      </c>
      <c r="PF6" s="145">
        <v>27</v>
      </c>
      <c r="PG6" s="145">
        <v>28</v>
      </c>
      <c r="PH6" s="145">
        <v>29</v>
      </c>
      <c r="PI6" s="145">
        <v>30</v>
      </c>
      <c r="PJ6" s="145">
        <v>31</v>
      </c>
      <c r="PK6" s="145">
        <v>32</v>
      </c>
      <c r="PL6" s="145">
        <v>33</v>
      </c>
      <c r="PM6" s="145">
        <v>34</v>
      </c>
      <c r="PN6" s="145">
        <v>35</v>
      </c>
      <c r="PO6" s="145">
        <v>36</v>
      </c>
      <c r="PP6" s="145">
        <v>37</v>
      </c>
      <c r="PQ6" s="145">
        <v>38</v>
      </c>
      <c r="PR6" s="145">
        <v>39</v>
      </c>
      <c r="PS6" s="145">
        <v>40</v>
      </c>
      <c r="PT6" s="145">
        <v>41</v>
      </c>
      <c r="PU6" s="145">
        <v>42</v>
      </c>
      <c r="PV6" s="145">
        <v>43</v>
      </c>
      <c r="PW6" s="145">
        <v>44</v>
      </c>
      <c r="PX6" s="145">
        <v>45</v>
      </c>
      <c r="PY6" s="145">
        <v>46</v>
      </c>
      <c r="PZ6" s="145">
        <v>47</v>
      </c>
      <c r="QA6" s="145">
        <v>48</v>
      </c>
      <c r="QB6" s="145">
        <v>49</v>
      </c>
      <c r="QC6" s="145">
        <v>50</v>
      </c>
      <c r="QD6" s="145">
        <v>51</v>
      </c>
      <c r="QE6" s="145">
        <v>52</v>
      </c>
      <c r="QF6" s="145">
        <v>53</v>
      </c>
      <c r="QG6" s="145">
        <v>54</v>
      </c>
      <c r="QH6" s="145">
        <v>55</v>
      </c>
      <c r="QI6" s="145">
        <v>56</v>
      </c>
      <c r="QJ6" s="145">
        <v>57</v>
      </c>
      <c r="QK6" s="145">
        <v>58</v>
      </c>
      <c r="QL6" s="145">
        <v>59</v>
      </c>
      <c r="QM6" s="145">
        <v>60</v>
      </c>
      <c r="QN6" s="145">
        <v>61</v>
      </c>
      <c r="QO6" s="145">
        <v>62</v>
      </c>
      <c r="QP6" s="145">
        <v>63</v>
      </c>
      <c r="QQ6" s="145">
        <v>64</v>
      </c>
      <c r="QR6" s="145">
        <v>65</v>
      </c>
      <c r="QS6" s="145" t="s">
        <v>18</v>
      </c>
      <c r="QT6" s="147"/>
      <c r="QU6" s="148" t="s">
        <v>16</v>
      </c>
      <c r="QV6" s="148" t="s">
        <v>17</v>
      </c>
      <c r="QW6" s="148">
        <v>1</v>
      </c>
      <c r="QX6" s="148">
        <v>2</v>
      </c>
      <c r="QY6" s="148">
        <v>3</v>
      </c>
      <c r="QZ6" s="148">
        <v>4</v>
      </c>
      <c r="RA6" s="148">
        <v>5</v>
      </c>
      <c r="RB6" s="148">
        <v>6</v>
      </c>
      <c r="RC6" s="148">
        <v>7</v>
      </c>
      <c r="RD6" s="148">
        <v>8</v>
      </c>
      <c r="RE6" s="148">
        <v>9</v>
      </c>
      <c r="RF6" s="148">
        <v>10</v>
      </c>
      <c r="RG6" s="148">
        <v>11</v>
      </c>
      <c r="RH6" s="148">
        <v>12</v>
      </c>
      <c r="RI6" s="148">
        <v>13</v>
      </c>
      <c r="RJ6" s="148">
        <v>14</v>
      </c>
      <c r="RK6" s="148">
        <v>15</v>
      </c>
      <c r="RL6" s="148">
        <v>16</v>
      </c>
      <c r="RM6" s="148">
        <v>17</v>
      </c>
      <c r="RN6" s="148">
        <v>18</v>
      </c>
      <c r="RO6" s="148">
        <v>19</v>
      </c>
      <c r="RP6" s="148">
        <v>20</v>
      </c>
      <c r="RQ6" s="148">
        <v>21</v>
      </c>
      <c r="RR6" s="148">
        <v>22</v>
      </c>
      <c r="RS6" s="148">
        <v>23</v>
      </c>
      <c r="RT6" s="148">
        <v>24</v>
      </c>
      <c r="RU6" s="148">
        <v>25</v>
      </c>
      <c r="RV6" s="148">
        <v>26</v>
      </c>
      <c r="RW6" s="148">
        <v>27</v>
      </c>
      <c r="RX6" s="148">
        <v>28</v>
      </c>
      <c r="RY6" s="148">
        <v>29</v>
      </c>
      <c r="RZ6" s="148">
        <v>30</v>
      </c>
      <c r="SA6" s="148">
        <v>31</v>
      </c>
      <c r="SB6" s="148">
        <v>32</v>
      </c>
      <c r="SC6" s="148">
        <v>33</v>
      </c>
      <c r="SD6" s="148">
        <v>34</v>
      </c>
      <c r="SE6" s="148">
        <v>35</v>
      </c>
      <c r="SF6" s="148">
        <v>36</v>
      </c>
      <c r="SG6" s="148">
        <v>37</v>
      </c>
      <c r="SH6" s="148">
        <v>38</v>
      </c>
      <c r="SI6" s="148">
        <v>39</v>
      </c>
      <c r="SJ6" s="148">
        <v>40</v>
      </c>
      <c r="SK6" s="148">
        <v>41</v>
      </c>
      <c r="SL6" s="148">
        <v>42</v>
      </c>
      <c r="SM6" s="148">
        <v>43</v>
      </c>
      <c r="SN6" s="148">
        <v>44</v>
      </c>
      <c r="SO6" s="148">
        <v>45</v>
      </c>
      <c r="SP6" s="148">
        <v>46</v>
      </c>
      <c r="SQ6" s="148">
        <v>47</v>
      </c>
      <c r="SR6" s="148">
        <v>48</v>
      </c>
      <c r="SS6" s="148">
        <v>49</v>
      </c>
      <c r="ST6" s="148">
        <v>50</v>
      </c>
      <c r="SU6" s="148">
        <v>51</v>
      </c>
      <c r="SV6" s="148">
        <v>52</v>
      </c>
      <c r="SW6" s="148">
        <v>53</v>
      </c>
      <c r="SX6" s="148">
        <v>54</v>
      </c>
      <c r="SY6" s="148">
        <v>55</v>
      </c>
      <c r="SZ6" s="148">
        <v>56</v>
      </c>
      <c r="TA6" s="148">
        <v>57</v>
      </c>
      <c r="TB6" s="148">
        <v>58</v>
      </c>
      <c r="TC6" s="148">
        <v>59</v>
      </c>
      <c r="TD6" s="148">
        <v>60</v>
      </c>
      <c r="TE6" s="148">
        <v>61</v>
      </c>
      <c r="TF6" s="148">
        <v>62</v>
      </c>
      <c r="TG6" s="148">
        <v>63</v>
      </c>
      <c r="TH6" s="148">
        <v>64</v>
      </c>
      <c r="TI6" s="148">
        <v>65</v>
      </c>
      <c r="TJ6" s="148" t="s">
        <v>18</v>
      </c>
      <c r="TK6" s="153"/>
      <c r="TL6" s="154" t="s">
        <v>16</v>
      </c>
      <c r="TM6" s="154" t="s">
        <v>17</v>
      </c>
      <c r="TN6" s="154">
        <v>1</v>
      </c>
      <c r="TO6" s="154">
        <v>2</v>
      </c>
      <c r="TP6" s="154">
        <v>3</v>
      </c>
      <c r="TQ6" s="154">
        <v>4</v>
      </c>
      <c r="TR6" s="154">
        <v>5</v>
      </c>
      <c r="TS6" s="154">
        <v>6</v>
      </c>
      <c r="TT6" s="154">
        <v>7</v>
      </c>
      <c r="TU6" s="154">
        <v>8</v>
      </c>
      <c r="TV6" s="154">
        <v>9</v>
      </c>
      <c r="TW6" s="154">
        <v>10</v>
      </c>
      <c r="TX6" s="154">
        <v>11</v>
      </c>
      <c r="TY6" s="154">
        <v>12</v>
      </c>
      <c r="TZ6" s="154">
        <v>13</v>
      </c>
      <c r="UA6" s="154">
        <v>14</v>
      </c>
      <c r="UB6" s="154">
        <v>15</v>
      </c>
      <c r="UC6" s="154">
        <v>16</v>
      </c>
      <c r="UD6" s="154">
        <v>17</v>
      </c>
      <c r="UE6" s="154">
        <v>18</v>
      </c>
      <c r="UF6" s="154">
        <v>19</v>
      </c>
      <c r="UG6" s="154">
        <v>20</v>
      </c>
      <c r="UH6" s="154">
        <v>21</v>
      </c>
      <c r="UI6" s="154">
        <v>22</v>
      </c>
      <c r="UJ6" s="154">
        <v>23</v>
      </c>
      <c r="UK6" s="154">
        <v>24</v>
      </c>
      <c r="UL6" s="154">
        <v>25</v>
      </c>
      <c r="UM6" s="154">
        <v>26</v>
      </c>
      <c r="UN6" s="154">
        <v>27</v>
      </c>
      <c r="UO6" s="154">
        <v>28</v>
      </c>
      <c r="UP6" s="154">
        <v>29</v>
      </c>
      <c r="UQ6" s="154">
        <v>30</v>
      </c>
      <c r="UR6" s="154">
        <v>31</v>
      </c>
      <c r="US6" s="154">
        <v>32</v>
      </c>
      <c r="UT6" s="154">
        <v>33</v>
      </c>
      <c r="UU6" s="154">
        <v>34</v>
      </c>
      <c r="UV6" s="154">
        <v>35</v>
      </c>
      <c r="UW6" s="154">
        <v>36</v>
      </c>
      <c r="UX6" s="154">
        <v>37</v>
      </c>
      <c r="UY6" s="154">
        <v>38</v>
      </c>
      <c r="UZ6" s="154">
        <v>39</v>
      </c>
      <c r="VA6" s="154">
        <v>40</v>
      </c>
      <c r="VB6" s="154">
        <v>41</v>
      </c>
      <c r="VC6" s="154">
        <v>42</v>
      </c>
      <c r="VD6" s="154">
        <v>43</v>
      </c>
      <c r="VE6" s="154">
        <v>44</v>
      </c>
      <c r="VF6" s="154">
        <v>45</v>
      </c>
      <c r="VG6" s="154">
        <v>46</v>
      </c>
      <c r="VH6" s="154">
        <v>47</v>
      </c>
      <c r="VI6" s="154">
        <v>48</v>
      </c>
      <c r="VJ6" s="154">
        <v>49</v>
      </c>
      <c r="VK6" s="154">
        <v>50</v>
      </c>
      <c r="VL6" s="154">
        <v>51</v>
      </c>
      <c r="VM6" s="154">
        <v>52</v>
      </c>
      <c r="VN6" s="154">
        <v>53</v>
      </c>
      <c r="VO6" s="154">
        <v>54</v>
      </c>
      <c r="VP6" s="154">
        <v>55</v>
      </c>
      <c r="VQ6" s="154">
        <v>56</v>
      </c>
      <c r="VR6" s="154">
        <v>57</v>
      </c>
      <c r="VS6" s="154">
        <v>58</v>
      </c>
      <c r="VT6" s="154">
        <v>59</v>
      </c>
      <c r="VU6" s="154">
        <v>60</v>
      </c>
      <c r="VV6" s="154">
        <v>61</v>
      </c>
      <c r="VW6" s="154">
        <v>62</v>
      </c>
      <c r="VX6" s="154">
        <v>63</v>
      </c>
      <c r="VY6" s="154">
        <v>64</v>
      </c>
      <c r="VZ6" s="154">
        <v>65</v>
      </c>
      <c r="WA6" s="154" t="s">
        <v>18</v>
      </c>
    </row>
    <row r="7" spans="1:599" s="84" customFormat="1" ht="15.65" hidden="1" customHeight="1" x14ac:dyDescent="0.3">
      <c r="A7" s="41"/>
      <c r="B7" s="39"/>
      <c r="C7" s="40"/>
      <c r="D7" s="40"/>
      <c r="E7" s="2"/>
      <c r="F7" s="2"/>
      <c r="G7" s="2"/>
      <c r="H7" s="2"/>
      <c r="I7" s="2"/>
      <c r="J7" s="2"/>
      <c r="K7" s="2"/>
      <c r="L7" s="2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89" t="str">
        <f>CONCATENATE(IF(M7&gt;0,M7,""),IF(N7&gt;0,CONCATENATE("+", N7),""),IF(O7&gt;0,CONCATENATE("+", O7),""),IF(P7&gt;0,CONCATENATE("+", P7),""),IF(Q7&gt;0,CONCATENATE("+", Q7),""),IF(R7&gt;0,CONCATENATE("+", R7),""))</f>
        <v/>
      </c>
      <c r="Z7" s="89" t="str">
        <f>CONCATENATE(IF(S7&gt;0,S7,""),IF(T7&gt;0,CONCATENATE("+", T7),""),IF(U7&gt;0,CONCATENATE("+", U7),""),IF(V7&gt;0,CONCATENATE("+", V7),""),IF(W7&gt;0,CONCATENATE("+", W7),""),IF(X7&gt;0,CONCATENATE("+", X7),""))</f>
        <v/>
      </c>
      <c r="AA7" s="89">
        <f>SUM(M7:R7)</f>
        <v>0</v>
      </c>
      <c r="AB7" s="89">
        <f>SUM(S7:X7)</f>
        <v>0</v>
      </c>
      <c r="AC7" s="90">
        <f>SUM(AW7:DL7)+SUM(DN7:GC7)+SUM(GE7:IT7)+SUM(IV7:LK7)+SUM(LM7:OB7)+SUM(OD7:QS7)+SUM(QU7:TJ7)+SUM(TL7:WA7)</f>
        <v>0</v>
      </c>
      <c r="AD7" s="91">
        <f t="shared" ref="AD7" si="16">AA7*AB7/1000000</f>
        <v>0</v>
      </c>
      <c r="AE7" s="93">
        <f>AV7</f>
        <v>0</v>
      </c>
      <c r="AF7" s="93">
        <f>DM7</f>
        <v>0</v>
      </c>
      <c r="AG7" s="93">
        <f>GD7</f>
        <v>0</v>
      </c>
      <c r="AH7" s="93">
        <f>IU7</f>
        <v>0</v>
      </c>
      <c r="AI7" s="93">
        <f>LN7</f>
        <v>0</v>
      </c>
      <c r="AJ7" s="93">
        <f>OC7</f>
        <v>0</v>
      </c>
      <c r="AK7" s="93">
        <f>QT7</f>
        <v>0</v>
      </c>
      <c r="AL7" s="93">
        <f>TK7</f>
        <v>0</v>
      </c>
      <c r="AM7" s="92">
        <f t="shared" ref="AM7" si="17">AA7*AB7*AC7/1000000</f>
        <v>0</v>
      </c>
      <c r="AN7" s="1" t="str">
        <f>IF(E7&gt;0,E7*$AC7*$AB7/1000," ")</f>
        <v xml:space="preserve"> </v>
      </c>
      <c r="AO7" s="1" t="str">
        <f>IF(F7&gt;0,F7*$AC7*$AA7/1000," ")</f>
        <v xml:space="preserve"> </v>
      </c>
      <c r="AP7" s="1" t="str">
        <f>IF(G7&gt;0,G7*$AC7*$AA7/1000," ")</f>
        <v xml:space="preserve"> </v>
      </c>
      <c r="AQ7" s="1" t="str">
        <f>IF(H7&gt;0,H7*$AC7*$AB7/1000," ")</f>
        <v xml:space="preserve"> </v>
      </c>
      <c r="AR7" s="1" t="str">
        <f>IF(I7&gt;0,I7*$AC7*$AA7/1000," ")</f>
        <v xml:space="preserve"> </v>
      </c>
      <c r="AS7" s="1" t="str">
        <f>IF(J7&gt;0,J7*$AC7*$AA7/1000," ")</f>
        <v xml:space="preserve"> </v>
      </c>
      <c r="AT7" s="1" t="str">
        <f>IF(K7&gt;0,K7*$AC7*$AA7/1000," ")</f>
        <v xml:space="preserve"> </v>
      </c>
      <c r="AU7" s="103" t="str">
        <f>IF(L7&gt;0,L7*$AC7*$AB7/1000," ")</f>
        <v xml:space="preserve"> </v>
      </c>
      <c r="AV7" s="111">
        <f>SUM(AW7:DL7)*AD7</f>
        <v>0</v>
      </c>
      <c r="AW7" s="4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6"/>
      <c r="DM7" s="111">
        <f>SUM(DN7:GC7)*AD7</f>
        <v>0</v>
      </c>
      <c r="DN7" s="4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6"/>
      <c r="GD7" s="111">
        <f>SUM(GE7:IT7)*AD7</f>
        <v>0</v>
      </c>
      <c r="GE7" s="4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6"/>
      <c r="IU7" s="111">
        <f>SUM(IV7:LK7)*AD7</f>
        <v>0</v>
      </c>
      <c r="IV7" s="4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6"/>
      <c r="LL7" s="111">
        <f>SUM(LM7:OB7)*AD7</f>
        <v>0</v>
      </c>
      <c r="LM7" s="4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6"/>
      <c r="OC7" s="111">
        <f>SUM(OD7:QS7)*AD7</f>
        <v>0</v>
      </c>
      <c r="OD7" s="4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6"/>
      <c r="QT7" s="111">
        <f>SUM(QU7:TJ7)*AD7</f>
        <v>0</v>
      </c>
      <c r="QU7" s="4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6"/>
      <c r="TK7" s="111">
        <f>SUM(TL7:WA7)*AD7</f>
        <v>0</v>
      </c>
      <c r="TL7" s="4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6"/>
    </row>
    <row r="8" spans="1:599" s="79" customFormat="1" ht="14.25" customHeight="1" x14ac:dyDescent="0.3">
      <c r="A8" s="85"/>
      <c r="B8" s="77"/>
      <c r="C8" s="87"/>
      <c r="D8" s="87"/>
      <c r="E8" s="81"/>
      <c r="F8" s="81"/>
      <c r="G8" s="81"/>
      <c r="H8" s="81"/>
      <c r="I8" s="81"/>
      <c r="J8" s="81"/>
      <c r="K8" s="81"/>
      <c r="L8" s="81"/>
      <c r="M8" s="3"/>
      <c r="N8" s="3"/>
      <c r="O8" s="3"/>
      <c r="P8" s="3"/>
      <c r="Q8" s="3"/>
      <c r="R8" s="3"/>
      <c r="S8" s="3"/>
      <c r="T8" s="3"/>
      <c r="U8" s="3"/>
      <c r="V8" s="3"/>
      <c r="W8" s="5"/>
      <c r="X8" s="5"/>
      <c r="Y8" s="89" t="str">
        <f t="shared" ref="Y8:Y71" si="18">CONCATENATE(IF(M8&gt;0,M8,""),IF(N8&gt;0,CONCATENATE("+", N8),""),IF(O8&gt;0,CONCATENATE("+", O8),""),IF(P8&gt;0,CONCATENATE("+", P8),""),IF(Q8&gt;0,CONCATENATE("+", Q8),""),IF(R8&gt;0,CONCATENATE("+", R8),""))</f>
        <v/>
      </c>
      <c r="Z8" s="89" t="str">
        <f t="shared" ref="Z8:Z71" si="19">CONCATENATE(IF(S8&gt;0,S8,""),IF(T8&gt;0,CONCATENATE("+", T8),""),IF(U8&gt;0,CONCATENATE("+", U8),""),IF(V8&gt;0,CONCATENATE("+", V8),""),IF(W8&gt;0,CONCATENATE("+", W8),""),IF(X8&gt;0,CONCATENATE("+", X8),""))</f>
        <v/>
      </c>
      <c r="AA8" s="89">
        <f t="shared" ref="AA8:AA71" si="20">SUM(M8:R8)</f>
        <v>0</v>
      </c>
      <c r="AB8" s="89">
        <f t="shared" ref="AB8:AB71" si="21">SUM(S8:X8)</f>
        <v>0</v>
      </c>
      <c r="AC8" s="90">
        <f t="shared" ref="AC8:AC71" si="22">SUM(AW8:DL8)+SUM(DN8:GC8)+SUM(GE8:IT8)+SUM(IV8:LK8)+SUM(LM8:OB8)+SUM(OD8:QS8)+SUM(QU8:TJ8)+SUM(TL8:WA8)</f>
        <v>0</v>
      </c>
      <c r="AD8" s="91">
        <f t="shared" ref="AD8:AD71" si="23">AA8*AB8/1000000</f>
        <v>0</v>
      </c>
      <c r="AE8" s="93">
        <f t="shared" ref="AE8:AE71" si="24">AV8</f>
        <v>0</v>
      </c>
      <c r="AF8" s="93">
        <f t="shared" ref="AF8:AF71" si="25">DM8</f>
        <v>0</v>
      </c>
      <c r="AG8" s="93">
        <f t="shared" ref="AG8:AG71" si="26">GD8</f>
        <v>0</v>
      </c>
      <c r="AH8" s="93">
        <f t="shared" ref="AH8:AH71" si="27">IU8</f>
        <v>0</v>
      </c>
      <c r="AI8" s="93">
        <f t="shared" ref="AI8:AI71" si="28">LN8</f>
        <v>0</v>
      </c>
      <c r="AJ8" s="93">
        <f t="shared" ref="AJ8:AJ71" si="29">OC8</f>
        <v>0</v>
      </c>
      <c r="AK8" s="93">
        <f t="shared" ref="AK8:AK71" si="30">QT8</f>
        <v>0</v>
      </c>
      <c r="AL8" s="93">
        <f t="shared" ref="AL8:AL71" si="31">TK8</f>
        <v>0</v>
      </c>
      <c r="AM8" s="92">
        <f t="shared" ref="AM8:AM71" si="32">AA8*AB8*AC8/1000000</f>
        <v>0</v>
      </c>
      <c r="AN8" s="19" t="str">
        <f t="shared" ref="AN8:AN162" si="33">IF(E8&gt;0,E8*$AC8*$AB8/1000," ")</f>
        <v xml:space="preserve"> </v>
      </c>
      <c r="AO8" s="19" t="str">
        <f t="shared" ref="AO8:AO162" si="34">IF(F8&gt;0,F8*$AC8*$AA8/1000," ")</f>
        <v xml:space="preserve"> </v>
      </c>
      <c r="AP8" s="19" t="str">
        <f t="shared" ref="AP8:AP162" si="35">IF(G8&gt;0,G8*$AC8*$AA8/1000," ")</f>
        <v xml:space="preserve"> </v>
      </c>
      <c r="AQ8" s="19" t="str">
        <f t="shared" ref="AQ8:AQ83" si="36">IF(H8&gt;0,H8*$AC8*$AB8/1000," ")</f>
        <v xml:space="preserve"> </v>
      </c>
      <c r="AR8" s="19" t="str">
        <f t="shared" ref="AR8:AR162" si="37">IF(I8&gt;0,I8*$AC8*$AA8/1000," ")</f>
        <v xml:space="preserve"> </v>
      </c>
      <c r="AS8" s="19" t="str">
        <f t="shared" ref="AS8:AS162" si="38">IF(J8&gt;0,J8*$AC8*$AA8/1000," ")</f>
        <v xml:space="preserve"> </v>
      </c>
      <c r="AT8" s="19" t="str">
        <f t="shared" ref="AT8:AT162" si="39">IF(K8&gt;0,K8*$AC8*$AA8/1000," ")</f>
        <v xml:space="preserve"> </v>
      </c>
      <c r="AU8" s="104" t="str">
        <f t="shared" ref="AU8:AU162" si="40">IF(L8&gt;0,L8*$AC8*$AB8/1000," ")</f>
        <v xml:space="preserve"> </v>
      </c>
      <c r="AV8" s="111">
        <f t="shared" ref="AV8:AV71" si="41">SUM(AW8:DL8)*AD8</f>
        <v>0</v>
      </c>
      <c r="AW8" s="4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78"/>
      <c r="DM8" s="111">
        <f t="shared" ref="DM8:DM71" si="42">SUM(DN8:GC8)*AD8</f>
        <v>0</v>
      </c>
      <c r="DN8" s="4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78"/>
      <c r="GD8" s="111">
        <f t="shared" ref="GD8:GD71" si="43">SUM(GE8:IT8)*AD8</f>
        <v>0</v>
      </c>
      <c r="GE8" s="4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78"/>
      <c r="IU8" s="111">
        <f t="shared" ref="IU8:IU71" si="44">SUM(IV8:LK8)*AD8</f>
        <v>0</v>
      </c>
      <c r="IV8" s="4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78"/>
      <c r="LL8" s="111">
        <f t="shared" ref="LL8:LL71" si="45">SUM(LM8:OB8)*AD8</f>
        <v>0</v>
      </c>
      <c r="LM8" s="4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78"/>
      <c r="OC8" s="111">
        <f t="shared" ref="OC8:OC71" si="46">SUM(OD8:QS8)*AD8</f>
        <v>0</v>
      </c>
      <c r="OD8" s="4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78"/>
      <c r="QT8" s="111">
        <f t="shared" ref="QT8:QT71" si="47">SUM(QU8:TJ8)*AD8</f>
        <v>0</v>
      </c>
      <c r="QU8" s="4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78"/>
      <c r="TK8" s="111">
        <f t="shared" ref="TK8:TK71" si="48">SUM(TL8:WA8)*AD8</f>
        <v>0</v>
      </c>
      <c r="TL8" s="4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78"/>
    </row>
    <row r="9" spans="1:599" s="84" customFormat="1" ht="14.25" customHeight="1" x14ac:dyDescent="0.3">
      <c r="A9" s="41"/>
      <c r="B9" s="39"/>
      <c r="C9" s="40"/>
      <c r="D9" s="40"/>
      <c r="E9" s="2"/>
      <c r="F9" s="2"/>
      <c r="G9" s="2"/>
      <c r="H9" s="2"/>
      <c r="I9" s="2"/>
      <c r="J9" s="2"/>
      <c r="K9" s="2"/>
      <c r="L9" s="2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89" t="str">
        <f t="shared" si="18"/>
        <v/>
      </c>
      <c r="Z9" s="89" t="str">
        <f t="shared" si="19"/>
        <v/>
      </c>
      <c r="AA9" s="89">
        <f t="shared" si="20"/>
        <v>0</v>
      </c>
      <c r="AB9" s="89">
        <f t="shared" si="21"/>
        <v>0</v>
      </c>
      <c r="AC9" s="90">
        <f t="shared" si="22"/>
        <v>0</v>
      </c>
      <c r="AD9" s="91">
        <f t="shared" si="23"/>
        <v>0</v>
      </c>
      <c r="AE9" s="93">
        <f t="shared" si="24"/>
        <v>0</v>
      </c>
      <c r="AF9" s="93">
        <f t="shared" si="25"/>
        <v>0</v>
      </c>
      <c r="AG9" s="93">
        <f t="shared" si="26"/>
        <v>0</v>
      </c>
      <c r="AH9" s="93">
        <f t="shared" si="27"/>
        <v>0</v>
      </c>
      <c r="AI9" s="93">
        <f t="shared" si="28"/>
        <v>0</v>
      </c>
      <c r="AJ9" s="93">
        <f t="shared" si="29"/>
        <v>0</v>
      </c>
      <c r="AK9" s="93">
        <f t="shared" si="30"/>
        <v>0</v>
      </c>
      <c r="AL9" s="93">
        <f t="shared" si="31"/>
        <v>0</v>
      </c>
      <c r="AM9" s="92">
        <f t="shared" si="32"/>
        <v>0</v>
      </c>
      <c r="AN9" s="1" t="str">
        <f t="shared" si="33"/>
        <v xml:space="preserve"> </v>
      </c>
      <c r="AO9" s="1" t="str">
        <f t="shared" si="34"/>
        <v xml:space="preserve"> </v>
      </c>
      <c r="AP9" s="1" t="str">
        <f t="shared" si="35"/>
        <v xml:space="preserve"> </v>
      </c>
      <c r="AQ9" s="1" t="str">
        <f t="shared" si="36"/>
        <v xml:space="preserve"> </v>
      </c>
      <c r="AR9" s="1" t="str">
        <f t="shared" si="37"/>
        <v xml:space="preserve"> </v>
      </c>
      <c r="AS9" s="1" t="str">
        <f t="shared" si="38"/>
        <v xml:space="preserve"> </v>
      </c>
      <c r="AT9" s="1" t="str">
        <f t="shared" si="39"/>
        <v xml:space="preserve"> </v>
      </c>
      <c r="AU9" s="103" t="str">
        <f t="shared" si="40"/>
        <v xml:space="preserve"> </v>
      </c>
      <c r="AV9" s="111">
        <f t="shared" si="41"/>
        <v>0</v>
      </c>
      <c r="AW9" s="4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6"/>
      <c r="DM9" s="111">
        <f t="shared" si="42"/>
        <v>0</v>
      </c>
      <c r="DN9" s="4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6"/>
      <c r="GD9" s="111">
        <f t="shared" si="43"/>
        <v>0</v>
      </c>
      <c r="GE9" s="4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6"/>
      <c r="IU9" s="111">
        <f t="shared" si="44"/>
        <v>0</v>
      </c>
      <c r="IV9" s="4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6"/>
      <c r="LL9" s="111">
        <f t="shared" si="45"/>
        <v>0</v>
      </c>
      <c r="LM9" s="4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6"/>
      <c r="OC9" s="111">
        <f t="shared" si="46"/>
        <v>0</v>
      </c>
      <c r="OD9" s="4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6"/>
      <c r="QT9" s="111">
        <f t="shared" si="47"/>
        <v>0</v>
      </c>
      <c r="QU9" s="4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6"/>
      <c r="TK9" s="111">
        <f t="shared" si="48"/>
        <v>0</v>
      </c>
      <c r="TL9" s="4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6"/>
    </row>
    <row r="10" spans="1:599" s="84" customFormat="1" ht="14.25" customHeight="1" x14ac:dyDescent="0.3">
      <c r="A10" s="41"/>
      <c r="B10" s="39"/>
      <c r="C10" s="40"/>
      <c r="D10" s="40"/>
      <c r="E10" s="2"/>
      <c r="F10" s="2"/>
      <c r="G10" s="2"/>
      <c r="H10" s="2"/>
      <c r="I10" s="2"/>
      <c r="J10" s="2"/>
      <c r="K10" s="2"/>
      <c r="L10" s="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89" t="str">
        <f t="shared" si="18"/>
        <v/>
      </c>
      <c r="Z10" s="89" t="str">
        <f t="shared" si="19"/>
        <v/>
      </c>
      <c r="AA10" s="89">
        <f t="shared" si="20"/>
        <v>0</v>
      </c>
      <c r="AB10" s="89">
        <f t="shared" si="21"/>
        <v>0</v>
      </c>
      <c r="AC10" s="90">
        <f t="shared" si="22"/>
        <v>0</v>
      </c>
      <c r="AD10" s="91">
        <f t="shared" si="23"/>
        <v>0</v>
      </c>
      <c r="AE10" s="93">
        <f t="shared" si="24"/>
        <v>0</v>
      </c>
      <c r="AF10" s="93">
        <f t="shared" si="25"/>
        <v>0</v>
      </c>
      <c r="AG10" s="93">
        <f t="shared" si="26"/>
        <v>0</v>
      </c>
      <c r="AH10" s="93">
        <f t="shared" si="27"/>
        <v>0</v>
      </c>
      <c r="AI10" s="93">
        <f t="shared" si="28"/>
        <v>0</v>
      </c>
      <c r="AJ10" s="93">
        <f t="shared" si="29"/>
        <v>0</v>
      </c>
      <c r="AK10" s="93">
        <f t="shared" si="30"/>
        <v>0</v>
      </c>
      <c r="AL10" s="93">
        <f t="shared" si="31"/>
        <v>0</v>
      </c>
      <c r="AM10" s="92">
        <f t="shared" si="32"/>
        <v>0</v>
      </c>
      <c r="AN10" s="1" t="str">
        <f t="shared" ref="AN10:AN15" si="49">IF(E10&gt;0,E10*$AC10*$AB10/1000," ")</f>
        <v xml:space="preserve"> </v>
      </c>
      <c r="AO10" s="1" t="str">
        <f t="shared" ref="AO10:AP15" si="50">IF(F10&gt;0,F10*$AC10*$AA10/1000," ")</f>
        <v xml:space="preserve"> </v>
      </c>
      <c r="AP10" s="1" t="str">
        <f t="shared" si="50"/>
        <v xml:space="preserve"> </v>
      </c>
      <c r="AQ10" s="1" t="str">
        <f t="shared" ref="AQ10:AQ15" si="51">IF(H10&gt;0,H10*$AC10*$AB10/1000," ")</f>
        <v xml:space="preserve"> </v>
      </c>
      <c r="AR10" s="1" t="str">
        <f t="shared" ref="AR10:AT15" si="52">IF(I10&gt;0,I10*$AC10*$AA10/1000," ")</f>
        <v xml:space="preserve"> </v>
      </c>
      <c r="AS10" s="1" t="str">
        <f t="shared" si="52"/>
        <v xml:space="preserve"> </v>
      </c>
      <c r="AT10" s="1" t="str">
        <f t="shared" si="52"/>
        <v xml:space="preserve"> </v>
      </c>
      <c r="AU10" s="103" t="str">
        <f t="shared" ref="AU10:AU15" si="53">IF(L10&gt;0,L10*$AC10*$AB10/1000," ")</f>
        <v xml:space="preserve"> </v>
      </c>
      <c r="AV10" s="111">
        <f t="shared" si="41"/>
        <v>0</v>
      </c>
      <c r="AW10" s="4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6"/>
      <c r="DM10" s="111">
        <f t="shared" si="42"/>
        <v>0</v>
      </c>
      <c r="DN10" s="4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6"/>
      <c r="GD10" s="111">
        <f t="shared" si="43"/>
        <v>0</v>
      </c>
      <c r="GE10" s="4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6"/>
      <c r="IU10" s="111">
        <f t="shared" si="44"/>
        <v>0</v>
      </c>
      <c r="IV10" s="4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6"/>
      <c r="LL10" s="111">
        <f t="shared" si="45"/>
        <v>0</v>
      </c>
      <c r="LM10" s="4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6"/>
      <c r="OC10" s="111">
        <f t="shared" si="46"/>
        <v>0</v>
      </c>
      <c r="OD10" s="4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6"/>
      <c r="QT10" s="111">
        <f t="shared" si="47"/>
        <v>0</v>
      </c>
      <c r="QU10" s="4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6"/>
      <c r="TK10" s="111">
        <f t="shared" si="48"/>
        <v>0</v>
      </c>
      <c r="TL10" s="4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6"/>
    </row>
    <row r="11" spans="1:599" ht="14.25" customHeight="1" x14ac:dyDescent="0.3">
      <c r="A11" s="85"/>
      <c r="B11" s="87"/>
      <c r="C11" s="87"/>
      <c r="D11" s="86"/>
      <c r="E11" s="81"/>
      <c r="F11" s="81"/>
      <c r="G11" s="81"/>
      <c r="H11" s="81"/>
      <c r="I11" s="81"/>
      <c r="J11" s="81"/>
      <c r="K11" s="81"/>
      <c r="L11" s="81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89" t="str">
        <f t="shared" si="18"/>
        <v/>
      </c>
      <c r="Z11" s="89" t="str">
        <f t="shared" si="19"/>
        <v/>
      </c>
      <c r="AA11" s="89">
        <f>SUM(M11:R11)</f>
        <v>0</v>
      </c>
      <c r="AB11" s="89">
        <f>SUM(S11:X11)</f>
        <v>0</v>
      </c>
      <c r="AC11" s="90">
        <f t="shared" si="22"/>
        <v>0</v>
      </c>
      <c r="AD11" s="91">
        <f t="shared" si="23"/>
        <v>0</v>
      </c>
      <c r="AE11" s="93">
        <f t="shared" si="24"/>
        <v>0</v>
      </c>
      <c r="AF11" s="93">
        <f t="shared" si="25"/>
        <v>0</v>
      </c>
      <c r="AG11" s="93">
        <f t="shared" si="26"/>
        <v>0</v>
      </c>
      <c r="AH11" s="93">
        <f t="shared" si="27"/>
        <v>0</v>
      </c>
      <c r="AI11" s="93">
        <f t="shared" si="28"/>
        <v>0</v>
      </c>
      <c r="AJ11" s="93">
        <f t="shared" si="29"/>
        <v>0</v>
      </c>
      <c r="AK11" s="93">
        <f t="shared" si="30"/>
        <v>0</v>
      </c>
      <c r="AL11" s="93">
        <f t="shared" si="31"/>
        <v>0</v>
      </c>
      <c r="AM11" s="92">
        <f t="shared" si="32"/>
        <v>0</v>
      </c>
      <c r="AN11" s="1" t="str">
        <f t="shared" si="49"/>
        <v xml:space="preserve"> </v>
      </c>
      <c r="AO11" s="1" t="str">
        <f t="shared" si="50"/>
        <v xml:space="preserve"> </v>
      </c>
      <c r="AP11" s="1" t="str">
        <f t="shared" si="50"/>
        <v xml:space="preserve"> </v>
      </c>
      <c r="AQ11" s="1" t="str">
        <f t="shared" si="51"/>
        <v xml:space="preserve"> </v>
      </c>
      <c r="AR11" s="1" t="str">
        <f t="shared" si="52"/>
        <v xml:space="preserve"> </v>
      </c>
      <c r="AS11" s="1" t="str">
        <f t="shared" si="52"/>
        <v xml:space="preserve"> </v>
      </c>
      <c r="AT11" s="1" t="str">
        <f t="shared" si="52"/>
        <v xml:space="preserve"> </v>
      </c>
      <c r="AU11" s="103" t="str">
        <f t="shared" si="53"/>
        <v xml:space="preserve"> </v>
      </c>
      <c r="AV11" s="111">
        <f t="shared" si="41"/>
        <v>0</v>
      </c>
      <c r="AW11" s="4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6"/>
      <c r="DM11" s="111">
        <f t="shared" si="42"/>
        <v>0</v>
      </c>
      <c r="DN11" s="4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6"/>
      <c r="GD11" s="111">
        <f t="shared" si="43"/>
        <v>0</v>
      </c>
      <c r="GE11" s="4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6"/>
      <c r="IU11" s="111">
        <f t="shared" si="44"/>
        <v>0</v>
      </c>
      <c r="IV11" s="4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6"/>
      <c r="LL11" s="111">
        <f t="shared" si="45"/>
        <v>0</v>
      </c>
      <c r="LM11" s="4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6"/>
      <c r="OC11" s="111">
        <f t="shared" si="46"/>
        <v>0</v>
      </c>
      <c r="OD11" s="4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6"/>
      <c r="QT11" s="111">
        <f t="shared" si="47"/>
        <v>0</v>
      </c>
      <c r="QU11" s="4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6"/>
      <c r="TK11" s="111">
        <f t="shared" si="48"/>
        <v>0</v>
      </c>
      <c r="TL11" s="4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6"/>
    </row>
    <row r="12" spans="1:599" s="84" customFormat="1" ht="14.25" customHeight="1" x14ac:dyDescent="0.3">
      <c r="A12" s="85"/>
      <c r="B12" s="87"/>
      <c r="C12" s="87"/>
      <c r="D12" s="86"/>
      <c r="E12" s="81"/>
      <c r="F12" s="81"/>
      <c r="G12" s="81"/>
      <c r="H12" s="81"/>
      <c r="I12" s="81"/>
      <c r="J12" s="81"/>
      <c r="K12" s="81"/>
      <c r="L12" s="81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89" t="str">
        <f t="shared" si="18"/>
        <v/>
      </c>
      <c r="Z12" s="89" t="str">
        <f t="shared" si="19"/>
        <v/>
      </c>
      <c r="AA12" s="89">
        <f>SUM(M12:R12)</f>
        <v>0</v>
      </c>
      <c r="AB12" s="89">
        <f>SUM(S12:X12)</f>
        <v>0</v>
      </c>
      <c r="AC12" s="90">
        <f t="shared" si="22"/>
        <v>0</v>
      </c>
      <c r="AD12" s="91">
        <f t="shared" si="23"/>
        <v>0</v>
      </c>
      <c r="AE12" s="93">
        <f t="shared" si="24"/>
        <v>0</v>
      </c>
      <c r="AF12" s="93">
        <f t="shared" si="25"/>
        <v>0</v>
      </c>
      <c r="AG12" s="93">
        <f t="shared" si="26"/>
        <v>0</v>
      </c>
      <c r="AH12" s="93">
        <f t="shared" si="27"/>
        <v>0</v>
      </c>
      <c r="AI12" s="93">
        <f t="shared" si="28"/>
        <v>0</v>
      </c>
      <c r="AJ12" s="93">
        <f t="shared" si="29"/>
        <v>0</v>
      </c>
      <c r="AK12" s="93">
        <f t="shared" si="30"/>
        <v>0</v>
      </c>
      <c r="AL12" s="93">
        <f t="shared" si="31"/>
        <v>0</v>
      </c>
      <c r="AM12" s="92">
        <f t="shared" si="32"/>
        <v>0</v>
      </c>
      <c r="AN12" s="1" t="str">
        <f t="shared" si="49"/>
        <v xml:space="preserve"> </v>
      </c>
      <c r="AO12" s="1" t="str">
        <f t="shared" si="50"/>
        <v xml:space="preserve"> </v>
      </c>
      <c r="AP12" s="1" t="str">
        <f t="shared" si="50"/>
        <v xml:space="preserve"> </v>
      </c>
      <c r="AQ12" s="1" t="str">
        <f t="shared" si="51"/>
        <v xml:space="preserve"> </v>
      </c>
      <c r="AR12" s="1" t="str">
        <f t="shared" si="52"/>
        <v xml:space="preserve"> </v>
      </c>
      <c r="AS12" s="1" t="str">
        <f t="shared" si="52"/>
        <v xml:space="preserve"> </v>
      </c>
      <c r="AT12" s="1" t="str">
        <f t="shared" si="52"/>
        <v xml:space="preserve"> </v>
      </c>
      <c r="AU12" s="103" t="str">
        <f t="shared" si="53"/>
        <v xml:space="preserve"> </v>
      </c>
      <c r="AV12" s="111">
        <f t="shared" si="41"/>
        <v>0</v>
      </c>
      <c r="AW12" s="4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6"/>
      <c r="DM12" s="111">
        <f t="shared" si="42"/>
        <v>0</v>
      </c>
      <c r="DN12" s="4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6"/>
      <c r="GD12" s="111">
        <f t="shared" si="43"/>
        <v>0</v>
      </c>
      <c r="GE12" s="4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6"/>
      <c r="IU12" s="111">
        <f t="shared" si="44"/>
        <v>0</v>
      </c>
      <c r="IV12" s="4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6"/>
      <c r="LL12" s="111">
        <f t="shared" si="45"/>
        <v>0</v>
      </c>
      <c r="LM12" s="4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6"/>
      <c r="OC12" s="111">
        <f t="shared" si="46"/>
        <v>0</v>
      </c>
      <c r="OD12" s="4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6"/>
      <c r="QT12" s="111">
        <f t="shared" si="47"/>
        <v>0</v>
      </c>
      <c r="QU12" s="4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6"/>
      <c r="TK12" s="111">
        <f t="shared" si="48"/>
        <v>0</v>
      </c>
      <c r="TL12" s="4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6"/>
    </row>
    <row r="13" spans="1:599" s="84" customFormat="1" ht="14.25" customHeight="1" x14ac:dyDescent="0.3">
      <c r="A13" s="85"/>
      <c r="B13" s="87"/>
      <c r="C13" s="87"/>
      <c r="D13" s="86"/>
      <c r="E13" s="81"/>
      <c r="F13" s="81"/>
      <c r="G13" s="81"/>
      <c r="H13" s="81"/>
      <c r="I13" s="81"/>
      <c r="J13" s="81"/>
      <c r="K13" s="2"/>
      <c r="L13" s="2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89" t="str">
        <f t="shared" si="18"/>
        <v/>
      </c>
      <c r="Z13" s="89" t="str">
        <f t="shared" si="19"/>
        <v/>
      </c>
      <c r="AA13" s="89">
        <f>SUM(M13:R13)</f>
        <v>0</v>
      </c>
      <c r="AB13" s="89">
        <f>SUM(S13:X13)</f>
        <v>0</v>
      </c>
      <c r="AC13" s="90">
        <f t="shared" si="22"/>
        <v>0</v>
      </c>
      <c r="AD13" s="91">
        <f t="shared" si="23"/>
        <v>0</v>
      </c>
      <c r="AE13" s="93">
        <f t="shared" si="24"/>
        <v>0</v>
      </c>
      <c r="AF13" s="93">
        <f t="shared" si="25"/>
        <v>0</v>
      </c>
      <c r="AG13" s="93">
        <f t="shared" si="26"/>
        <v>0</v>
      </c>
      <c r="AH13" s="93">
        <f t="shared" si="27"/>
        <v>0</v>
      </c>
      <c r="AI13" s="93">
        <f t="shared" si="28"/>
        <v>0</v>
      </c>
      <c r="AJ13" s="93">
        <f t="shared" si="29"/>
        <v>0</v>
      </c>
      <c r="AK13" s="93">
        <f t="shared" si="30"/>
        <v>0</v>
      </c>
      <c r="AL13" s="93">
        <f t="shared" si="31"/>
        <v>0</v>
      </c>
      <c r="AM13" s="92">
        <f t="shared" si="32"/>
        <v>0</v>
      </c>
      <c r="AN13" s="1" t="str">
        <f t="shared" si="49"/>
        <v xml:space="preserve"> </v>
      </c>
      <c r="AO13" s="1" t="str">
        <f t="shared" si="50"/>
        <v xml:space="preserve"> </v>
      </c>
      <c r="AP13" s="1" t="str">
        <f t="shared" si="50"/>
        <v xml:space="preserve"> </v>
      </c>
      <c r="AQ13" s="1" t="str">
        <f t="shared" si="51"/>
        <v xml:space="preserve"> </v>
      </c>
      <c r="AR13" s="1" t="str">
        <f t="shared" si="52"/>
        <v xml:space="preserve"> </v>
      </c>
      <c r="AS13" s="1" t="str">
        <f t="shared" si="52"/>
        <v xml:space="preserve"> </v>
      </c>
      <c r="AT13" s="1" t="str">
        <f t="shared" si="52"/>
        <v xml:space="preserve"> </v>
      </c>
      <c r="AU13" s="103" t="str">
        <f t="shared" si="53"/>
        <v xml:space="preserve"> </v>
      </c>
      <c r="AV13" s="111">
        <f t="shared" si="41"/>
        <v>0</v>
      </c>
      <c r="AW13" s="4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6"/>
      <c r="DM13" s="111">
        <f t="shared" si="42"/>
        <v>0</v>
      </c>
      <c r="DN13" s="4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6"/>
      <c r="GD13" s="111">
        <f t="shared" si="43"/>
        <v>0</v>
      </c>
      <c r="GE13" s="4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6"/>
      <c r="IU13" s="111">
        <f t="shared" si="44"/>
        <v>0</v>
      </c>
      <c r="IV13" s="4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6"/>
      <c r="LL13" s="111">
        <f t="shared" si="45"/>
        <v>0</v>
      </c>
      <c r="LM13" s="4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6"/>
      <c r="OC13" s="111">
        <f t="shared" si="46"/>
        <v>0</v>
      </c>
      <c r="OD13" s="4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6"/>
      <c r="QT13" s="111">
        <f t="shared" si="47"/>
        <v>0</v>
      </c>
      <c r="QU13" s="4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6"/>
      <c r="TK13" s="111">
        <f t="shared" si="48"/>
        <v>0</v>
      </c>
      <c r="TL13" s="4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6"/>
    </row>
    <row r="14" spans="1:599" s="84" customFormat="1" ht="14.25" customHeight="1" x14ac:dyDescent="0.3">
      <c r="A14" s="85"/>
      <c r="B14" s="87"/>
      <c r="C14" s="87"/>
      <c r="D14" s="86"/>
      <c r="E14" s="81"/>
      <c r="F14" s="81"/>
      <c r="G14" s="81"/>
      <c r="H14" s="81"/>
      <c r="I14" s="81"/>
      <c r="J14" s="81"/>
      <c r="K14" s="81"/>
      <c r="L14" s="8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89" t="str">
        <f t="shared" si="18"/>
        <v/>
      </c>
      <c r="Z14" s="89" t="str">
        <f t="shared" si="19"/>
        <v/>
      </c>
      <c r="AA14" s="89">
        <f>SUM(M14:R14)</f>
        <v>0</v>
      </c>
      <c r="AB14" s="89">
        <f>SUM(S14:X14)</f>
        <v>0</v>
      </c>
      <c r="AC14" s="90">
        <f t="shared" si="22"/>
        <v>0</v>
      </c>
      <c r="AD14" s="91">
        <f t="shared" si="23"/>
        <v>0</v>
      </c>
      <c r="AE14" s="93">
        <f t="shared" si="24"/>
        <v>0</v>
      </c>
      <c r="AF14" s="93">
        <f t="shared" si="25"/>
        <v>0</v>
      </c>
      <c r="AG14" s="93">
        <f t="shared" si="26"/>
        <v>0</v>
      </c>
      <c r="AH14" s="93">
        <f t="shared" si="27"/>
        <v>0</v>
      </c>
      <c r="AI14" s="93">
        <f t="shared" si="28"/>
        <v>0</v>
      </c>
      <c r="AJ14" s="93">
        <f t="shared" si="29"/>
        <v>0</v>
      </c>
      <c r="AK14" s="93">
        <f t="shared" si="30"/>
        <v>0</v>
      </c>
      <c r="AL14" s="93">
        <f t="shared" si="31"/>
        <v>0</v>
      </c>
      <c r="AM14" s="92">
        <f t="shared" si="32"/>
        <v>0</v>
      </c>
      <c r="AN14" s="1" t="str">
        <f t="shared" si="49"/>
        <v xml:space="preserve"> </v>
      </c>
      <c r="AO14" s="1" t="str">
        <f t="shared" si="50"/>
        <v xml:space="preserve"> </v>
      </c>
      <c r="AP14" s="1" t="str">
        <f t="shared" si="50"/>
        <v xml:space="preserve"> </v>
      </c>
      <c r="AQ14" s="1" t="str">
        <f t="shared" si="51"/>
        <v xml:space="preserve"> </v>
      </c>
      <c r="AR14" s="1" t="str">
        <f t="shared" si="52"/>
        <v xml:space="preserve"> </v>
      </c>
      <c r="AS14" s="1" t="str">
        <f t="shared" si="52"/>
        <v xml:space="preserve"> </v>
      </c>
      <c r="AT14" s="1" t="str">
        <f t="shared" si="52"/>
        <v xml:space="preserve"> </v>
      </c>
      <c r="AU14" s="103" t="str">
        <f t="shared" si="53"/>
        <v xml:space="preserve"> </v>
      </c>
      <c r="AV14" s="111">
        <f t="shared" si="41"/>
        <v>0</v>
      </c>
      <c r="AW14" s="4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6"/>
      <c r="DM14" s="111">
        <f t="shared" si="42"/>
        <v>0</v>
      </c>
      <c r="DN14" s="4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6"/>
      <c r="GD14" s="111">
        <f t="shared" si="43"/>
        <v>0</v>
      </c>
      <c r="GE14" s="4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6"/>
      <c r="IU14" s="111">
        <f t="shared" si="44"/>
        <v>0</v>
      </c>
      <c r="IV14" s="4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6"/>
      <c r="LL14" s="111">
        <f t="shared" si="45"/>
        <v>0</v>
      </c>
      <c r="LM14" s="4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6"/>
      <c r="OC14" s="111">
        <f t="shared" si="46"/>
        <v>0</v>
      </c>
      <c r="OD14" s="4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6"/>
      <c r="QT14" s="111">
        <f t="shared" si="47"/>
        <v>0</v>
      </c>
      <c r="QU14" s="4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6"/>
      <c r="TK14" s="111">
        <f t="shared" si="48"/>
        <v>0</v>
      </c>
      <c r="TL14" s="4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6"/>
    </row>
    <row r="15" spans="1:599" s="84" customFormat="1" ht="14.25" customHeight="1" x14ac:dyDescent="0.3">
      <c r="A15" s="85"/>
      <c r="B15" s="87"/>
      <c r="C15" s="87"/>
      <c r="D15" s="86"/>
      <c r="E15" s="81"/>
      <c r="F15" s="81"/>
      <c r="G15" s="81"/>
      <c r="H15" s="81"/>
      <c r="I15" s="81"/>
      <c r="J15" s="81"/>
      <c r="K15" s="81"/>
      <c r="L15" s="81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89" t="str">
        <f t="shared" si="18"/>
        <v/>
      </c>
      <c r="Z15" s="89" t="str">
        <f t="shared" si="19"/>
        <v/>
      </c>
      <c r="AA15" s="89">
        <f>SUM(M15:R15)</f>
        <v>0</v>
      </c>
      <c r="AB15" s="89">
        <f>SUM(S15:X15)</f>
        <v>0</v>
      </c>
      <c r="AC15" s="90">
        <f t="shared" si="22"/>
        <v>0</v>
      </c>
      <c r="AD15" s="91">
        <f t="shared" si="23"/>
        <v>0</v>
      </c>
      <c r="AE15" s="93">
        <f t="shared" si="24"/>
        <v>0</v>
      </c>
      <c r="AF15" s="93">
        <f t="shared" si="25"/>
        <v>0</v>
      </c>
      <c r="AG15" s="93">
        <f t="shared" si="26"/>
        <v>0</v>
      </c>
      <c r="AH15" s="93">
        <f t="shared" si="27"/>
        <v>0</v>
      </c>
      <c r="AI15" s="93">
        <f t="shared" si="28"/>
        <v>0</v>
      </c>
      <c r="AJ15" s="93">
        <f t="shared" si="29"/>
        <v>0</v>
      </c>
      <c r="AK15" s="93">
        <f t="shared" si="30"/>
        <v>0</v>
      </c>
      <c r="AL15" s="93">
        <f t="shared" si="31"/>
        <v>0</v>
      </c>
      <c r="AM15" s="92">
        <f t="shared" si="32"/>
        <v>0</v>
      </c>
      <c r="AN15" s="1" t="str">
        <f t="shared" si="49"/>
        <v xml:space="preserve"> </v>
      </c>
      <c r="AO15" s="1" t="str">
        <f t="shared" si="50"/>
        <v xml:space="preserve"> </v>
      </c>
      <c r="AP15" s="1" t="str">
        <f t="shared" si="50"/>
        <v xml:space="preserve"> </v>
      </c>
      <c r="AQ15" s="1" t="str">
        <f t="shared" si="51"/>
        <v xml:space="preserve"> </v>
      </c>
      <c r="AR15" s="1" t="str">
        <f t="shared" si="52"/>
        <v xml:space="preserve"> </v>
      </c>
      <c r="AS15" s="1" t="str">
        <f t="shared" si="52"/>
        <v xml:space="preserve"> </v>
      </c>
      <c r="AT15" s="1" t="str">
        <f t="shared" si="52"/>
        <v xml:space="preserve"> </v>
      </c>
      <c r="AU15" s="103" t="str">
        <f t="shared" si="53"/>
        <v xml:space="preserve"> </v>
      </c>
      <c r="AV15" s="111">
        <f t="shared" si="41"/>
        <v>0</v>
      </c>
      <c r="AW15" s="4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6"/>
      <c r="DM15" s="111">
        <f t="shared" si="42"/>
        <v>0</v>
      </c>
      <c r="DN15" s="4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6"/>
      <c r="GD15" s="111">
        <f t="shared" si="43"/>
        <v>0</v>
      </c>
      <c r="GE15" s="4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6"/>
      <c r="IU15" s="111">
        <f t="shared" si="44"/>
        <v>0</v>
      </c>
      <c r="IV15" s="4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6"/>
      <c r="LL15" s="111">
        <f t="shared" si="45"/>
        <v>0</v>
      </c>
      <c r="LM15" s="4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6"/>
      <c r="OC15" s="111">
        <f t="shared" si="46"/>
        <v>0</v>
      </c>
      <c r="OD15" s="4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6"/>
      <c r="QT15" s="111">
        <f t="shared" si="47"/>
        <v>0</v>
      </c>
      <c r="QU15" s="4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6"/>
      <c r="TK15" s="111">
        <f t="shared" si="48"/>
        <v>0</v>
      </c>
      <c r="TL15" s="4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6"/>
    </row>
    <row r="16" spans="1:599" s="84" customFormat="1" ht="14.25" customHeight="1" x14ac:dyDescent="0.3">
      <c r="A16" s="41"/>
      <c r="B16" s="39"/>
      <c r="C16" s="40"/>
      <c r="D16" s="40"/>
      <c r="E16" s="2"/>
      <c r="F16" s="2"/>
      <c r="G16" s="2"/>
      <c r="H16" s="2"/>
      <c r="I16" s="2"/>
      <c r="J16" s="2"/>
      <c r="K16" s="2"/>
      <c r="L16" s="2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89" t="str">
        <f t="shared" si="18"/>
        <v/>
      </c>
      <c r="Z16" s="89" t="str">
        <f t="shared" si="19"/>
        <v/>
      </c>
      <c r="AA16" s="89">
        <f t="shared" si="20"/>
        <v>0</v>
      </c>
      <c r="AB16" s="89">
        <f t="shared" si="21"/>
        <v>0</v>
      </c>
      <c r="AC16" s="90">
        <f t="shared" si="22"/>
        <v>0</v>
      </c>
      <c r="AD16" s="91">
        <f t="shared" si="23"/>
        <v>0</v>
      </c>
      <c r="AE16" s="93">
        <f t="shared" si="24"/>
        <v>0</v>
      </c>
      <c r="AF16" s="93">
        <f t="shared" si="25"/>
        <v>0</v>
      </c>
      <c r="AG16" s="93">
        <f t="shared" si="26"/>
        <v>0</v>
      </c>
      <c r="AH16" s="93">
        <f t="shared" si="27"/>
        <v>0</v>
      </c>
      <c r="AI16" s="93">
        <f t="shared" si="28"/>
        <v>0</v>
      </c>
      <c r="AJ16" s="93">
        <f t="shared" si="29"/>
        <v>0</v>
      </c>
      <c r="AK16" s="93">
        <f t="shared" si="30"/>
        <v>0</v>
      </c>
      <c r="AL16" s="93">
        <f t="shared" si="31"/>
        <v>0</v>
      </c>
      <c r="AM16" s="92">
        <f t="shared" si="32"/>
        <v>0</v>
      </c>
      <c r="AN16" s="1" t="str">
        <f t="shared" ref="AN16:AN34" si="54">IF(E16&gt;0,E16*$AC16*$AB16/1000," ")</f>
        <v xml:space="preserve"> </v>
      </c>
      <c r="AO16" s="1" t="str">
        <f t="shared" ref="AO16:AO34" si="55">IF(F16&gt;0,F16*$AC16*$AA16/1000," ")</f>
        <v xml:space="preserve"> </v>
      </c>
      <c r="AP16" s="1" t="str">
        <f t="shared" si="35"/>
        <v xml:space="preserve"> </v>
      </c>
      <c r="AQ16" s="1" t="str">
        <f t="shared" ref="AQ16:AQ34" si="56">IF(H16&gt;0,H16*$AC16*$AB16/1000," ")</f>
        <v xml:space="preserve"> </v>
      </c>
      <c r="AR16" s="1" t="str">
        <f t="shared" ref="AR16:AR34" si="57">IF(I16&gt;0,I16*$AC16*$AA16/1000," ")</f>
        <v xml:space="preserve"> </v>
      </c>
      <c r="AS16" s="1" t="str">
        <f t="shared" si="38"/>
        <v xml:space="preserve"> </v>
      </c>
      <c r="AT16" s="1" t="str">
        <f t="shared" si="39"/>
        <v xml:space="preserve"> </v>
      </c>
      <c r="AU16" s="103" t="str">
        <f t="shared" ref="AU16:AU34" si="58">IF(L16&gt;0,L16*$AC16*$AB16/1000," ")</f>
        <v xml:space="preserve"> </v>
      </c>
      <c r="AV16" s="111">
        <f t="shared" si="41"/>
        <v>0</v>
      </c>
      <c r="AW16" s="4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6"/>
      <c r="DM16" s="111">
        <f t="shared" si="42"/>
        <v>0</v>
      </c>
      <c r="DN16" s="4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6"/>
      <c r="GD16" s="111">
        <f t="shared" si="43"/>
        <v>0</v>
      </c>
      <c r="GE16" s="4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6"/>
      <c r="IU16" s="111">
        <f t="shared" si="44"/>
        <v>0</v>
      </c>
      <c r="IV16" s="4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6"/>
      <c r="LL16" s="111">
        <f t="shared" si="45"/>
        <v>0</v>
      </c>
      <c r="LM16" s="4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6"/>
      <c r="OC16" s="111">
        <f t="shared" si="46"/>
        <v>0</v>
      </c>
      <c r="OD16" s="4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6"/>
      <c r="QT16" s="111">
        <f t="shared" si="47"/>
        <v>0</v>
      </c>
      <c r="QU16" s="4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6"/>
      <c r="TK16" s="111">
        <f t="shared" si="48"/>
        <v>0</v>
      </c>
      <c r="TL16" s="4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6"/>
    </row>
    <row r="17" spans="1:599" s="84" customFormat="1" ht="14.25" customHeight="1" x14ac:dyDescent="0.3">
      <c r="A17" s="85"/>
      <c r="B17" s="87"/>
      <c r="C17" s="87"/>
      <c r="D17" s="86"/>
      <c r="E17" s="81"/>
      <c r="F17" s="81"/>
      <c r="G17" s="81"/>
      <c r="H17" s="81"/>
      <c r="I17" s="81"/>
      <c r="J17" s="81"/>
      <c r="K17" s="2"/>
      <c r="L17" s="2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89" t="str">
        <f t="shared" si="18"/>
        <v/>
      </c>
      <c r="Z17" s="89" t="str">
        <f t="shared" si="19"/>
        <v/>
      </c>
      <c r="AA17" s="89">
        <f t="shared" si="20"/>
        <v>0</v>
      </c>
      <c r="AB17" s="89">
        <f t="shared" si="21"/>
        <v>0</v>
      </c>
      <c r="AC17" s="90">
        <f t="shared" si="22"/>
        <v>0</v>
      </c>
      <c r="AD17" s="91">
        <f t="shared" si="23"/>
        <v>0</v>
      </c>
      <c r="AE17" s="93">
        <f t="shared" si="24"/>
        <v>0</v>
      </c>
      <c r="AF17" s="93">
        <f t="shared" si="25"/>
        <v>0</v>
      </c>
      <c r="AG17" s="93">
        <f t="shared" si="26"/>
        <v>0</v>
      </c>
      <c r="AH17" s="93">
        <f t="shared" si="27"/>
        <v>0</v>
      </c>
      <c r="AI17" s="93">
        <f t="shared" si="28"/>
        <v>0</v>
      </c>
      <c r="AJ17" s="93">
        <f t="shared" si="29"/>
        <v>0</v>
      </c>
      <c r="AK17" s="93">
        <f t="shared" si="30"/>
        <v>0</v>
      </c>
      <c r="AL17" s="93">
        <f t="shared" si="31"/>
        <v>0</v>
      </c>
      <c r="AM17" s="92">
        <f t="shared" si="32"/>
        <v>0</v>
      </c>
      <c r="AN17" s="1" t="str">
        <f t="shared" si="54"/>
        <v xml:space="preserve"> </v>
      </c>
      <c r="AO17" s="1" t="str">
        <f t="shared" si="55"/>
        <v xml:space="preserve"> </v>
      </c>
      <c r="AP17" s="1" t="str">
        <f t="shared" si="35"/>
        <v xml:space="preserve"> </v>
      </c>
      <c r="AQ17" s="1" t="str">
        <f t="shared" si="56"/>
        <v xml:space="preserve"> </v>
      </c>
      <c r="AR17" s="1" t="str">
        <f t="shared" si="57"/>
        <v xml:space="preserve"> </v>
      </c>
      <c r="AS17" s="1" t="str">
        <f t="shared" si="38"/>
        <v xml:space="preserve"> </v>
      </c>
      <c r="AT17" s="1" t="str">
        <f t="shared" si="39"/>
        <v xml:space="preserve"> </v>
      </c>
      <c r="AU17" s="103" t="str">
        <f t="shared" si="58"/>
        <v xml:space="preserve"> </v>
      </c>
      <c r="AV17" s="111">
        <f t="shared" si="41"/>
        <v>0</v>
      </c>
      <c r="AW17" s="4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6"/>
      <c r="DM17" s="111">
        <f t="shared" si="42"/>
        <v>0</v>
      </c>
      <c r="DN17" s="4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6"/>
      <c r="GD17" s="111">
        <f t="shared" si="43"/>
        <v>0</v>
      </c>
      <c r="GE17" s="4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6"/>
      <c r="IU17" s="111">
        <f t="shared" si="44"/>
        <v>0</v>
      </c>
      <c r="IV17" s="4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6"/>
      <c r="LL17" s="111">
        <f t="shared" si="45"/>
        <v>0</v>
      </c>
      <c r="LM17" s="4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6"/>
      <c r="OC17" s="111">
        <f t="shared" si="46"/>
        <v>0</v>
      </c>
      <c r="OD17" s="4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6"/>
      <c r="QT17" s="111">
        <f t="shared" si="47"/>
        <v>0</v>
      </c>
      <c r="QU17" s="4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6"/>
      <c r="TK17" s="111">
        <f t="shared" si="48"/>
        <v>0</v>
      </c>
      <c r="TL17" s="4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6"/>
    </row>
    <row r="18" spans="1:599" s="84" customFormat="1" ht="14.25" customHeight="1" x14ac:dyDescent="0.3">
      <c r="A18" s="85"/>
      <c r="B18" s="87"/>
      <c r="C18" s="87"/>
      <c r="D18" s="86"/>
      <c r="E18" s="81"/>
      <c r="F18" s="81"/>
      <c r="G18" s="81"/>
      <c r="H18" s="81"/>
      <c r="I18" s="81"/>
      <c r="J18" s="81"/>
      <c r="K18" s="2"/>
      <c r="L18" s="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89" t="str">
        <f t="shared" si="18"/>
        <v/>
      </c>
      <c r="Z18" s="89" t="str">
        <f t="shared" si="19"/>
        <v/>
      </c>
      <c r="AA18" s="89">
        <f t="shared" si="20"/>
        <v>0</v>
      </c>
      <c r="AB18" s="89">
        <f t="shared" si="21"/>
        <v>0</v>
      </c>
      <c r="AC18" s="90">
        <f t="shared" si="22"/>
        <v>0</v>
      </c>
      <c r="AD18" s="91">
        <f t="shared" si="23"/>
        <v>0</v>
      </c>
      <c r="AE18" s="93">
        <f t="shared" si="24"/>
        <v>0</v>
      </c>
      <c r="AF18" s="93">
        <f t="shared" si="25"/>
        <v>0</v>
      </c>
      <c r="AG18" s="93">
        <f t="shared" si="26"/>
        <v>0</v>
      </c>
      <c r="AH18" s="93">
        <f t="shared" si="27"/>
        <v>0</v>
      </c>
      <c r="AI18" s="93">
        <f t="shared" si="28"/>
        <v>0</v>
      </c>
      <c r="AJ18" s="93">
        <f t="shared" si="29"/>
        <v>0</v>
      </c>
      <c r="AK18" s="93">
        <f t="shared" si="30"/>
        <v>0</v>
      </c>
      <c r="AL18" s="93">
        <f t="shared" si="31"/>
        <v>0</v>
      </c>
      <c r="AM18" s="92">
        <f t="shared" si="32"/>
        <v>0</v>
      </c>
      <c r="AN18" s="1" t="str">
        <f t="shared" si="54"/>
        <v xml:space="preserve"> </v>
      </c>
      <c r="AO18" s="1" t="str">
        <f t="shared" si="55"/>
        <v xml:space="preserve"> </v>
      </c>
      <c r="AP18" s="1" t="str">
        <f t="shared" si="35"/>
        <v xml:space="preserve"> </v>
      </c>
      <c r="AQ18" s="1" t="str">
        <f t="shared" si="56"/>
        <v xml:space="preserve"> </v>
      </c>
      <c r="AR18" s="1" t="str">
        <f t="shared" si="57"/>
        <v xml:space="preserve"> </v>
      </c>
      <c r="AS18" s="1" t="str">
        <f t="shared" si="38"/>
        <v xml:space="preserve"> </v>
      </c>
      <c r="AT18" s="1" t="str">
        <f t="shared" si="39"/>
        <v xml:space="preserve"> </v>
      </c>
      <c r="AU18" s="103" t="str">
        <f t="shared" si="58"/>
        <v xml:space="preserve"> </v>
      </c>
      <c r="AV18" s="111">
        <f t="shared" si="41"/>
        <v>0</v>
      </c>
      <c r="AW18" s="4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6"/>
      <c r="DM18" s="111">
        <f t="shared" si="42"/>
        <v>0</v>
      </c>
      <c r="DN18" s="4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6"/>
      <c r="GD18" s="111">
        <f t="shared" si="43"/>
        <v>0</v>
      </c>
      <c r="GE18" s="4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6"/>
      <c r="IU18" s="111">
        <f t="shared" si="44"/>
        <v>0</v>
      </c>
      <c r="IV18" s="4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6"/>
      <c r="LL18" s="111">
        <f t="shared" si="45"/>
        <v>0</v>
      </c>
      <c r="LM18" s="4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6"/>
      <c r="OC18" s="111">
        <f t="shared" si="46"/>
        <v>0</v>
      </c>
      <c r="OD18" s="4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6"/>
      <c r="QT18" s="111">
        <f t="shared" si="47"/>
        <v>0</v>
      </c>
      <c r="QU18" s="4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6"/>
      <c r="TK18" s="111">
        <f t="shared" si="48"/>
        <v>0</v>
      </c>
      <c r="TL18" s="4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6"/>
    </row>
    <row r="19" spans="1:599" s="84" customFormat="1" ht="14.25" customHeight="1" x14ac:dyDescent="0.3">
      <c r="A19" s="85"/>
      <c r="B19" s="87"/>
      <c r="C19" s="87"/>
      <c r="D19" s="86"/>
      <c r="E19" s="81"/>
      <c r="F19" s="81"/>
      <c r="G19" s="81"/>
      <c r="H19" s="81"/>
      <c r="I19" s="81"/>
      <c r="J19" s="81"/>
      <c r="K19" s="2"/>
      <c r="L19" s="2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89" t="str">
        <f t="shared" si="18"/>
        <v/>
      </c>
      <c r="Z19" s="89" t="str">
        <f t="shared" si="19"/>
        <v/>
      </c>
      <c r="AA19" s="89">
        <f t="shared" si="20"/>
        <v>0</v>
      </c>
      <c r="AB19" s="89">
        <f t="shared" si="21"/>
        <v>0</v>
      </c>
      <c r="AC19" s="90">
        <f t="shared" si="22"/>
        <v>0</v>
      </c>
      <c r="AD19" s="91">
        <f t="shared" si="23"/>
        <v>0</v>
      </c>
      <c r="AE19" s="93">
        <f t="shared" si="24"/>
        <v>0</v>
      </c>
      <c r="AF19" s="93">
        <f t="shared" si="25"/>
        <v>0</v>
      </c>
      <c r="AG19" s="93">
        <f t="shared" si="26"/>
        <v>0</v>
      </c>
      <c r="AH19" s="93">
        <f t="shared" si="27"/>
        <v>0</v>
      </c>
      <c r="AI19" s="93">
        <f t="shared" si="28"/>
        <v>0</v>
      </c>
      <c r="AJ19" s="93">
        <f t="shared" si="29"/>
        <v>0</v>
      </c>
      <c r="AK19" s="93">
        <f t="shared" si="30"/>
        <v>0</v>
      </c>
      <c r="AL19" s="93">
        <f t="shared" si="31"/>
        <v>0</v>
      </c>
      <c r="AM19" s="92">
        <f t="shared" si="32"/>
        <v>0</v>
      </c>
      <c r="AN19" s="1" t="str">
        <f t="shared" si="54"/>
        <v xml:space="preserve"> </v>
      </c>
      <c r="AO19" s="1" t="str">
        <f t="shared" si="55"/>
        <v xml:space="preserve"> </v>
      </c>
      <c r="AP19" s="1" t="str">
        <f t="shared" si="35"/>
        <v xml:space="preserve"> </v>
      </c>
      <c r="AQ19" s="1" t="str">
        <f t="shared" si="56"/>
        <v xml:space="preserve"> </v>
      </c>
      <c r="AR19" s="1" t="str">
        <f t="shared" si="57"/>
        <v xml:space="preserve"> </v>
      </c>
      <c r="AS19" s="1" t="str">
        <f t="shared" si="38"/>
        <v xml:space="preserve"> </v>
      </c>
      <c r="AT19" s="1" t="str">
        <f t="shared" si="39"/>
        <v xml:space="preserve"> </v>
      </c>
      <c r="AU19" s="103" t="str">
        <f t="shared" si="58"/>
        <v xml:space="preserve"> </v>
      </c>
      <c r="AV19" s="111">
        <f t="shared" si="41"/>
        <v>0</v>
      </c>
      <c r="AW19" s="4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6"/>
      <c r="DM19" s="111">
        <f t="shared" si="42"/>
        <v>0</v>
      </c>
      <c r="DN19" s="4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6"/>
      <c r="GD19" s="111">
        <f t="shared" si="43"/>
        <v>0</v>
      </c>
      <c r="GE19" s="4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6"/>
      <c r="IU19" s="111">
        <f t="shared" si="44"/>
        <v>0</v>
      </c>
      <c r="IV19" s="4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6"/>
      <c r="LL19" s="111">
        <f t="shared" si="45"/>
        <v>0</v>
      </c>
      <c r="LM19" s="4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6"/>
      <c r="OC19" s="111">
        <f t="shared" si="46"/>
        <v>0</v>
      </c>
      <c r="OD19" s="4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6"/>
      <c r="QT19" s="111">
        <f t="shared" si="47"/>
        <v>0</v>
      </c>
      <c r="QU19" s="4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6"/>
      <c r="TK19" s="111">
        <f t="shared" si="48"/>
        <v>0</v>
      </c>
      <c r="TL19" s="4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6"/>
    </row>
    <row r="20" spans="1:599" s="84" customFormat="1" ht="14.25" customHeight="1" x14ac:dyDescent="0.3">
      <c r="A20" s="41"/>
      <c r="B20" s="39"/>
      <c r="C20" s="40"/>
      <c r="D20" s="40"/>
      <c r="E20" s="2"/>
      <c r="F20" s="2"/>
      <c r="G20" s="2"/>
      <c r="H20" s="2"/>
      <c r="I20" s="2"/>
      <c r="J20" s="2"/>
      <c r="K20" s="2"/>
      <c r="L20" s="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89" t="str">
        <f t="shared" si="18"/>
        <v/>
      </c>
      <c r="Z20" s="89" t="str">
        <f t="shared" si="19"/>
        <v/>
      </c>
      <c r="AA20" s="89">
        <f t="shared" si="20"/>
        <v>0</v>
      </c>
      <c r="AB20" s="89">
        <f t="shared" si="21"/>
        <v>0</v>
      </c>
      <c r="AC20" s="90">
        <f t="shared" si="22"/>
        <v>0</v>
      </c>
      <c r="AD20" s="91">
        <f t="shared" si="23"/>
        <v>0</v>
      </c>
      <c r="AE20" s="93">
        <f t="shared" si="24"/>
        <v>0</v>
      </c>
      <c r="AF20" s="93">
        <f t="shared" si="25"/>
        <v>0</v>
      </c>
      <c r="AG20" s="93">
        <f t="shared" si="26"/>
        <v>0</v>
      </c>
      <c r="AH20" s="93">
        <f t="shared" si="27"/>
        <v>0</v>
      </c>
      <c r="AI20" s="93">
        <f t="shared" si="28"/>
        <v>0</v>
      </c>
      <c r="AJ20" s="93">
        <f t="shared" si="29"/>
        <v>0</v>
      </c>
      <c r="AK20" s="93">
        <f t="shared" si="30"/>
        <v>0</v>
      </c>
      <c r="AL20" s="93">
        <f t="shared" si="31"/>
        <v>0</v>
      </c>
      <c r="AM20" s="92">
        <f t="shared" si="32"/>
        <v>0</v>
      </c>
      <c r="AN20" s="1" t="str">
        <f t="shared" si="54"/>
        <v xml:space="preserve"> </v>
      </c>
      <c r="AO20" s="1" t="str">
        <f t="shared" si="55"/>
        <v xml:space="preserve"> </v>
      </c>
      <c r="AP20" s="1" t="str">
        <f t="shared" si="35"/>
        <v xml:space="preserve"> </v>
      </c>
      <c r="AQ20" s="1" t="str">
        <f t="shared" si="56"/>
        <v xml:space="preserve"> </v>
      </c>
      <c r="AR20" s="1" t="str">
        <f t="shared" si="57"/>
        <v xml:space="preserve"> </v>
      </c>
      <c r="AS20" s="1" t="str">
        <f t="shared" si="38"/>
        <v xml:space="preserve"> </v>
      </c>
      <c r="AT20" s="1" t="str">
        <f t="shared" si="39"/>
        <v xml:space="preserve"> </v>
      </c>
      <c r="AU20" s="103" t="str">
        <f t="shared" si="58"/>
        <v xml:space="preserve"> </v>
      </c>
      <c r="AV20" s="111">
        <f t="shared" si="41"/>
        <v>0</v>
      </c>
      <c r="AW20" s="4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6"/>
      <c r="DM20" s="111">
        <f t="shared" si="42"/>
        <v>0</v>
      </c>
      <c r="DN20" s="4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6"/>
      <c r="GD20" s="111">
        <f t="shared" si="43"/>
        <v>0</v>
      </c>
      <c r="GE20" s="4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6"/>
      <c r="IU20" s="111">
        <f t="shared" si="44"/>
        <v>0</v>
      </c>
      <c r="IV20" s="4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6"/>
      <c r="LL20" s="111">
        <f t="shared" si="45"/>
        <v>0</v>
      </c>
      <c r="LM20" s="4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6"/>
      <c r="OC20" s="111">
        <f t="shared" si="46"/>
        <v>0</v>
      </c>
      <c r="OD20" s="4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6"/>
      <c r="QT20" s="111">
        <f t="shared" si="47"/>
        <v>0</v>
      </c>
      <c r="QU20" s="4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6"/>
      <c r="TK20" s="111">
        <f t="shared" si="48"/>
        <v>0</v>
      </c>
      <c r="TL20" s="4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6"/>
    </row>
    <row r="21" spans="1:599" s="84" customFormat="1" ht="14.25" customHeight="1" x14ac:dyDescent="0.3">
      <c r="A21" s="85"/>
      <c r="B21" s="87"/>
      <c r="C21" s="87"/>
      <c r="D21" s="86"/>
      <c r="E21" s="81"/>
      <c r="F21" s="81"/>
      <c r="G21" s="81"/>
      <c r="H21" s="81"/>
      <c r="I21" s="81"/>
      <c r="J21" s="81"/>
      <c r="K21" s="2"/>
      <c r="L21" s="2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89" t="str">
        <f t="shared" si="18"/>
        <v/>
      </c>
      <c r="Z21" s="89" t="str">
        <f t="shared" si="19"/>
        <v/>
      </c>
      <c r="AA21" s="89">
        <f t="shared" si="20"/>
        <v>0</v>
      </c>
      <c r="AB21" s="89">
        <f t="shared" si="21"/>
        <v>0</v>
      </c>
      <c r="AC21" s="90">
        <f t="shared" si="22"/>
        <v>0</v>
      </c>
      <c r="AD21" s="91">
        <f t="shared" si="23"/>
        <v>0</v>
      </c>
      <c r="AE21" s="93">
        <f t="shared" si="24"/>
        <v>0</v>
      </c>
      <c r="AF21" s="93">
        <f t="shared" si="25"/>
        <v>0</v>
      </c>
      <c r="AG21" s="93">
        <f t="shared" si="26"/>
        <v>0</v>
      </c>
      <c r="AH21" s="93">
        <f t="shared" si="27"/>
        <v>0</v>
      </c>
      <c r="AI21" s="93">
        <f t="shared" si="28"/>
        <v>0</v>
      </c>
      <c r="AJ21" s="93">
        <f t="shared" si="29"/>
        <v>0</v>
      </c>
      <c r="AK21" s="93">
        <f t="shared" si="30"/>
        <v>0</v>
      </c>
      <c r="AL21" s="93">
        <f t="shared" si="31"/>
        <v>0</v>
      </c>
      <c r="AM21" s="92">
        <f t="shared" si="32"/>
        <v>0</v>
      </c>
      <c r="AN21" s="1" t="str">
        <f t="shared" si="54"/>
        <v xml:space="preserve"> </v>
      </c>
      <c r="AO21" s="1" t="str">
        <f t="shared" si="55"/>
        <v xml:space="preserve"> </v>
      </c>
      <c r="AP21" s="1" t="str">
        <f t="shared" si="35"/>
        <v xml:space="preserve"> </v>
      </c>
      <c r="AQ21" s="1" t="str">
        <f t="shared" si="56"/>
        <v xml:space="preserve"> </v>
      </c>
      <c r="AR21" s="1" t="str">
        <f t="shared" si="57"/>
        <v xml:space="preserve"> </v>
      </c>
      <c r="AS21" s="1" t="str">
        <f t="shared" si="38"/>
        <v xml:space="preserve"> </v>
      </c>
      <c r="AT21" s="1" t="str">
        <f t="shared" si="39"/>
        <v xml:space="preserve"> </v>
      </c>
      <c r="AU21" s="103" t="str">
        <f t="shared" si="58"/>
        <v xml:space="preserve"> </v>
      </c>
      <c r="AV21" s="111">
        <f t="shared" si="41"/>
        <v>0</v>
      </c>
      <c r="AW21" s="4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6"/>
      <c r="DM21" s="111">
        <f t="shared" si="42"/>
        <v>0</v>
      </c>
      <c r="DN21" s="4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6"/>
      <c r="GD21" s="111">
        <f t="shared" si="43"/>
        <v>0</v>
      </c>
      <c r="GE21" s="4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6"/>
      <c r="IU21" s="111">
        <f t="shared" si="44"/>
        <v>0</v>
      </c>
      <c r="IV21" s="4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6"/>
      <c r="LL21" s="111">
        <f t="shared" si="45"/>
        <v>0</v>
      </c>
      <c r="LM21" s="4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6"/>
      <c r="OC21" s="111">
        <f t="shared" si="46"/>
        <v>0</v>
      </c>
      <c r="OD21" s="4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6"/>
      <c r="QT21" s="111">
        <f t="shared" si="47"/>
        <v>0</v>
      </c>
      <c r="QU21" s="4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6"/>
      <c r="TK21" s="111">
        <f t="shared" si="48"/>
        <v>0</v>
      </c>
      <c r="TL21" s="4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6"/>
    </row>
    <row r="22" spans="1:599" s="84" customFormat="1" ht="14.25" customHeight="1" x14ac:dyDescent="0.3">
      <c r="A22" s="85"/>
      <c r="B22" s="87"/>
      <c r="C22" s="87"/>
      <c r="D22" s="86"/>
      <c r="E22" s="81"/>
      <c r="F22" s="81"/>
      <c r="G22" s="81"/>
      <c r="H22" s="81"/>
      <c r="I22" s="81"/>
      <c r="J22" s="81"/>
      <c r="K22" s="81"/>
      <c r="L22" s="81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89" t="str">
        <f t="shared" si="18"/>
        <v/>
      </c>
      <c r="Z22" s="89" t="str">
        <f t="shared" si="19"/>
        <v/>
      </c>
      <c r="AA22" s="89">
        <f t="shared" si="20"/>
        <v>0</v>
      </c>
      <c r="AB22" s="89">
        <f t="shared" si="21"/>
        <v>0</v>
      </c>
      <c r="AC22" s="90">
        <f t="shared" si="22"/>
        <v>0</v>
      </c>
      <c r="AD22" s="91">
        <f t="shared" si="23"/>
        <v>0</v>
      </c>
      <c r="AE22" s="93">
        <f t="shared" si="24"/>
        <v>0</v>
      </c>
      <c r="AF22" s="93">
        <f t="shared" si="25"/>
        <v>0</v>
      </c>
      <c r="AG22" s="93">
        <f t="shared" si="26"/>
        <v>0</v>
      </c>
      <c r="AH22" s="93">
        <f t="shared" si="27"/>
        <v>0</v>
      </c>
      <c r="AI22" s="93">
        <f t="shared" si="28"/>
        <v>0</v>
      </c>
      <c r="AJ22" s="93">
        <f t="shared" si="29"/>
        <v>0</v>
      </c>
      <c r="AK22" s="93">
        <f t="shared" si="30"/>
        <v>0</v>
      </c>
      <c r="AL22" s="93">
        <f t="shared" si="31"/>
        <v>0</v>
      </c>
      <c r="AM22" s="92">
        <f t="shared" si="32"/>
        <v>0</v>
      </c>
      <c r="AN22" s="1" t="str">
        <f t="shared" si="54"/>
        <v xml:space="preserve"> </v>
      </c>
      <c r="AO22" s="1" t="str">
        <f t="shared" si="55"/>
        <v xml:space="preserve"> </v>
      </c>
      <c r="AP22" s="1" t="str">
        <f t="shared" si="35"/>
        <v xml:space="preserve"> </v>
      </c>
      <c r="AQ22" s="1" t="str">
        <f t="shared" si="56"/>
        <v xml:space="preserve"> </v>
      </c>
      <c r="AR22" s="1" t="str">
        <f t="shared" si="57"/>
        <v xml:space="preserve"> </v>
      </c>
      <c r="AS22" s="1" t="str">
        <f t="shared" si="38"/>
        <v xml:space="preserve"> </v>
      </c>
      <c r="AT22" s="1" t="str">
        <f t="shared" si="39"/>
        <v xml:space="preserve"> </v>
      </c>
      <c r="AU22" s="103" t="str">
        <f t="shared" si="58"/>
        <v xml:space="preserve"> </v>
      </c>
      <c r="AV22" s="111">
        <f t="shared" si="41"/>
        <v>0</v>
      </c>
      <c r="AW22" s="4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6"/>
      <c r="DM22" s="111">
        <f t="shared" si="42"/>
        <v>0</v>
      </c>
      <c r="DN22" s="4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6"/>
      <c r="GD22" s="111">
        <f t="shared" si="43"/>
        <v>0</v>
      </c>
      <c r="GE22" s="4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6"/>
      <c r="IU22" s="111">
        <f t="shared" si="44"/>
        <v>0</v>
      </c>
      <c r="IV22" s="4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6"/>
      <c r="LL22" s="111">
        <f t="shared" si="45"/>
        <v>0</v>
      </c>
      <c r="LM22" s="4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6"/>
      <c r="OC22" s="111">
        <f t="shared" si="46"/>
        <v>0</v>
      </c>
      <c r="OD22" s="4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6"/>
      <c r="QT22" s="111">
        <f t="shared" si="47"/>
        <v>0</v>
      </c>
      <c r="QU22" s="4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6"/>
      <c r="TK22" s="111">
        <f t="shared" si="48"/>
        <v>0</v>
      </c>
      <c r="TL22" s="4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6"/>
    </row>
    <row r="23" spans="1:599" s="84" customFormat="1" ht="14.25" customHeight="1" x14ac:dyDescent="0.3">
      <c r="A23" s="85"/>
      <c r="B23" s="87"/>
      <c r="C23" s="87"/>
      <c r="D23" s="86"/>
      <c r="E23" s="81"/>
      <c r="F23" s="81"/>
      <c r="G23" s="81"/>
      <c r="H23" s="81"/>
      <c r="I23" s="81"/>
      <c r="J23" s="81"/>
      <c r="K23" s="81"/>
      <c r="L23" s="81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89" t="str">
        <f t="shared" si="18"/>
        <v/>
      </c>
      <c r="Z23" s="89" t="str">
        <f t="shared" si="19"/>
        <v/>
      </c>
      <c r="AA23" s="89">
        <f t="shared" si="20"/>
        <v>0</v>
      </c>
      <c r="AB23" s="89">
        <f t="shared" si="21"/>
        <v>0</v>
      </c>
      <c r="AC23" s="90">
        <f t="shared" si="22"/>
        <v>0</v>
      </c>
      <c r="AD23" s="91">
        <f t="shared" si="23"/>
        <v>0</v>
      </c>
      <c r="AE23" s="93">
        <f t="shared" si="24"/>
        <v>0</v>
      </c>
      <c r="AF23" s="93">
        <f t="shared" si="25"/>
        <v>0</v>
      </c>
      <c r="AG23" s="93">
        <f t="shared" si="26"/>
        <v>0</v>
      </c>
      <c r="AH23" s="93">
        <f t="shared" si="27"/>
        <v>0</v>
      </c>
      <c r="AI23" s="93">
        <f t="shared" si="28"/>
        <v>0</v>
      </c>
      <c r="AJ23" s="93">
        <f t="shared" si="29"/>
        <v>0</v>
      </c>
      <c r="AK23" s="93">
        <f t="shared" si="30"/>
        <v>0</v>
      </c>
      <c r="AL23" s="93">
        <f t="shared" si="31"/>
        <v>0</v>
      </c>
      <c r="AM23" s="92">
        <f t="shared" si="32"/>
        <v>0</v>
      </c>
      <c r="AN23" s="1" t="str">
        <f t="shared" si="54"/>
        <v xml:space="preserve"> </v>
      </c>
      <c r="AO23" s="1" t="str">
        <f t="shared" si="55"/>
        <v xml:space="preserve"> </v>
      </c>
      <c r="AP23" s="1" t="str">
        <f t="shared" si="35"/>
        <v xml:space="preserve"> </v>
      </c>
      <c r="AQ23" s="1" t="str">
        <f t="shared" si="56"/>
        <v xml:space="preserve"> </v>
      </c>
      <c r="AR23" s="1" t="str">
        <f t="shared" si="57"/>
        <v xml:space="preserve"> </v>
      </c>
      <c r="AS23" s="1" t="str">
        <f t="shared" si="38"/>
        <v xml:space="preserve"> </v>
      </c>
      <c r="AT23" s="1" t="str">
        <f t="shared" si="39"/>
        <v xml:space="preserve"> </v>
      </c>
      <c r="AU23" s="103" t="str">
        <f t="shared" si="58"/>
        <v xml:space="preserve"> </v>
      </c>
      <c r="AV23" s="111">
        <f t="shared" si="41"/>
        <v>0</v>
      </c>
      <c r="AW23" s="4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6"/>
      <c r="DM23" s="111">
        <f t="shared" si="42"/>
        <v>0</v>
      </c>
      <c r="DN23" s="4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6"/>
      <c r="GD23" s="111">
        <f t="shared" si="43"/>
        <v>0</v>
      </c>
      <c r="GE23" s="4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6"/>
      <c r="IU23" s="111">
        <f t="shared" si="44"/>
        <v>0</v>
      </c>
      <c r="IV23" s="4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6"/>
      <c r="LL23" s="111">
        <f t="shared" si="45"/>
        <v>0</v>
      </c>
      <c r="LM23" s="4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6"/>
      <c r="OC23" s="111">
        <f t="shared" si="46"/>
        <v>0</v>
      </c>
      <c r="OD23" s="4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6"/>
      <c r="QT23" s="111">
        <f t="shared" si="47"/>
        <v>0</v>
      </c>
      <c r="QU23" s="4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6"/>
      <c r="TK23" s="111">
        <f t="shared" si="48"/>
        <v>0</v>
      </c>
      <c r="TL23" s="4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6"/>
    </row>
    <row r="24" spans="1:599" s="84" customFormat="1" ht="14.25" customHeight="1" x14ac:dyDescent="0.3">
      <c r="A24" s="85"/>
      <c r="B24" s="87"/>
      <c r="C24" s="87"/>
      <c r="D24" s="86"/>
      <c r="E24" s="81"/>
      <c r="F24" s="81"/>
      <c r="G24" s="81"/>
      <c r="H24" s="81"/>
      <c r="I24" s="81"/>
      <c r="J24" s="81"/>
      <c r="K24" s="81"/>
      <c r="L24" s="81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89" t="str">
        <f t="shared" si="18"/>
        <v/>
      </c>
      <c r="Z24" s="89" t="str">
        <f t="shared" si="19"/>
        <v/>
      </c>
      <c r="AA24" s="89">
        <f t="shared" si="20"/>
        <v>0</v>
      </c>
      <c r="AB24" s="89">
        <f t="shared" si="21"/>
        <v>0</v>
      </c>
      <c r="AC24" s="90">
        <f t="shared" si="22"/>
        <v>0</v>
      </c>
      <c r="AD24" s="91">
        <f t="shared" si="23"/>
        <v>0</v>
      </c>
      <c r="AE24" s="93">
        <f t="shared" si="24"/>
        <v>0</v>
      </c>
      <c r="AF24" s="93">
        <f t="shared" si="25"/>
        <v>0</v>
      </c>
      <c r="AG24" s="93">
        <f t="shared" si="26"/>
        <v>0</v>
      </c>
      <c r="AH24" s="93">
        <f t="shared" si="27"/>
        <v>0</v>
      </c>
      <c r="AI24" s="93">
        <f t="shared" si="28"/>
        <v>0</v>
      </c>
      <c r="AJ24" s="93">
        <f t="shared" si="29"/>
        <v>0</v>
      </c>
      <c r="AK24" s="93">
        <f t="shared" si="30"/>
        <v>0</v>
      </c>
      <c r="AL24" s="93">
        <f t="shared" si="31"/>
        <v>0</v>
      </c>
      <c r="AM24" s="92">
        <f t="shared" si="32"/>
        <v>0</v>
      </c>
      <c r="AN24" s="1" t="str">
        <f t="shared" si="54"/>
        <v xml:space="preserve"> </v>
      </c>
      <c r="AO24" s="1" t="str">
        <f t="shared" si="55"/>
        <v xml:space="preserve"> </v>
      </c>
      <c r="AP24" s="1" t="str">
        <f t="shared" si="35"/>
        <v xml:space="preserve"> </v>
      </c>
      <c r="AQ24" s="1" t="str">
        <f t="shared" si="56"/>
        <v xml:space="preserve"> </v>
      </c>
      <c r="AR24" s="1" t="str">
        <f t="shared" si="57"/>
        <v xml:space="preserve"> </v>
      </c>
      <c r="AS24" s="1" t="str">
        <f t="shared" si="38"/>
        <v xml:space="preserve"> </v>
      </c>
      <c r="AT24" s="1" t="str">
        <f t="shared" si="39"/>
        <v xml:space="preserve"> </v>
      </c>
      <c r="AU24" s="103" t="str">
        <f t="shared" si="58"/>
        <v xml:space="preserve"> </v>
      </c>
      <c r="AV24" s="111">
        <f t="shared" si="41"/>
        <v>0</v>
      </c>
      <c r="AW24" s="4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6"/>
      <c r="DM24" s="111">
        <f t="shared" si="42"/>
        <v>0</v>
      </c>
      <c r="DN24" s="4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6"/>
      <c r="GD24" s="111">
        <f t="shared" si="43"/>
        <v>0</v>
      </c>
      <c r="GE24" s="4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6"/>
      <c r="IU24" s="111">
        <f t="shared" si="44"/>
        <v>0</v>
      </c>
      <c r="IV24" s="4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6"/>
      <c r="LL24" s="111">
        <f t="shared" si="45"/>
        <v>0</v>
      </c>
      <c r="LM24" s="4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6"/>
      <c r="OC24" s="111">
        <f t="shared" si="46"/>
        <v>0</v>
      </c>
      <c r="OD24" s="4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6"/>
      <c r="QT24" s="111">
        <f t="shared" si="47"/>
        <v>0</v>
      </c>
      <c r="QU24" s="4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6"/>
      <c r="TK24" s="111">
        <f t="shared" si="48"/>
        <v>0</v>
      </c>
      <c r="TL24" s="4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6"/>
    </row>
    <row r="25" spans="1:599" s="84" customFormat="1" ht="14.25" customHeight="1" x14ac:dyDescent="0.3">
      <c r="A25" s="85"/>
      <c r="B25" s="87"/>
      <c r="C25" s="87"/>
      <c r="D25" s="86"/>
      <c r="E25" s="81"/>
      <c r="F25" s="81"/>
      <c r="G25" s="81"/>
      <c r="H25" s="81"/>
      <c r="I25" s="81"/>
      <c r="J25" s="81"/>
      <c r="K25" s="81"/>
      <c r="L25" s="81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89" t="str">
        <f t="shared" si="18"/>
        <v/>
      </c>
      <c r="Z25" s="89" t="str">
        <f t="shared" si="19"/>
        <v/>
      </c>
      <c r="AA25" s="89">
        <f t="shared" si="20"/>
        <v>0</v>
      </c>
      <c r="AB25" s="89">
        <f t="shared" si="21"/>
        <v>0</v>
      </c>
      <c r="AC25" s="90">
        <f t="shared" si="22"/>
        <v>0</v>
      </c>
      <c r="AD25" s="91">
        <f t="shared" si="23"/>
        <v>0</v>
      </c>
      <c r="AE25" s="93">
        <f t="shared" si="24"/>
        <v>0</v>
      </c>
      <c r="AF25" s="93">
        <f t="shared" si="25"/>
        <v>0</v>
      </c>
      <c r="AG25" s="93">
        <f t="shared" si="26"/>
        <v>0</v>
      </c>
      <c r="AH25" s="93">
        <f t="shared" si="27"/>
        <v>0</v>
      </c>
      <c r="AI25" s="93">
        <f t="shared" si="28"/>
        <v>0</v>
      </c>
      <c r="AJ25" s="93">
        <f t="shared" si="29"/>
        <v>0</v>
      </c>
      <c r="AK25" s="93">
        <f t="shared" si="30"/>
        <v>0</v>
      </c>
      <c r="AL25" s="93">
        <f t="shared" si="31"/>
        <v>0</v>
      </c>
      <c r="AM25" s="92">
        <f t="shared" si="32"/>
        <v>0</v>
      </c>
      <c r="AN25" s="1" t="str">
        <f t="shared" si="54"/>
        <v xml:space="preserve"> </v>
      </c>
      <c r="AO25" s="1" t="str">
        <f t="shared" si="55"/>
        <v xml:space="preserve"> </v>
      </c>
      <c r="AP25" s="1" t="str">
        <f t="shared" si="35"/>
        <v xml:space="preserve"> </v>
      </c>
      <c r="AQ25" s="1" t="str">
        <f t="shared" si="56"/>
        <v xml:space="preserve"> </v>
      </c>
      <c r="AR25" s="1" t="str">
        <f t="shared" si="57"/>
        <v xml:space="preserve"> </v>
      </c>
      <c r="AS25" s="1" t="str">
        <f t="shared" si="38"/>
        <v xml:space="preserve"> </v>
      </c>
      <c r="AT25" s="1" t="str">
        <f t="shared" si="39"/>
        <v xml:space="preserve"> </v>
      </c>
      <c r="AU25" s="103" t="str">
        <f t="shared" si="58"/>
        <v xml:space="preserve"> </v>
      </c>
      <c r="AV25" s="111">
        <f t="shared" si="41"/>
        <v>0</v>
      </c>
      <c r="AW25" s="4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6"/>
      <c r="DM25" s="111">
        <f t="shared" si="42"/>
        <v>0</v>
      </c>
      <c r="DN25" s="4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6"/>
      <c r="GD25" s="111">
        <f t="shared" si="43"/>
        <v>0</v>
      </c>
      <c r="GE25" s="4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6"/>
      <c r="IU25" s="111">
        <f t="shared" si="44"/>
        <v>0</v>
      </c>
      <c r="IV25" s="4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6"/>
      <c r="LL25" s="111">
        <f t="shared" si="45"/>
        <v>0</v>
      </c>
      <c r="LM25" s="4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6"/>
      <c r="OC25" s="111">
        <f t="shared" si="46"/>
        <v>0</v>
      </c>
      <c r="OD25" s="4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6"/>
      <c r="QT25" s="111">
        <f t="shared" si="47"/>
        <v>0</v>
      </c>
      <c r="QU25" s="4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6"/>
      <c r="TK25" s="111">
        <f t="shared" si="48"/>
        <v>0</v>
      </c>
      <c r="TL25" s="4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6"/>
    </row>
    <row r="26" spans="1:599" s="84" customFormat="1" ht="14.25" customHeight="1" x14ac:dyDescent="0.3">
      <c r="A26" s="85"/>
      <c r="B26" s="87"/>
      <c r="C26" s="87"/>
      <c r="D26" s="86"/>
      <c r="E26" s="81"/>
      <c r="F26" s="81"/>
      <c r="G26" s="81"/>
      <c r="H26" s="81"/>
      <c r="I26" s="81"/>
      <c r="J26" s="81"/>
      <c r="K26" s="81"/>
      <c r="L26" s="81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89" t="str">
        <f t="shared" si="18"/>
        <v/>
      </c>
      <c r="Z26" s="89" t="str">
        <f t="shared" si="19"/>
        <v/>
      </c>
      <c r="AA26" s="89">
        <f t="shared" si="20"/>
        <v>0</v>
      </c>
      <c r="AB26" s="89">
        <f t="shared" si="21"/>
        <v>0</v>
      </c>
      <c r="AC26" s="90">
        <f t="shared" si="22"/>
        <v>0</v>
      </c>
      <c r="AD26" s="91">
        <f t="shared" si="23"/>
        <v>0</v>
      </c>
      <c r="AE26" s="93">
        <f t="shared" si="24"/>
        <v>0</v>
      </c>
      <c r="AF26" s="93">
        <f t="shared" si="25"/>
        <v>0</v>
      </c>
      <c r="AG26" s="93">
        <f t="shared" si="26"/>
        <v>0</v>
      </c>
      <c r="AH26" s="93">
        <f t="shared" si="27"/>
        <v>0</v>
      </c>
      <c r="AI26" s="93">
        <f t="shared" si="28"/>
        <v>0</v>
      </c>
      <c r="AJ26" s="93">
        <f t="shared" si="29"/>
        <v>0</v>
      </c>
      <c r="AK26" s="93">
        <f t="shared" si="30"/>
        <v>0</v>
      </c>
      <c r="AL26" s="93">
        <f t="shared" si="31"/>
        <v>0</v>
      </c>
      <c r="AM26" s="92">
        <f t="shared" si="32"/>
        <v>0</v>
      </c>
      <c r="AN26" s="1" t="str">
        <f t="shared" si="54"/>
        <v xml:space="preserve"> </v>
      </c>
      <c r="AO26" s="1" t="str">
        <f t="shared" si="55"/>
        <v xml:space="preserve"> </v>
      </c>
      <c r="AP26" s="1" t="str">
        <f t="shared" si="35"/>
        <v xml:space="preserve"> </v>
      </c>
      <c r="AQ26" s="1" t="str">
        <f t="shared" si="56"/>
        <v xml:space="preserve"> </v>
      </c>
      <c r="AR26" s="1" t="str">
        <f t="shared" si="57"/>
        <v xml:space="preserve"> </v>
      </c>
      <c r="AS26" s="1" t="str">
        <f t="shared" si="38"/>
        <v xml:space="preserve"> </v>
      </c>
      <c r="AT26" s="1" t="str">
        <f t="shared" si="39"/>
        <v xml:space="preserve"> </v>
      </c>
      <c r="AU26" s="103" t="str">
        <f t="shared" si="58"/>
        <v xml:space="preserve"> </v>
      </c>
      <c r="AV26" s="111">
        <f t="shared" si="41"/>
        <v>0</v>
      </c>
      <c r="AW26" s="4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6"/>
      <c r="DM26" s="111">
        <f t="shared" si="42"/>
        <v>0</v>
      </c>
      <c r="DN26" s="4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6"/>
      <c r="GD26" s="111">
        <f t="shared" si="43"/>
        <v>0</v>
      </c>
      <c r="GE26" s="4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6"/>
      <c r="IU26" s="111">
        <f t="shared" si="44"/>
        <v>0</v>
      </c>
      <c r="IV26" s="4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6"/>
      <c r="LL26" s="111">
        <f t="shared" si="45"/>
        <v>0</v>
      </c>
      <c r="LM26" s="4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6"/>
      <c r="OC26" s="111">
        <f t="shared" si="46"/>
        <v>0</v>
      </c>
      <c r="OD26" s="4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6"/>
      <c r="QT26" s="111">
        <f t="shared" si="47"/>
        <v>0</v>
      </c>
      <c r="QU26" s="4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6"/>
      <c r="TK26" s="111">
        <f t="shared" si="48"/>
        <v>0</v>
      </c>
      <c r="TL26" s="4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6"/>
    </row>
    <row r="27" spans="1:599" s="84" customFormat="1" ht="14.25" customHeight="1" x14ac:dyDescent="0.3">
      <c r="A27" s="85"/>
      <c r="B27" s="87"/>
      <c r="C27" s="87"/>
      <c r="D27" s="86"/>
      <c r="E27" s="81"/>
      <c r="F27" s="81"/>
      <c r="G27" s="81"/>
      <c r="H27" s="81"/>
      <c r="I27" s="81"/>
      <c r="J27" s="81"/>
      <c r="K27" s="81"/>
      <c r="L27" s="81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89" t="str">
        <f t="shared" si="18"/>
        <v/>
      </c>
      <c r="Z27" s="89" t="str">
        <f t="shared" si="19"/>
        <v/>
      </c>
      <c r="AA27" s="89">
        <f t="shared" si="20"/>
        <v>0</v>
      </c>
      <c r="AB27" s="89">
        <f t="shared" si="21"/>
        <v>0</v>
      </c>
      <c r="AC27" s="90">
        <f t="shared" si="22"/>
        <v>0</v>
      </c>
      <c r="AD27" s="91">
        <f t="shared" si="23"/>
        <v>0</v>
      </c>
      <c r="AE27" s="93">
        <f t="shared" si="24"/>
        <v>0</v>
      </c>
      <c r="AF27" s="93">
        <f t="shared" si="25"/>
        <v>0</v>
      </c>
      <c r="AG27" s="93">
        <f t="shared" si="26"/>
        <v>0</v>
      </c>
      <c r="AH27" s="93">
        <f t="shared" si="27"/>
        <v>0</v>
      </c>
      <c r="AI27" s="93">
        <f t="shared" si="28"/>
        <v>0</v>
      </c>
      <c r="AJ27" s="93">
        <f t="shared" si="29"/>
        <v>0</v>
      </c>
      <c r="AK27" s="93">
        <f t="shared" si="30"/>
        <v>0</v>
      </c>
      <c r="AL27" s="93">
        <f t="shared" si="31"/>
        <v>0</v>
      </c>
      <c r="AM27" s="92">
        <f t="shared" si="32"/>
        <v>0</v>
      </c>
      <c r="AN27" s="1" t="str">
        <f t="shared" si="54"/>
        <v xml:space="preserve"> </v>
      </c>
      <c r="AO27" s="1" t="str">
        <f t="shared" si="55"/>
        <v xml:space="preserve"> </v>
      </c>
      <c r="AP27" s="1" t="str">
        <f t="shared" si="35"/>
        <v xml:space="preserve"> </v>
      </c>
      <c r="AQ27" s="1" t="str">
        <f t="shared" si="56"/>
        <v xml:space="preserve"> </v>
      </c>
      <c r="AR27" s="1" t="str">
        <f t="shared" si="57"/>
        <v xml:space="preserve"> </v>
      </c>
      <c r="AS27" s="1" t="str">
        <f t="shared" si="38"/>
        <v xml:space="preserve"> </v>
      </c>
      <c r="AT27" s="1" t="str">
        <f t="shared" si="39"/>
        <v xml:space="preserve"> </v>
      </c>
      <c r="AU27" s="103" t="str">
        <f t="shared" si="58"/>
        <v xml:space="preserve"> </v>
      </c>
      <c r="AV27" s="111">
        <f t="shared" si="41"/>
        <v>0</v>
      </c>
      <c r="AW27" s="4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6"/>
      <c r="DM27" s="111">
        <f t="shared" si="42"/>
        <v>0</v>
      </c>
      <c r="DN27" s="4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6"/>
      <c r="GD27" s="111">
        <f t="shared" si="43"/>
        <v>0</v>
      </c>
      <c r="GE27" s="4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6"/>
      <c r="IU27" s="111">
        <f t="shared" si="44"/>
        <v>0</v>
      </c>
      <c r="IV27" s="4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6"/>
      <c r="LL27" s="111">
        <f t="shared" si="45"/>
        <v>0</v>
      </c>
      <c r="LM27" s="4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6"/>
      <c r="OC27" s="111">
        <f t="shared" si="46"/>
        <v>0</v>
      </c>
      <c r="OD27" s="4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6"/>
      <c r="QT27" s="111">
        <f t="shared" si="47"/>
        <v>0</v>
      </c>
      <c r="QU27" s="4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6"/>
      <c r="TK27" s="111">
        <f t="shared" si="48"/>
        <v>0</v>
      </c>
      <c r="TL27" s="4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6"/>
    </row>
    <row r="28" spans="1:599" s="84" customFormat="1" ht="14.25" customHeight="1" x14ac:dyDescent="0.3">
      <c r="A28" s="85"/>
      <c r="B28" s="87"/>
      <c r="C28" s="87"/>
      <c r="D28" s="86"/>
      <c r="E28" s="81"/>
      <c r="F28" s="81"/>
      <c r="G28" s="81"/>
      <c r="H28" s="81"/>
      <c r="I28" s="81"/>
      <c r="J28" s="81"/>
      <c r="K28" s="2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89" t="str">
        <f t="shared" si="18"/>
        <v/>
      </c>
      <c r="Z28" s="89" t="str">
        <f t="shared" si="19"/>
        <v/>
      </c>
      <c r="AA28" s="89">
        <f t="shared" si="20"/>
        <v>0</v>
      </c>
      <c r="AB28" s="89">
        <f t="shared" si="21"/>
        <v>0</v>
      </c>
      <c r="AC28" s="90">
        <f t="shared" si="22"/>
        <v>0</v>
      </c>
      <c r="AD28" s="91">
        <f t="shared" si="23"/>
        <v>0</v>
      </c>
      <c r="AE28" s="93">
        <f t="shared" si="24"/>
        <v>0</v>
      </c>
      <c r="AF28" s="93">
        <f t="shared" si="25"/>
        <v>0</v>
      </c>
      <c r="AG28" s="93">
        <f t="shared" si="26"/>
        <v>0</v>
      </c>
      <c r="AH28" s="93">
        <f t="shared" si="27"/>
        <v>0</v>
      </c>
      <c r="AI28" s="93">
        <f t="shared" si="28"/>
        <v>0</v>
      </c>
      <c r="AJ28" s="93">
        <f t="shared" si="29"/>
        <v>0</v>
      </c>
      <c r="AK28" s="93">
        <f t="shared" si="30"/>
        <v>0</v>
      </c>
      <c r="AL28" s="93">
        <f t="shared" si="31"/>
        <v>0</v>
      </c>
      <c r="AM28" s="92">
        <f t="shared" si="32"/>
        <v>0</v>
      </c>
      <c r="AN28" s="1" t="str">
        <f t="shared" si="54"/>
        <v xml:space="preserve"> </v>
      </c>
      <c r="AO28" s="1" t="str">
        <f t="shared" si="55"/>
        <v xml:space="preserve"> </v>
      </c>
      <c r="AP28" s="1" t="str">
        <f t="shared" si="35"/>
        <v xml:space="preserve"> </v>
      </c>
      <c r="AQ28" s="1" t="str">
        <f t="shared" si="56"/>
        <v xml:space="preserve"> </v>
      </c>
      <c r="AR28" s="1" t="str">
        <f t="shared" si="57"/>
        <v xml:space="preserve"> </v>
      </c>
      <c r="AS28" s="1" t="str">
        <f t="shared" si="38"/>
        <v xml:space="preserve"> </v>
      </c>
      <c r="AT28" s="1" t="str">
        <f t="shared" si="39"/>
        <v xml:space="preserve"> </v>
      </c>
      <c r="AU28" s="103" t="str">
        <f t="shared" si="58"/>
        <v xml:space="preserve"> </v>
      </c>
      <c r="AV28" s="111">
        <f t="shared" si="41"/>
        <v>0</v>
      </c>
      <c r="AW28" s="4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6"/>
      <c r="DM28" s="111">
        <f t="shared" si="42"/>
        <v>0</v>
      </c>
      <c r="DN28" s="4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6"/>
      <c r="GD28" s="111">
        <f t="shared" si="43"/>
        <v>0</v>
      </c>
      <c r="GE28" s="4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6"/>
      <c r="IU28" s="111">
        <f t="shared" si="44"/>
        <v>0</v>
      </c>
      <c r="IV28" s="4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6"/>
      <c r="LL28" s="111">
        <f t="shared" si="45"/>
        <v>0</v>
      </c>
      <c r="LM28" s="4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6"/>
      <c r="OC28" s="111">
        <f t="shared" si="46"/>
        <v>0</v>
      </c>
      <c r="OD28" s="4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6"/>
      <c r="QT28" s="111">
        <f t="shared" si="47"/>
        <v>0</v>
      </c>
      <c r="QU28" s="4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6"/>
      <c r="TK28" s="111">
        <f t="shared" si="48"/>
        <v>0</v>
      </c>
      <c r="TL28" s="4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6"/>
    </row>
    <row r="29" spans="1:599" s="84" customFormat="1" ht="14.25" customHeight="1" x14ac:dyDescent="0.3">
      <c r="A29" s="85"/>
      <c r="B29" s="87"/>
      <c r="C29" s="87"/>
      <c r="D29" s="86"/>
      <c r="E29" s="81"/>
      <c r="F29" s="81"/>
      <c r="G29" s="81"/>
      <c r="H29" s="81"/>
      <c r="I29" s="81"/>
      <c r="J29" s="81"/>
      <c r="K29" s="2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89" t="str">
        <f t="shared" si="18"/>
        <v/>
      </c>
      <c r="Z29" s="89" t="str">
        <f t="shared" si="19"/>
        <v/>
      </c>
      <c r="AA29" s="89">
        <f t="shared" si="20"/>
        <v>0</v>
      </c>
      <c r="AB29" s="89">
        <f t="shared" si="21"/>
        <v>0</v>
      </c>
      <c r="AC29" s="90">
        <f t="shared" si="22"/>
        <v>0</v>
      </c>
      <c r="AD29" s="91">
        <f t="shared" si="23"/>
        <v>0</v>
      </c>
      <c r="AE29" s="93">
        <f t="shared" si="24"/>
        <v>0</v>
      </c>
      <c r="AF29" s="93">
        <f t="shared" si="25"/>
        <v>0</v>
      </c>
      <c r="AG29" s="93">
        <f t="shared" si="26"/>
        <v>0</v>
      </c>
      <c r="AH29" s="93">
        <f t="shared" si="27"/>
        <v>0</v>
      </c>
      <c r="AI29" s="93">
        <f t="shared" si="28"/>
        <v>0</v>
      </c>
      <c r="AJ29" s="93">
        <f t="shared" si="29"/>
        <v>0</v>
      </c>
      <c r="AK29" s="93">
        <f t="shared" si="30"/>
        <v>0</v>
      </c>
      <c r="AL29" s="93">
        <f t="shared" si="31"/>
        <v>0</v>
      </c>
      <c r="AM29" s="92">
        <f t="shared" si="32"/>
        <v>0</v>
      </c>
      <c r="AN29" s="1" t="str">
        <f t="shared" si="54"/>
        <v xml:space="preserve"> </v>
      </c>
      <c r="AO29" s="1" t="str">
        <f t="shared" si="55"/>
        <v xml:space="preserve"> </v>
      </c>
      <c r="AP29" s="1" t="str">
        <f t="shared" si="35"/>
        <v xml:space="preserve"> </v>
      </c>
      <c r="AQ29" s="1" t="str">
        <f t="shared" si="56"/>
        <v xml:space="preserve"> </v>
      </c>
      <c r="AR29" s="1" t="str">
        <f t="shared" si="57"/>
        <v xml:space="preserve"> </v>
      </c>
      <c r="AS29" s="1" t="str">
        <f t="shared" si="38"/>
        <v xml:space="preserve"> </v>
      </c>
      <c r="AT29" s="1" t="str">
        <f t="shared" si="39"/>
        <v xml:space="preserve"> </v>
      </c>
      <c r="AU29" s="103" t="str">
        <f t="shared" si="58"/>
        <v xml:space="preserve"> </v>
      </c>
      <c r="AV29" s="111">
        <f t="shared" si="41"/>
        <v>0</v>
      </c>
      <c r="AW29" s="4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6"/>
      <c r="DM29" s="111">
        <f t="shared" si="42"/>
        <v>0</v>
      </c>
      <c r="DN29" s="4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6"/>
      <c r="GD29" s="111">
        <f t="shared" si="43"/>
        <v>0</v>
      </c>
      <c r="GE29" s="4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6"/>
      <c r="IU29" s="111">
        <f t="shared" si="44"/>
        <v>0</v>
      </c>
      <c r="IV29" s="4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6"/>
      <c r="LL29" s="111">
        <f t="shared" si="45"/>
        <v>0</v>
      </c>
      <c r="LM29" s="4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6"/>
      <c r="OC29" s="111">
        <f t="shared" si="46"/>
        <v>0</v>
      </c>
      <c r="OD29" s="4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6"/>
      <c r="QT29" s="111">
        <f t="shared" si="47"/>
        <v>0</v>
      </c>
      <c r="QU29" s="4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6"/>
      <c r="TK29" s="111">
        <f t="shared" si="48"/>
        <v>0</v>
      </c>
      <c r="TL29" s="4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6"/>
    </row>
    <row r="30" spans="1:599" s="84" customFormat="1" ht="14.25" customHeight="1" x14ac:dyDescent="0.3">
      <c r="A30" s="85"/>
      <c r="B30" s="87"/>
      <c r="C30" s="87"/>
      <c r="D30" s="86"/>
      <c r="E30" s="81"/>
      <c r="F30" s="81"/>
      <c r="G30" s="81"/>
      <c r="H30" s="81"/>
      <c r="I30" s="81"/>
      <c r="J30" s="81"/>
      <c r="K30" s="2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89" t="str">
        <f t="shared" si="18"/>
        <v/>
      </c>
      <c r="Z30" s="89" t="str">
        <f t="shared" si="19"/>
        <v/>
      </c>
      <c r="AA30" s="89">
        <f t="shared" si="20"/>
        <v>0</v>
      </c>
      <c r="AB30" s="89">
        <f t="shared" si="21"/>
        <v>0</v>
      </c>
      <c r="AC30" s="90">
        <f t="shared" si="22"/>
        <v>0</v>
      </c>
      <c r="AD30" s="91">
        <f t="shared" si="23"/>
        <v>0</v>
      </c>
      <c r="AE30" s="93">
        <f t="shared" si="24"/>
        <v>0</v>
      </c>
      <c r="AF30" s="93">
        <f t="shared" si="25"/>
        <v>0</v>
      </c>
      <c r="AG30" s="93">
        <f t="shared" si="26"/>
        <v>0</v>
      </c>
      <c r="AH30" s="93">
        <f t="shared" si="27"/>
        <v>0</v>
      </c>
      <c r="AI30" s="93">
        <f t="shared" si="28"/>
        <v>0</v>
      </c>
      <c r="AJ30" s="93">
        <f t="shared" si="29"/>
        <v>0</v>
      </c>
      <c r="AK30" s="93">
        <f t="shared" si="30"/>
        <v>0</v>
      </c>
      <c r="AL30" s="93">
        <f t="shared" si="31"/>
        <v>0</v>
      </c>
      <c r="AM30" s="92">
        <f t="shared" si="32"/>
        <v>0</v>
      </c>
      <c r="AN30" s="1" t="str">
        <f t="shared" si="54"/>
        <v xml:space="preserve"> </v>
      </c>
      <c r="AO30" s="1" t="str">
        <f t="shared" si="55"/>
        <v xml:space="preserve"> </v>
      </c>
      <c r="AP30" s="1" t="str">
        <f t="shared" si="35"/>
        <v xml:space="preserve"> </v>
      </c>
      <c r="AQ30" s="1" t="str">
        <f t="shared" si="56"/>
        <v xml:space="preserve"> </v>
      </c>
      <c r="AR30" s="1" t="str">
        <f t="shared" si="57"/>
        <v xml:space="preserve"> </v>
      </c>
      <c r="AS30" s="1" t="str">
        <f t="shared" si="38"/>
        <v xml:space="preserve"> </v>
      </c>
      <c r="AT30" s="1" t="str">
        <f t="shared" si="39"/>
        <v xml:space="preserve"> </v>
      </c>
      <c r="AU30" s="103" t="str">
        <f t="shared" si="58"/>
        <v xml:space="preserve"> </v>
      </c>
      <c r="AV30" s="111">
        <f t="shared" si="41"/>
        <v>0</v>
      </c>
      <c r="AW30" s="4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6"/>
      <c r="DM30" s="111">
        <f t="shared" si="42"/>
        <v>0</v>
      </c>
      <c r="DN30" s="4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6"/>
      <c r="GD30" s="111">
        <f t="shared" si="43"/>
        <v>0</v>
      </c>
      <c r="GE30" s="4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6"/>
      <c r="IU30" s="111">
        <f t="shared" si="44"/>
        <v>0</v>
      </c>
      <c r="IV30" s="4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6"/>
      <c r="LL30" s="111">
        <f t="shared" si="45"/>
        <v>0</v>
      </c>
      <c r="LM30" s="4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6"/>
      <c r="OC30" s="111">
        <f t="shared" si="46"/>
        <v>0</v>
      </c>
      <c r="OD30" s="4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6"/>
      <c r="QT30" s="111">
        <f t="shared" si="47"/>
        <v>0</v>
      </c>
      <c r="QU30" s="4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6"/>
      <c r="TK30" s="111">
        <f t="shared" si="48"/>
        <v>0</v>
      </c>
      <c r="TL30" s="4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6"/>
    </row>
    <row r="31" spans="1:599" s="84" customFormat="1" ht="14.25" customHeight="1" x14ac:dyDescent="0.3">
      <c r="A31" s="85"/>
      <c r="B31" s="87"/>
      <c r="C31" s="87"/>
      <c r="D31" s="86"/>
      <c r="E31" s="81"/>
      <c r="F31" s="81"/>
      <c r="G31" s="81"/>
      <c r="H31" s="81"/>
      <c r="I31" s="81"/>
      <c r="J31" s="81"/>
      <c r="K31" s="2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89" t="str">
        <f t="shared" si="18"/>
        <v/>
      </c>
      <c r="Z31" s="89" t="str">
        <f t="shared" si="19"/>
        <v/>
      </c>
      <c r="AA31" s="89">
        <f t="shared" si="20"/>
        <v>0</v>
      </c>
      <c r="AB31" s="89">
        <f t="shared" si="21"/>
        <v>0</v>
      </c>
      <c r="AC31" s="90">
        <f t="shared" si="22"/>
        <v>0</v>
      </c>
      <c r="AD31" s="91">
        <f t="shared" si="23"/>
        <v>0</v>
      </c>
      <c r="AE31" s="93">
        <f t="shared" si="24"/>
        <v>0</v>
      </c>
      <c r="AF31" s="93">
        <f t="shared" si="25"/>
        <v>0</v>
      </c>
      <c r="AG31" s="93">
        <f t="shared" si="26"/>
        <v>0</v>
      </c>
      <c r="AH31" s="93">
        <f t="shared" si="27"/>
        <v>0</v>
      </c>
      <c r="AI31" s="93">
        <f t="shared" si="28"/>
        <v>0</v>
      </c>
      <c r="AJ31" s="93">
        <f t="shared" si="29"/>
        <v>0</v>
      </c>
      <c r="AK31" s="93">
        <f t="shared" si="30"/>
        <v>0</v>
      </c>
      <c r="AL31" s="93">
        <f t="shared" si="31"/>
        <v>0</v>
      </c>
      <c r="AM31" s="92">
        <f t="shared" si="32"/>
        <v>0</v>
      </c>
      <c r="AN31" s="1" t="str">
        <f t="shared" si="54"/>
        <v xml:space="preserve"> </v>
      </c>
      <c r="AO31" s="1" t="str">
        <f t="shared" si="55"/>
        <v xml:space="preserve"> </v>
      </c>
      <c r="AP31" s="1" t="str">
        <f t="shared" si="35"/>
        <v xml:space="preserve"> </v>
      </c>
      <c r="AQ31" s="1" t="str">
        <f t="shared" si="56"/>
        <v xml:space="preserve"> </v>
      </c>
      <c r="AR31" s="1" t="str">
        <f t="shared" si="57"/>
        <v xml:space="preserve"> </v>
      </c>
      <c r="AS31" s="1" t="str">
        <f t="shared" si="38"/>
        <v xml:space="preserve"> </v>
      </c>
      <c r="AT31" s="1" t="str">
        <f t="shared" si="39"/>
        <v xml:space="preserve"> </v>
      </c>
      <c r="AU31" s="103" t="str">
        <f t="shared" si="58"/>
        <v xml:space="preserve"> </v>
      </c>
      <c r="AV31" s="111">
        <f t="shared" si="41"/>
        <v>0</v>
      </c>
      <c r="AW31" s="4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6"/>
      <c r="DM31" s="111">
        <f t="shared" si="42"/>
        <v>0</v>
      </c>
      <c r="DN31" s="4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6"/>
      <c r="GD31" s="111">
        <f t="shared" si="43"/>
        <v>0</v>
      </c>
      <c r="GE31" s="4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6"/>
      <c r="IU31" s="111">
        <f t="shared" si="44"/>
        <v>0</v>
      </c>
      <c r="IV31" s="4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6"/>
      <c r="LL31" s="111">
        <f t="shared" si="45"/>
        <v>0</v>
      </c>
      <c r="LM31" s="4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6"/>
      <c r="OC31" s="111">
        <f t="shared" si="46"/>
        <v>0</v>
      </c>
      <c r="OD31" s="4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6"/>
      <c r="QT31" s="111">
        <f t="shared" si="47"/>
        <v>0</v>
      </c>
      <c r="QU31" s="4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6"/>
      <c r="TK31" s="111">
        <f t="shared" si="48"/>
        <v>0</v>
      </c>
      <c r="TL31" s="4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6"/>
    </row>
    <row r="32" spans="1:599" s="84" customFormat="1" ht="14.25" customHeight="1" x14ac:dyDescent="0.3">
      <c r="A32" s="85"/>
      <c r="B32" s="87"/>
      <c r="C32" s="87"/>
      <c r="D32" s="86"/>
      <c r="E32" s="81"/>
      <c r="F32" s="81"/>
      <c r="G32" s="81"/>
      <c r="H32" s="81"/>
      <c r="I32" s="81"/>
      <c r="J32" s="81"/>
      <c r="K32" s="2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89" t="str">
        <f t="shared" si="18"/>
        <v/>
      </c>
      <c r="Z32" s="89" t="str">
        <f t="shared" si="19"/>
        <v/>
      </c>
      <c r="AA32" s="89">
        <f t="shared" si="20"/>
        <v>0</v>
      </c>
      <c r="AB32" s="89">
        <f t="shared" si="21"/>
        <v>0</v>
      </c>
      <c r="AC32" s="90">
        <f t="shared" si="22"/>
        <v>0</v>
      </c>
      <c r="AD32" s="91">
        <f t="shared" si="23"/>
        <v>0</v>
      </c>
      <c r="AE32" s="93">
        <f t="shared" si="24"/>
        <v>0</v>
      </c>
      <c r="AF32" s="93">
        <f t="shared" si="25"/>
        <v>0</v>
      </c>
      <c r="AG32" s="93">
        <f t="shared" si="26"/>
        <v>0</v>
      </c>
      <c r="AH32" s="93">
        <f t="shared" si="27"/>
        <v>0</v>
      </c>
      <c r="AI32" s="93">
        <f t="shared" si="28"/>
        <v>0</v>
      </c>
      <c r="AJ32" s="93">
        <f t="shared" si="29"/>
        <v>0</v>
      </c>
      <c r="AK32" s="93">
        <f t="shared" si="30"/>
        <v>0</v>
      </c>
      <c r="AL32" s="93">
        <f t="shared" si="31"/>
        <v>0</v>
      </c>
      <c r="AM32" s="92">
        <f t="shared" si="32"/>
        <v>0</v>
      </c>
      <c r="AN32" s="1" t="str">
        <f t="shared" si="54"/>
        <v xml:space="preserve"> </v>
      </c>
      <c r="AO32" s="1" t="str">
        <f t="shared" si="55"/>
        <v xml:space="preserve"> </v>
      </c>
      <c r="AP32" s="1" t="str">
        <f t="shared" si="35"/>
        <v xml:space="preserve"> </v>
      </c>
      <c r="AQ32" s="1" t="str">
        <f t="shared" si="56"/>
        <v xml:space="preserve"> </v>
      </c>
      <c r="AR32" s="1" t="str">
        <f t="shared" si="57"/>
        <v xml:space="preserve"> </v>
      </c>
      <c r="AS32" s="1" t="str">
        <f t="shared" si="38"/>
        <v xml:space="preserve"> </v>
      </c>
      <c r="AT32" s="1" t="str">
        <f t="shared" si="39"/>
        <v xml:space="preserve"> </v>
      </c>
      <c r="AU32" s="103" t="str">
        <f t="shared" si="58"/>
        <v xml:space="preserve"> </v>
      </c>
      <c r="AV32" s="111">
        <f t="shared" si="41"/>
        <v>0</v>
      </c>
      <c r="AW32" s="4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6"/>
      <c r="DM32" s="111">
        <f t="shared" si="42"/>
        <v>0</v>
      </c>
      <c r="DN32" s="4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6"/>
      <c r="GD32" s="111">
        <f t="shared" si="43"/>
        <v>0</v>
      </c>
      <c r="GE32" s="4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6"/>
      <c r="IU32" s="111">
        <f t="shared" si="44"/>
        <v>0</v>
      </c>
      <c r="IV32" s="4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6"/>
      <c r="LL32" s="111">
        <f t="shared" si="45"/>
        <v>0</v>
      </c>
      <c r="LM32" s="4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6"/>
      <c r="OC32" s="111">
        <f t="shared" si="46"/>
        <v>0</v>
      </c>
      <c r="OD32" s="4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6"/>
      <c r="QT32" s="111">
        <f t="shared" si="47"/>
        <v>0</v>
      </c>
      <c r="QU32" s="4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6"/>
      <c r="TK32" s="111">
        <f t="shared" si="48"/>
        <v>0</v>
      </c>
      <c r="TL32" s="4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6"/>
    </row>
    <row r="33" spans="1:599" s="84" customFormat="1" ht="14.25" customHeight="1" x14ac:dyDescent="0.3">
      <c r="A33" s="41"/>
      <c r="B33" s="39"/>
      <c r="C33" s="40"/>
      <c r="D33" s="40"/>
      <c r="E33" s="2"/>
      <c r="F33" s="2"/>
      <c r="G33" s="2"/>
      <c r="H33" s="2"/>
      <c r="I33" s="2"/>
      <c r="J33" s="2"/>
      <c r="K33" s="2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89" t="str">
        <f t="shared" si="18"/>
        <v/>
      </c>
      <c r="Z33" s="89" t="str">
        <f t="shared" si="19"/>
        <v/>
      </c>
      <c r="AA33" s="89">
        <f t="shared" si="20"/>
        <v>0</v>
      </c>
      <c r="AB33" s="89">
        <f t="shared" si="21"/>
        <v>0</v>
      </c>
      <c r="AC33" s="90">
        <f t="shared" si="22"/>
        <v>0</v>
      </c>
      <c r="AD33" s="91">
        <f t="shared" si="23"/>
        <v>0</v>
      </c>
      <c r="AE33" s="93">
        <f t="shared" si="24"/>
        <v>0</v>
      </c>
      <c r="AF33" s="93">
        <f t="shared" si="25"/>
        <v>0</v>
      </c>
      <c r="AG33" s="93">
        <f t="shared" si="26"/>
        <v>0</v>
      </c>
      <c r="AH33" s="93">
        <f t="shared" si="27"/>
        <v>0</v>
      </c>
      <c r="AI33" s="93">
        <f t="shared" si="28"/>
        <v>0</v>
      </c>
      <c r="AJ33" s="93">
        <f t="shared" si="29"/>
        <v>0</v>
      </c>
      <c r="AK33" s="93">
        <f t="shared" si="30"/>
        <v>0</v>
      </c>
      <c r="AL33" s="93">
        <f t="shared" si="31"/>
        <v>0</v>
      </c>
      <c r="AM33" s="92">
        <f t="shared" si="32"/>
        <v>0</v>
      </c>
      <c r="AN33" s="1" t="str">
        <f t="shared" si="54"/>
        <v xml:space="preserve"> </v>
      </c>
      <c r="AO33" s="1" t="str">
        <f t="shared" si="55"/>
        <v xml:space="preserve"> </v>
      </c>
      <c r="AP33" s="1" t="str">
        <f t="shared" si="35"/>
        <v xml:space="preserve"> </v>
      </c>
      <c r="AQ33" s="1" t="str">
        <f t="shared" si="56"/>
        <v xml:space="preserve"> </v>
      </c>
      <c r="AR33" s="1" t="str">
        <f t="shared" si="57"/>
        <v xml:space="preserve"> </v>
      </c>
      <c r="AS33" s="1" t="str">
        <f t="shared" si="38"/>
        <v xml:space="preserve"> </v>
      </c>
      <c r="AT33" s="1" t="str">
        <f t="shared" si="39"/>
        <v xml:space="preserve"> </v>
      </c>
      <c r="AU33" s="103" t="str">
        <f t="shared" si="58"/>
        <v xml:space="preserve"> </v>
      </c>
      <c r="AV33" s="111">
        <f t="shared" si="41"/>
        <v>0</v>
      </c>
      <c r="AW33" s="4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6"/>
      <c r="DM33" s="111">
        <f t="shared" si="42"/>
        <v>0</v>
      </c>
      <c r="DN33" s="4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6"/>
      <c r="GD33" s="111">
        <f t="shared" si="43"/>
        <v>0</v>
      </c>
      <c r="GE33" s="4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6"/>
      <c r="IU33" s="111">
        <f t="shared" si="44"/>
        <v>0</v>
      </c>
      <c r="IV33" s="4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6"/>
      <c r="LL33" s="111">
        <f t="shared" si="45"/>
        <v>0</v>
      </c>
      <c r="LM33" s="4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6"/>
      <c r="OC33" s="111">
        <f t="shared" si="46"/>
        <v>0</v>
      </c>
      <c r="OD33" s="4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6"/>
      <c r="QT33" s="111">
        <f t="shared" si="47"/>
        <v>0</v>
      </c>
      <c r="QU33" s="4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6"/>
      <c r="TK33" s="111">
        <f t="shared" si="48"/>
        <v>0</v>
      </c>
      <c r="TL33" s="4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6"/>
    </row>
    <row r="34" spans="1:599" s="84" customFormat="1" ht="14.25" customHeight="1" x14ac:dyDescent="0.3">
      <c r="A34" s="85"/>
      <c r="B34" s="87"/>
      <c r="C34" s="87"/>
      <c r="D34" s="86"/>
      <c r="E34" s="81"/>
      <c r="F34" s="81"/>
      <c r="G34" s="81"/>
      <c r="H34" s="81"/>
      <c r="I34" s="81"/>
      <c r="J34" s="81"/>
      <c r="K34" s="2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89" t="str">
        <f t="shared" si="18"/>
        <v/>
      </c>
      <c r="Z34" s="89" t="str">
        <f t="shared" si="19"/>
        <v/>
      </c>
      <c r="AA34" s="89">
        <f t="shared" si="20"/>
        <v>0</v>
      </c>
      <c r="AB34" s="89">
        <f t="shared" si="21"/>
        <v>0</v>
      </c>
      <c r="AC34" s="90">
        <f t="shared" si="22"/>
        <v>0</v>
      </c>
      <c r="AD34" s="91">
        <f t="shared" si="23"/>
        <v>0</v>
      </c>
      <c r="AE34" s="93">
        <f t="shared" si="24"/>
        <v>0</v>
      </c>
      <c r="AF34" s="93">
        <f t="shared" si="25"/>
        <v>0</v>
      </c>
      <c r="AG34" s="93">
        <f t="shared" si="26"/>
        <v>0</v>
      </c>
      <c r="AH34" s="93">
        <f t="shared" si="27"/>
        <v>0</v>
      </c>
      <c r="AI34" s="93">
        <f t="shared" si="28"/>
        <v>0</v>
      </c>
      <c r="AJ34" s="93">
        <f t="shared" si="29"/>
        <v>0</v>
      </c>
      <c r="AK34" s="93">
        <f t="shared" si="30"/>
        <v>0</v>
      </c>
      <c r="AL34" s="93">
        <f t="shared" si="31"/>
        <v>0</v>
      </c>
      <c r="AM34" s="92">
        <f t="shared" si="32"/>
        <v>0</v>
      </c>
      <c r="AN34" s="1" t="str">
        <f t="shared" si="54"/>
        <v xml:space="preserve"> </v>
      </c>
      <c r="AO34" s="1" t="str">
        <f t="shared" si="55"/>
        <v xml:space="preserve"> </v>
      </c>
      <c r="AP34" s="1" t="str">
        <f t="shared" si="35"/>
        <v xml:space="preserve"> </v>
      </c>
      <c r="AQ34" s="1" t="str">
        <f t="shared" si="56"/>
        <v xml:space="preserve"> </v>
      </c>
      <c r="AR34" s="1" t="str">
        <f t="shared" si="57"/>
        <v xml:space="preserve"> </v>
      </c>
      <c r="AS34" s="1" t="str">
        <f t="shared" si="38"/>
        <v xml:space="preserve"> </v>
      </c>
      <c r="AT34" s="1" t="str">
        <f t="shared" si="39"/>
        <v xml:space="preserve"> </v>
      </c>
      <c r="AU34" s="103" t="str">
        <f t="shared" si="58"/>
        <v xml:space="preserve"> </v>
      </c>
      <c r="AV34" s="111">
        <f t="shared" si="41"/>
        <v>0</v>
      </c>
      <c r="AW34" s="4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6"/>
      <c r="DM34" s="111">
        <f t="shared" si="42"/>
        <v>0</v>
      </c>
      <c r="DN34" s="4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6"/>
      <c r="GD34" s="111">
        <f t="shared" si="43"/>
        <v>0</v>
      </c>
      <c r="GE34" s="4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6"/>
      <c r="IU34" s="111">
        <f t="shared" si="44"/>
        <v>0</v>
      </c>
      <c r="IV34" s="4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6"/>
      <c r="LL34" s="111">
        <f t="shared" si="45"/>
        <v>0</v>
      </c>
      <c r="LM34" s="4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6"/>
      <c r="OC34" s="111">
        <f t="shared" si="46"/>
        <v>0</v>
      </c>
      <c r="OD34" s="4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6"/>
      <c r="QT34" s="111">
        <f t="shared" si="47"/>
        <v>0</v>
      </c>
      <c r="QU34" s="4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6"/>
      <c r="TK34" s="111">
        <f t="shared" si="48"/>
        <v>0</v>
      </c>
      <c r="TL34" s="4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6"/>
    </row>
    <row r="35" spans="1:599" s="84" customFormat="1" ht="14.25" customHeight="1" x14ac:dyDescent="0.3">
      <c r="A35" s="85"/>
      <c r="B35" s="87"/>
      <c r="C35" s="87"/>
      <c r="D35" s="86"/>
      <c r="E35" s="81"/>
      <c r="F35" s="81"/>
      <c r="G35" s="81"/>
      <c r="H35" s="81"/>
      <c r="I35" s="81"/>
      <c r="J35" s="81"/>
      <c r="K35" s="2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89" t="str">
        <f t="shared" si="18"/>
        <v/>
      </c>
      <c r="Z35" s="89" t="str">
        <f t="shared" si="19"/>
        <v/>
      </c>
      <c r="AA35" s="89">
        <f t="shared" si="20"/>
        <v>0</v>
      </c>
      <c r="AB35" s="89">
        <f t="shared" si="21"/>
        <v>0</v>
      </c>
      <c r="AC35" s="90">
        <f t="shared" si="22"/>
        <v>0</v>
      </c>
      <c r="AD35" s="91">
        <f t="shared" si="23"/>
        <v>0</v>
      </c>
      <c r="AE35" s="93">
        <f t="shared" si="24"/>
        <v>0</v>
      </c>
      <c r="AF35" s="93">
        <f t="shared" si="25"/>
        <v>0</v>
      </c>
      <c r="AG35" s="93">
        <f t="shared" si="26"/>
        <v>0</v>
      </c>
      <c r="AH35" s="93">
        <f t="shared" si="27"/>
        <v>0</v>
      </c>
      <c r="AI35" s="93">
        <f t="shared" si="28"/>
        <v>0</v>
      </c>
      <c r="AJ35" s="93">
        <f t="shared" si="29"/>
        <v>0</v>
      </c>
      <c r="AK35" s="93">
        <f t="shared" si="30"/>
        <v>0</v>
      </c>
      <c r="AL35" s="93">
        <f t="shared" si="31"/>
        <v>0</v>
      </c>
      <c r="AM35" s="92">
        <f t="shared" si="32"/>
        <v>0</v>
      </c>
      <c r="AN35" s="1" t="str">
        <f t="shared" ref="AN35:AN63" si="59">IF(E35&gt;0,E35*$AC35*$AB35/1000," ")</f>
        <v xml:space="preserve"> </v>
      </c>
      <c r="AO35" s="1" t="str">
        <f t="shared" ref="AO35:AO63" si="60">IF(F35&gt;0,F35*$AC35*$AA35/1000," ")</f>
        <v xml:space="preserve"> </v>
      </c>
      <c r="AP35" s="1" t="str">
        <f t="shared" si="35"/>
        <v xml:space="preserve"> </v>
      </c>
      <c r="AQ35" s="1" t="str">
        <f t="shared" ref="AQ35:AQ63" si="61">IF(H35&gt;0,H35*$AC35*$AB35/1000," ")</f>
        <v xml:space="preserve"> </v>
      </c>
      <c r="AR35" s="1" t="str">
        <f t="shared" ref="AR35:AR63" si="62">IF(I35&gt;0,I35*$AC35*$AA35/1000," ")</f>
        <v xml:space="preserve"> </v>
      </c>
      <c r="AS35" s="1" t="str">
        <f t="shared" si="38"/>
        <v xml:space="preserve"> </v>
      </c>
      <c r="AT35" s="1" t="str">
        <f t="shared" si="39"/>
        <v xml:space="preserve"> </v>
      </c>
      <c r="AU35" s="103" t="str">
        <f t="shared" ref="AU35:AU63" si="63">IF(L35&gt;0,L35*$AC35*$AB35/1000," ")</f>
        <v xml:space="preserve"> </v>
      </c>
      <c r="AV35" s="111">
        <f t="shared" si="41"/>
        <v>0</v>
      </c>
      <c r="AW35" s="4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6"/>
      <c r="DM35" s="111">
        <f t="shared" si="42"/>
        <v>0</v>
      </c>
      <c r="DN35" s="4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6"/>
      <c r="GD35" s="111">
        <f t="shared" si="43"/>
        <v>0</v>
      </c>
      <c r="GE35" s="4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6"/>
      <c r="IU35" s="111">
        <f t="shared" si="44"/>
        <v>0</v>
      </c>
      <c r="IV35" s="4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6"/>
      <c r="LL35" s="111">
        <f t="shared" si="45"/>
        <v>0</v>
      </c>
      <c r="LM35" s="4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6"/>
      <c r="OC35" s="111">
        <f t="shared" si="46"/>
        <v>0</v>
      </c>
      <c r="OD35" s="4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6"/>
      <c r="QT35" s="111">
        <f t="shared" si="47"/>
        <v>0</v>
      </c>
      <c r="QU35" s="4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6"/>
      <c r="TK35" s="111">
        <f t="shared" si="48"/>
        <v>0</v>
      </c>
      <c r="TL35" s="4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6"/>
    </row>
    <row r="36" spans="1:599" s="84" customFormat="1" ht="14.25" customHeight="1" x14ac:dyDescent="0.3">
      <c r="A36" s="85"/>
      <c r="B36" s="87"/>
      <c r="C36" s="87"/>
      <c r="D36" s="86"/>
      <c r="E36" s="81"/>
      <c r="F36" s="81"/>
      <c r="G36" s="81"/>
      <c r="H36" s="81"/>
      <c r="I36" s="81"/>
      <c r="J36" s="81"/>
      <c r="K36" s="2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89" t="str">
        <f t="shared" si="18"/>
        <v/>
      </c>
      <c r="Z36" s="89" t="str">
        <f t="shared" si="19"/>
        <v/>
      </c>
      <c r="AA36" s="89">
        <f t="shared" si="20"/>
        <v>0</v>
      </c>
      <c r="AB36" s="89">
        <f t="shared" si="21"/>
        <v>0</v>
      </c>
      <c r="AC36" s="90">
        <f t="shared" si="22"/>
        <v>0</v>
      </c>
      <c r="AD36" s="91">
        <f t="shared" si="23"/>
        <v>0</v>
      </c>
      <c r="AE36" s="93">
        <f t="shared" si="24"/>
        <v>0</v>
      </c>
      <c r="AF36" s="93">
        <f t="shared" si="25"/>
        <v>0</v>
      </c>
      <c r="AG36" s="93">
        <f t="shared" si="26"/>
        <v>0</v>
      </c>
      <c r="AH36" s="93">
        <f t="shared" si="27"/>
        <v>0</v>
      </c>
      <c r="AI36" s="93">
        <f t="shared" si="28"/>
        <v>0</v>
      </c>
      <c r="AJ36" s="93">
        <f t="shared" si="29"/>
        <v>0</v>
      </c>
      <c r="AK36" s="93">
        <f t="shared" si="30"/>
        <v>0</v>
      </c>
      <c r="AL36" s="93">
        <f t="shared" si="31"/>
        <v>0</v>
      </c>
      <c r="AM36" s="92">
        <f t="shared" si="32"/>
        <v>0</v>
      </c>
      <c r="AN36" s="1" t="str">
        <f t="shared" si="59"/>
        <v xml:space="preserve"> </v>
      </c>
      <c r="AO36" s="1" t="str">
        <f t="shared" si="60"/>
        <v xml:space="preserve"> </v>
      </c>
      <c r="AP36" s="1" t="str">
        <f t="shared" si="35"/>
        <v xml:space="preserve"> </v>
      </c>
      <c r="AQ36" s="1" t="str">
        <f t="shared" si="61"/>
        <v xml:space="preserve"> </v>
      </c>
      <c r="AR36" s="1" t="str">
        <f t="shared" si="62"/>
        <v xml:space="preserve"> </v>
      </c>
      <c r="AS36" s="1" t="str">
        <f t="shared" si="38"/>
        <v xml:space="preserve"> </v>
      </c>
      <c r="AT36" s="1" t="str">
        <f t="shared" si="39"/>
        <v xml:space="preserve"> </v>
      </c>
      <c r="AU36" s="103" t="str">
        <f t="shared" si="63"/>
        <v xml:space="preserve"> </v>
      </c>
      <c r="AV36" s="111">
        <f t="shared" si="41"/>
        <v>0</v>
      </c>
      <c r="AW36" s="4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6"/>
      <c r="DM36" s="111">
        <f t="shared" si="42"/>
        <v>0</v>
      </c>
      <c r="DN36" s="4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6"/>
      <c r="GD36" s="111">
        <f t="shared" si="43"/>
        <v>0</v>
      </c>
      <c r="GE36" s="4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6"/>
      <c r="IU36" s="111">
        <f t="shared" si="44"/>
        <v>0</v>
      </c>
      <c r="IV36" s="4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6"/>
      <c r="LL36" s="111">
        <f t="shared" si="45"/>
        <v>0</v>
      </c>
      <c r="LM36" s="4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6"/>
      <c r="OC36" s="111">
        <f t="shared" si="46"/>
        <v>0</v>
      </c>
      <c r="OD36" s="4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6"/>
      <c r="QT36" s="111">
        <f t="shared" si="47"/>
        <v>0</v>
      </c>
      <c r="QU36" s="4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6"/>
      <c r="TK36" s="111">
        <f t="shared" si="48"/>
        <v>0</v>
      </c>
      <c r="TL36" s="4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6"/>
    </row>
    <row r="37" spans="1:599" s="84" customFormat="1" ht="14.25" customHeight="1" x14ac:dyDescent="0.3">
      <c r="A37" s="41"/>
      <c r="B37" s="39"/>
      <c r="C37" s="40"/>
      <c r="D37" s="40"/>
      <c r="E37" s="2"/>
      <c r="F37" s="2"/>
      <c r="G37" s="2"/>
      <c r="H37" s="2"/>
      <c r="I37" s="2"/>
      <c r="J37" s="2"/>
      <c r="K37" s="2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89" t="str">
        <f t="shared" si="18"/>
        <v/>
      </c>
      <c r="Z37" s="89" t="str">
        <f t="shared" si="19"/>
        <v/>
      </c>
      <c r="AA37" s="89">
        <f t="shared" si="20"/>
        <v>0</v>
      </c>
      <c r="AB37" s="89">
        <f t="shared" si="21"/>
        <v>0</v>
      </c>
      <c r="AC37" s="90">
        <f t="shared" si="22"/>
        <v>0</v>
      </c>
      <c r="AD37" s="91">
        <f t="shared" si="23"/>
        <v>0</v>
      </c>
      <c r="AE37" s="93">
        <f t="shared" si="24"/>
        <v>0</v>
      </c>
      <c r="AF37" s="93">
        <f t="shared" si="25"/>
        <v>0</v>
      </c>
      <c r="AG37" s="93">
        <f t="shared" si="26"/>
        <v>0</v>
      </c>
      <c r="AH37" s="93">
        <f t="shared" si="27"/>
        <v>0</v>
      </c>
      <c r="AI37" s="93">
        <f t="shared" si="28"/>
        <v>0</v>
      </c>
      <c r="AJ37" s="93">
        <f t="shared" si="29"/>
        <v>0</v>
      </c>
      <c r="AK37" s="93">
        <f t="shared" si="30"/>
        <v>0</v>
      </c>
      <c r="AL37" s="93">
        <f t="shared" si="31"/>
        <v>0</v>
      </c>
      <c r="AM37" s="92">
        <f t="shared" si="32"/>
        <v>0</v>
      </c>
      <c r="AN37" s="1" t="str">
        <f t="shared" si="59"/>
        <v xml:space="preserve"> </v>
      </c>
      <c r="AO37" s="1" t="str">
        <f t="shared" si="60"/>
        <v xml:space="preserve"> </v>
      </c>
      <c r="AP37" s="1" t="str">
        <f t="shared" si="35"/>
        <v xml:space="preserve"> </v>
      </c>
      <c r="AQ37" s="1" t="str">
        <f t="shared" si="61"/>
        <v xml:space="preserve"> </v>
      </c>
      <c r="AR37" s="1" t="str">
        <f t="shared" si="62"/>
        <v xml:space="preserve"> </v>
      </c>
      <c r="AS37" s="1" t="str">
        <f t="shared" si="38"/>
        <v xml:space="preserve"> </v>
      </c>
      <c r="AT37" s="1" t="str">
        <f t="shared" si="39"/>
        <v xml:space="preserve"> </v>
      </c>
      <c r="AU37" s="103" t="str">
        <f t="shared" si="63"/>
        <v xml:space="preserve"> </v>
      </c>
      <c r="AV37" s="111">
        <f t="shared" si="41"/>
        <v>0</v>
      </c>
      <c r="AW37" s="4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6"/>
      <c r="DM37" s="111">
        <f t="shared" si="42"/>
        <v>0</v>
      </c>
      <c r="DN37" s="4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6"/>
      <c r="GD37" s="111">
        <f t="shared" si="43"/>
        <v>0</v>
      </c>
      <c r="GE37" s="4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6"/>
      <c r="IU37" s="111">
        <f t="shared" si="44"/>
        <v>0</v>
      </c>
      <c r="IV37" s="4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6"/>
      <c r="LL37" s="111">
        <f t="shared" si="45"/>
        <v>0</v>
      </c>
      <c r="LM37" s="4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6"/>
      <c r="OC37" s="111">
        <f t="shared" si="46"/>
        <v>0</v>
      </c>
      <c r="OD37" s="4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6"/>
      <c r="QT37" s="111">
        <f t="shared" si="47"/>
        <v>0</v>
      </c>
      <c r="QU37" s="4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6"/>
      <c r="TK37" s="111">
        <f t="shared" si="48"/>
        <v>0</v>
      </c>
      <c r="TL37" s="4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6"/>
    </row>
    <row r="38" spans="1:599" s="84" customFormat="1" ht="14.25" customHeight="1" x14ac:dyDescent="0.3">
      <c r="A38" s="85"/>
      <c r="B38" s="87"/>
      <c r="C38" s="87"/>
      <c r="D38" s="86"/>
      <c r="E38" s="81"/>
      <c r="F38" s="81"/>
      <c r="G38" s="81"/>
      <c r="H38" s="81"/>
      <c r="I38" s="81"/>
      <c r="J38" s="81"/>
      <c r="K38" s="2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89" t="str">
        <f t="shared" si="18"/>
        <v/>
      </c>
      <c r="Z38" s="89" t="str">
        <f t="shared" si="19"/>
        <v/>
      </c>
      <c r="AA38" s="89">
        <f t="shared" si="20"/>
        <v>0</v>
      </c>
      <c r="AB38" s="89">
        <f t="shared" si="21"/>
        <v>0</v>
      </c>
      <c r="AC38" s="90">
        <f t="shared" si="22"/>
        <v>0</v>
      </c>
      <c r="AD38" s="91">
        <f t="shared" si="23"/>
        <v>0</v>
      </c>
      <c r="AE38" s="93">
        <f t="shared" si="24"/>
        <v>0</v>
      </c>
      <c r="AF38" s="93">
        <f t="shared" si="25"/>
        <v>0</v>
      </c>
      <c r="AG38" s="93">
        <f t="shared" si="26"/>
        <v>0</v>
      </c>
      <c r="AH38" s="93">
        <f t="shared" si="27"/>
        <v>0</v>
      </c>
      <c r="AI38" s="93">
        <f t="shared" si="28"/>
        <v>0</v>
      </c>
      <c r="AJ38" s="93">
        <f t="shared" si="29"/>
        <v>0</v>
      </c>
      <c r="AK38" s="93">
        <f t="shared" si="30"/>
        <v>0</v>
      </c>
      <c r="AL38" s="93">
        <f t="shared" si="31"/>
        <v>0</v>
      </c>
      <c r="AM38" s="92">
        <f t="shared" si="32"/>
        <v>0</v>
      </c>
      <c r="AN38" s="1" t="str">
        <f t="shared" si="59"/>
        <v xml:space="preserve"> </v>
      </c>
      <c r="AO38" s="1" t="str">
        <f t="shared" si="60"/>
        <v xml:space="preserve"> </v>
      </c>
      <c r="AP38" s="1" t="str">
        <f t="shared" si="35"/>
        <v xml:space="preserve"> </v>
      </c>
      <c r="AQ38" s="1" t="str">
        <f t="shared" si="61"/>
        <v xml:space="preserve"> </v>
      </c>
      <c r="AR38" s="1" t="str">
        <f t="shared" si="62"/>
        <v xml:space="preserve"> </v>
      </c>
      <c r="AS38" s="1" t="str">
        <f t="shared" si="38"/>
        <v xml:space="preserve"> </v>
      </c>
      <c r="AT38" s="1" t="str">
        <f t="shared" si="39"/>
        <v xml:space="preserve"> </v>
      </c>
      <c r="AU38" s="103" t="str">
        <f t="shared" si="63"/>
        <v xml:space="preserve"> </v>
      </c>
      <c r="AV38" s="111">
        <f t="shared" si="41"/>
        <v>0</v>
      </c>
      <c r="AW38" s="4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6"/>
      <c r="DM38" s="111">
        <f t="shared" si="42"/>
        <v>0</v>
      </c>
      <c r="DN38" s="4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6"/>
      <c r="GD38" s="111">
        <f t="shared" si="43"/>
        <v>0</v>
      </c>
      <c r="GE38" s="4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6"/>
      <c r="IU38" s="111">
        <f t="shared" si="44"/>
        <v>0</v>
      </c>
      <c r="IV38" s="4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6"/>
      <c r="LL38" s="111">
        <f t="shared" si="45"/>
        <v>0</v>
      </c>
      <c r="LM38" s="4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6"/>
      <c r="OC38" s="111">
        <f t="shared" si="46"/>
        <v>0</v>
      </c>
      <c r="OD38" s="4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6"/>
      <c r="QT38" s="111">
        <f t="shared" si="47"/>
        <v>0</v>
      </c>
      <c r="QU38" s="4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6"/>
      <c r="TK38" s="111">
        <f t="shared" si="48"/>
        <v>0</v>
      </c>
      <c r="TL38" s="4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6"/>
    </row>
    <row r="39" spans="1:599" s="84" customFormat="1" ht="14.25" customHeight="1" x14ac:dyDescent="0.3">
      <c r="A39" s="85"/>
      <c r="B39" s="87"/>
      <c r="C39" s="87"/>
      <c r="D39" s="86"/>
      <c r="E39" s="81"/>
      <c r="F39" s="81"/>
      <c r="G39" s="81"/>
      <c r="H39" s="81"/>
      <c r="I39" s="81"/>
      <c r="J39" s="81"/>
      <c r="K39" s="2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89" t="str">
        <f t="shared" si="18"/>
        <v/>
      </c>
      <c r="Z39" s="89" t="str">
        <f t="shared" si="19"/>
        <v/>
      </c>
      <c r="AA39" s="89">
        <f t="shared" si="20"/>
        <v>0</v>
      </c>
      <c r="AB39" s="89">
        <f t="shared" si="21"/>
        <v>0</v>
      </c>
      <c r="AC39" s="90">
        <f t="shared" si="22"/>
        <v>0</v>
      </c>
      <c r="AD39" s="91">
        <f t="shared" si="23"/>
        <v>0</v>
      </c>
      <c r="AE39" s="93">
        <f t="shared" si="24"/>
        <v>0</v>
      </c>
      <c r="AF39" s="93">
        <f t="shared" si="25"/>
        <v>0</v>
      </c>
      <c r="AG39" s="93">
        <f t="shared" si="26"/>
        <v>0</v>
      </c>
      <c r="AH39" s="93">
        <f t="shared" si="27"/>
        <v>0</v>
      </c>
      <c r="AI39" s="93">
        <f t="shared" si="28"/>
        <v>0</v>
      </c>
      <c r="AJ39" s="93">
        <f t="shared" si="29"/>
        <v>0</v>
      </c>
      <c r="AK39" s="93">
        <f t="shared" si="30"/>
        <v>0</v>
      </c>
      <c r="AL39" s="93">
        <f t="shared" si="31"/>
        <v>0</v>
      </c>
      <c r="AM39" s="92">
        <f t="shared" si="32"/>
        <v>0</v>
      </c>
      <c r="AN39" s="1" t="str">
        <f t="shared" si="59"/>
        <v xml:space="preserve"> </v>
      </c>
      <c r="AO39" s="1" t="str">
        <f t="shared" si="60"/>
        <v xml:space="preserve"> </v>
      </c>
      <c r="AP39" s="1" t="str">
        <f t="shared" si="35"/>
        <v xml:space="preserve"> </v>
      </c>
      <c r="AQ39" s="1" t="str">
        <f t="shared" si="61"/>
        <v xml:space="preserve"> </v>
      </c>
      <c r="AR39" s="1" t="str">
        <f t="shared" si="62"/>
        <v xml:space="preserve"> </v>
      </c>
      <c r="AS39" s="1" t="str">
        <f t="shared" si="38"/>
        <v xml:space="preserve"> </v>
      </c>
      <c r="AT39" s="1" t="str">
        <f t="shared" si="39"/>
        <v xml:space="preserve"> </v>
      </c>
      <c r="AU39" s="103" t="str">
        <f t="shared" si="63"/>
        <v xml:space="preserve"> </v>
      </c>
      <c r="AV39" s="111">
        <f t="shared" si="41"/>
        <v>0</v>
      </c>
      <c r="AW39" s="4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6"/>
      <c r="DM39" s="111">
        <f t="shared" si="42"/>
        <v>0</v>
      </c>
      <c r="DN39" s="4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6"/>
      <c r="GD39" s="111">
        <f t="shared" si="43"/>
        <v>0</v>
      </c>
      <c r="GE39" s="4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6"/>
      <c r="IU39" s="111">
        <f t="shared" si="44"/>
        <v>0</v>
      </c>
      <c r="IV39" s="4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6"/>
      <c r="LL39" s="111">
        <f t="shared" si="45"/>
        <v>0</v>
      </c>
      <c r="LM39" s="4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6"/>
      <c r="OC39" s="111">
        <f t="shared" si="46"/>
        <v>0</v>
      </c>
      <c r="OD39" s="4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6"/>
      <c r="QT39" s="111">
        <f t="shared" si="47"/>
        <v>0</v>
      </c>
      <c r="QU39" s="4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6"/>
      <c r="TK39" s="111">
        <f t="shared" si="48"/>
        <v>0</v>
      </c>
      <c r="TL39" s="4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6"/>
    </row>
    <row r="40" spans="1:599" s="84" customFormat="1" ht="14.25" customHeight="1" x14ac:dyDescent="0.3">
      <c r="A40" s="85"/>
      <c r="B40" s="87"/>
      <c r="C40" s="87"/>
      <c r="D40" s="86"/>
      <c r="E40" s="81"/>
      <c r="F40" s="81"/>
      <c r="G40" s="81"/>
      <c r="H40" s="81"/>
      <c r="I40" s="81"/>
      <c r="J40" s="81"/>
      <c r="K40" s="2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89" t="str">
        <f t="shared" si="18"/>
        <v/>
      </c>
      <c r="Z40" s="89" t="str">
        <f t="shared" si="19"/>
        <v/>
      </c>
      <c r="AA40" s="89">
        <f t="shared" si="20"/>
        <v>0</v>
      </c>
      <c r="AB40" s="89">
        <f t="shared" si="21"/>
        <v>0</v>
      </c>
      <c r="AC40" s="90">
        <f t="shared" si="22"/>
        <v>0</v>
      </c>
      <c r="AD40" s="91">
        <f t="shared" si="23"/>
        <v>0</v>
      </c>
      <c r="AE40" s="93">
        <f t="shared" si="24"/>
        <v>0</v>
      </c>
      <c r="AF40" s="93">
        <f t="shared" si="25"/>
        <v>0</v>
      </c>
      <c r="AG40" s="93">
        <f t="shared" si="26"/>
        <v>0</v>
      </c>
      <c r="AH40" s="93">
        <f t="shared" si="27"/>
        <v>0</v>
      </c>
      <c r="AI40" s="93">
        <f t="shared" si="28"/>
        <v>0</v>
      </c>
      <c r="AJ40" s="93">
        <f t="shared" si="29"/>
        <v>0</v>
      </c>
      <c r="AK40" s="93">
        <f t="shared" si="30"/>
        <v>0</v>
      </c>
      <c r="AL40" s="93">
        <f t="shared" si="31"/>
        <v>0</v>
      </c>
      <c r="AM40" s="92">
        <f t="shared" si="32"/>
        <v>0</v>
      </c>
      <c r="AN40" s="1" t="str">
        <f t="shared" si="59"/>
        <v xml:space="preserve"> </v>
      </c>
      <c r="AO40" s="1" t="str">
        <f t="shared" si="60"/>
        <v xml:space="preserve"> </v>
      </c>
      <c r="AP40" s="1" t="str">
        <f t="shared" si="35"/>
        <v xml:space="preserve"> </v>
      </c>
      <c r="AQ40" s="1" t="str">
        <f t="shared" si="61"/>
        <v xml:space="preserve"> </v>
      </c>
      <c r="AR40" s="1" t="str">
        <f t="shared" si="62"/>
        <v xml:space="preserve"> </v>
      </c>
      <c r="AS40" s="1" t="str">
        <f t="shared" si="38"/>
        <v xml:space="preserve"> </v>
      </c>
      <c r="AT40" s="1" t="str">
        <f t="shared" si="39"/>
        <v xml:space="preserve"> </v>
      </c>
      <c r="AU40" s="103" t="str">
        <f t="shared" si="63"/>
        <v xml:space="preserve"> </v>
      </c>
      <c r="AV40" s="111">
        <f t="shared" si="41"/>
        <v>0</v>
      </c>
      <c r="AW40" s="4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6"/>
      <c r="DM40" s="111">
        <f t="shared" si="42"/>
        <v>0</v>
      </c>
      <c r="DN40" s="4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6"/>
      <c r="GD40" s="111">
        <f t="shared" si="43"/>
        <v>0</v>
      </c>
      <c r="GE40" s="4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6"/>
      <c r="IU40" s="111">
        <f t="shared" si="44"/>
        <v>0</v>
      </c>
      <c r="IV40" s="4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6"/>
      <c r="LL40" s="111">
        <f t="shared" si="45"/>
        <v>0</v>
      </c>
      <c r="LM40" s="4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6"/>
      <c r="OC40" s="111">
        <f t="shared" si="46"/>
        <v>0</v>
      </c>
      <c r="OD40" s="4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6"/>
      <c r="QT40" s="111">
        <f t="shared" si="47"/>
        <v>0</v>
      </c>
      <c r="QU40" s="4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6"/>
      <c r="TK40" s="111">
        <f t="shared" si="48"/>
        <v>0</v>
      </c>
      <c r="TL40" s="4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6"/>
    </row>
    <row r="41" spans="1:599" s="84" customFormat="1" ht="14.25" customHeight="1" x14ac:dyDescent="0.3">
      <c r="A41" s="85"/>
      <c r="B41" s="87"/>
      <c r="C41" s="87"/>
      <c r="D41" s="86"/>
      <c r="E41" s="81"/>
      <c r="F41" s="81"/>
      <c r="G41" s="81"/>
      <c r="H41" s="81"/>
      <c r="I41" s="81"/>
      <c r="J41" s="81"/>
      <c r="K41" s="2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89" t="str">
        <f t="shared" si="18"/>
        <v/>
      </c>
      <c r="Z41" s="89" t="str">
        <f t="shared" si="19"/>
        <v/>
      </c>
      <c r="AA41" s="89">
        <f t="shared" si="20"/>
        <v>0</v>
      </c>
      <c r="AB41" s="89">
        <f t="shared" si="21"/>
        <v>0</v>
      </c>
      <c r="AC41" s="90">
        <f t="shared" si="22"/>
        <v>0</v>
      </c>
      <c r="AD41" s="91">
        <f t="shared" si="23"/>
        <v>0</v>
      </c>
      <c r="AE41" s="93">
        <f t="shared" si="24"/>
        <v>0</v>
      </c>
      <c r="AF41" s="93">
        <f t="shared" si="25"/>
        <v>0</v>
      </c>
      <c r="AG41" s="93">
        <f t="shared" si="26"/>
        <v>0</v>
      </c>
      <c r="AH41" s="93">
        <f t="shared" si="27"/>
        <v>0</v>
      </c>
      <c r="AI41" s="93">
        <f t="shared" si="28"/>
        <v>0</v>
      </c>
      <c r="AJ41" s="93">
        <f t="shared" si="29"/>
        <v>0</v>
      </c>
      <c r="AK41" s="93">
        <f t="shared" si="30"/>
        <v>0</v>
      </c>
      <c r="AL41" s="93">
        <f t="shared" si="31"/>
        <v>0</v>
      </c>
      <c r="AM41" s="92">
        <f t="shared" si="32"/>
        <v>0</v>
      </c>
      <c r="AN41" s="1" t="str">
        <f t="shared" si="59"/>
        <v xml:space="preserve"> </v>
      </c>
      <c r="AO41" s="1" t="str">
        <f t="shared" si="60"/>
        <v xml:space="preserve"> </v>
      </c>
      <c r="AP41" s="1" t="str">
        <f t="shared" si="35"/>
        <v xml:space="preserve"> </v>
      </c>
      <c r="AQ41" s="1" t="str">
        <f t="shared" si="61"/>
        <v xml:space="preserve"> </v>
      </c>
      <c r="AR41" s="1" t="str">
        <f t="shared" si="62"/>
        <v xml:space="preserve"> </v>
      </c>
      <c r="AS41" s="1" t="str">
        <f t="shared" si="38"/>
        <v xml:space="preserve"> </v>
      </c>
      <c r="AT41" s="1" t="str">
        <f t="shared" si="39"/>
        <v xml:space="preserve"> </v>
      </c>
      <c r="AU41" s="103" t="str">
        <f t="shared" si="63"/>
        <v xml:space="preserve"> </v>
      </c>
      <c r="AV41" s="111">
        <f t="shared" si="41"/>
        <v>0</v>
      </c>
      <c r="AW41" s="4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6"/>
      <c r="DM41" s="111">
        <f t="shared" si="42"/>
        <v>0</v>
      </c>
      <c r="DN41" s="4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6"/>
      <c r="GD41" s="111">
        <f t="shared" si="43"/>
        <v>0</v>
      </c>
      <c r="GE41" s="4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6"/>
      <c r="IU41" s="111">
        <f t="shared" si="44"/>
        <v>0</v>
      </c>
      <c r="IV41" s="4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6"/>
      <c r="LL41" s="111">
        <f t="shared" si="45"/>
        <v>0</v>
      </c>
      <c r="LM41" s="4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6"/>
      <c r="OC41" s="111">
        <f t="shared" si="46"/>
        <v>0</v>
      </c>
      <c r="OD41" s="4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6"/>
      <c r="QT41" s="111">
        <f t="shared" si="47"/>
        <v>0</v>
      </c>
      <c r="QU41" s="4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6"/>
      <c r="TK41" s="111">
        <f t="shared" si="48"/>
        <v>0</v>
      </c>
      <c r="TL41" s="4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6"/>
    </row>
    <row r="42" spans="1:599" s="84" customFormat="1" ht="14.25" customHeight="1" x14ac:dyDescent="0.3">
      <c r="A42" s="85"/>
      <c r="B42" s="87"/>
      <c r="C42" s="87"/>
      <c r="D42" s="86"/>
      <c r="E42" s="81"/>
      <c r="F42" s="81"/>
      <c r="G42" s="81"/>
      <c r="H42" s="81"/>
      <c r="I42" s="81"/>
      <c r="J42" s="81"/>
      <c r="K42" s="2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89" t="str">
        <f t="shared" si="18"/>
        <v/>
      </c>
      <c r="Z42" s="89" t="str">
        <f t="shared" si="19"/>
        <v/>
      </c>
      <c r="AA42" s="89">
        <f t="shared" si="20"/>
        <v>0</v>
      </c>
      <c r="AB42" s="89">
        <f t="shared" si="21"/>
        <v>0</v>
      </c>
      <c r="AC42" s="90">
        <f t="shared" si="22"/>
        <v>0</v>
      </c>
      <c r="AD42" s="91">
        <f t="shared" si="23"/>
        <v>0</v>
      </c>
      <c r="AE42" s="93">
        <f t="shared" si="24"/>
        <v>0</v>
      </c>
      <c r="AF42" s="93">
        <f t="shared" si="25"/>
        <v>0</v>
      </c>
      <c r="AG42" s="93">
        <f t="shared" si="26"/>
        <v>0</v>
      </c>
      <c r="AH42" s="93">
        <f t="shared" si="27"/>
        <v>0</v>
      </c>
      <c r="AI42" s="93">
        <f t="shared" si="28"/>
        <v>0</v>
      </c>
      <c r="AJ42" s="93">
        <f t="shared" si="29"/>
        <v>0</v>
      </c>
      <c r="AK42" s="93">
        <f t="shared" si="30"/>
        <v>0</v>
      </c>
      <c r="AL42" s="93">
        <f t="shared" si="31"/>
        <v>0</v>
      </c>
      <c r="AM42" s="92">
        <f t="shared" si="32"/>
        <v>0</v>
      </c>
      <c r="AN42" s="1" t="str">
        <f t="shared" si="59"/>
        <v xml:space="preserve"> </v>
      </c>
      <c r="AO42" s="1" t="str">
        <f t="shared" si="60"/>
        <v xml:space="preserve"> </v>
      </c>
      <c r="AP42" s="1" t="str">
        <f t="shared" si="35"/>
        <v xml:space="preserve"> </v>
      </c>
      <c r="AQ42" s="1" t="str">
        <f t="shared" si="61"/>
        <v xml:space="preserve"> </v>
      </c>
      <c r="AR42" s="1" t="str">
        <f t="shared" si="62"/>
        <v xml:space="preserve"> </v>
      </c>
      <c r="AS42" s="1" t="str">
        <f t="shared" si="38"/>
        <v xml:space="preserve"> </v>
      </c>
      <c r="AT42" s="1" t="str">
        <f t="shared" si="39"/>
        <v xml:space="preserve"> </v>
      </c>
      <c r="AU42" s="103" t="str">
        <f t="shared" si="63"/>
        <v xml:space="preserve"> </v>
      </c>
      <c r="AV42" s="111">
        <f t="shared" si="41"/>
        <v>0</v>
      </c>
      <c r="AW42" s="4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6"/>
      <c r="DM42" s="111">
        <f t="shared" si="42"/>
        <v>0</v>
      </c>
      <c r="DN42" s="4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6"/>
      <c r="GD42" s="111">
        <f t="shared" si="43"/>
        <v>0</v>
      </c>
      <c r="GE42" s="4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6"/>
      <c r="IU42" s="111">
        <f t="shared" si="44"/>
        <v>0</v>
      </c>
      <c r="IV42" s="4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6"/>
      <c r="LL42" s="111">
        <f t="shared" si="45"/>
        <v>0</v>
      </c>
      <c r="LM42" s="4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6"/>
      <c r="OC42" s="111">
        <f t="shared" si="46"/>
        <v>0</v>
      </c>
      <c r="OD42" s="4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6"/>
      <c r="QT42" s="111">
        <f t="shared" si="47"/>
        <v>0</v>
      </c>
      <c r="QU42" s="4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6"/>
      <c r="TK42" s="111">
        <f t="shared" si="48"/>
        <v>0</v>
      </c>
      <c r="TL42" s="4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6"/>
    </row>
    <row r="43" spans="1:599" s="84" customFormat="1" ht="14.25" customHeight="1" x14ac:dyDescent="0.3">
      <c r="A43" s="85"/>
      <c r="B43" s="87"/>
      <c r="C43" s="87"/>
      <c r="D43" s="86"/>
      <c r="E43" s="81"/>
      <c r="F43" s="81"/>
      <c r="G43" s="81"/>
      <c r="H43" s="81"/>
      <c r="I43" s="81"/>
      <c r="J43" s="81"/>
      <c r="K43" s="2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89" t="str">
        <f t="shared" si="18"/>
        <v/>
      </c>
      <c r="Z43" s="89" t="str">
        <f t="shared" si="19"/>
        <v/>
      </c>
      <c r="AA43" s="89">
        <f t="shared" si="20"/>
        <v>0</v>
      </c>
      <c r="AB43" s="89">
        <f t="shared" si="21"/>
        <v>0</v>
      </c>
      <c r="AC43" s="90">
        <f t="shared" si="22"/>
        <v>0</v>
      </c>
      <c r="AD43" s="91">
        <f t="shared" si="23"/>
        <v>0</v>
      </c>
      <c r="AE43" s="93">
        <f t="shared" si="24"/>
        <v>0</v>
      </c>
      <c r="AF43" s="93">
        <f t="shared" si="25"/>
        <v>0</v>
      </c>
      <c r="AG43" s="93">
        <f t="shared" si="26"/>
        <v>0</v>
      </c>
      <c r="AH43" s="93">
        <f t="shared" si="27"/>
        <v>0</v>
      </c>
      <c r="AI43" s="93">
        <f t="shared" si="28"/>
        <v>0</v>
      </c>
      <c r="AJ43" s="93">
        <f t="shared" si="29"/>
        <v>0</v>
      </c>
      <c r="AK43" s="93">
        <f t="shared" si="30"/>
        <v>0</v>
      </c>
      <c r="AL43" s="93">
        <f t="shared" si="31"/>
        <v>0</v>
      </c>
      <c r="AM43" s="92">
        <f t="shared" si="32"/>
        <v>0</v>
      </c>
      <c r="AN43" s="1" t="str">
        <f t="shared" si="59"/>
        <v xml:space="preserve"> </v>
      </c>
      <c r="AO43" s="1" t="str">
        <f t="shared" si="60"/>
        <v xml:space="preserve"> </v>
      </c>
      <c r="AP43" s="1" t="str">
        <f t="shared" si="35"/>
        <v xml:space="preserve"> </v>
      </c>
      <c r="AQ43" s="1" t="str">
        <f t="shared" si="61"/>
        <v xml:space="preserve"> </v>
      </c>
      <c r="AR43" s="1" t="str">
        <f t="shared" si="62"/>
        <v xml:space="preserve"> </v>
      </c>
      <c r="AS43" s="1" t="str">
        <f t="shared" si="38"/>
        <v xml:space="preserve"> </v>
      </c>
      <c r="AT43" s="1" t="str">
        <f t="shared" si="39"/>
        <v xml:space="preserve"> </v>
      </c>
      <c r="AU43" s="103" t="str">
        <f t="shared" si="63"/>
        <v xml:space="preserve"> </v>
      </c>
      <c r="AV43" s="111">
        <f t="shared" si="41"/>
        <v>0</v>
      </c>
      <c r="AW43" s="4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6"/>
      <c r="DM43" s="111">
        <f t="shared" si="42"/>
        <v>0</v>
      </c>
      <c r="DN43" s="4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6"/>
      <c r="GD43" s="111">
        <f t="shared" si="43"/>
        <v>0</v>
      </c>
      <c r="GE43" s="4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6"/>
      <c r="IU43" s="111">
        <f t="shared" si="44"/>
        <v>0</v>
      </c>
      <c r="IV43" s="4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6"/>
      <c r="LL43" s="111">
        <f t="shared" si="45"/>
        <v>0</v>
      </c>
      <c r="LM43" s="4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6"/>
      <c r="OC43" s="111">
        <f t="shared" si="46"/>
        <v>0</v>
      </c>
      <c r="OD43" s="4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6"/>
      <c r="QT43" s="111">
        <f t="shared" si="47"/>
        <v>0</v>
      </c>
      <c r="QU43" s="4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6"/>
      <c r="TK43" s="111">
        <f t="shared" si="48"/>
        <v>0</v>
      </c>
      <c r="TL43" s="4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6"/>
    </row>
    <row r="44" spans="1:599" s="84" customFormat="1" ht="14.25" customHeight="1" x14ac:dyDescent="0.3">
      <c r="A44" s="41"/>
      <c r="B44" s="39"/>
      <c r="C44" s="86"/>
      <c r="D44" s="40"/>
      <c r="E44" s="2"/>
      <c r="F44" s="2"/>
      <c r="G44" s="2"/>
      <c r="H44" s="2"/>
      <c r="I44" s="2"/>
      <c r="J44" s="2"/>
      <c r="K44" s="2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89" t="str">
        <f t="shared" si="18"/>
        <v/>
      </c>
      <c r="Z44" s="89" t="str">
        <f t="shared" si="19"/>
        <v/>
      </c>
      <c r="AA44" s="89">
        <f t="shared" si="20"/>
        <v>0</v>
      </c>
      <c r="AB44" s="89">
        <f t="shared" si="21"/>
        <v>0</v>
      </c>
      <c r="AC44" s="90">
        <f t="shared" si="22"/>
        <v>0</v>
      </c>
      <c r="AD44" s="91">
        <f t="shared" si="23"/>
        <v>0</v>
      </c>
      <c r="AE44" s="93">
        <f t="shared" si="24"/>
        <v>0</v>
      </c>
      <c r="AF44" s="93">
        <f t="shared" si="25"/>
        <v>0</v>
      </c>
      <c r="AG44" s="93">
        <f t="shared" si="26"/>
        <v>0</v>
      </c>
      <c r="AH44" s="93">
        <f t="shared" si="27"/>
        <v>0</v>
      </c>
      <c r="AI44" s="93">
        <f t="shared" si="28"/>
        <v>0</v>
      </c>
      <c r="AJ44" s="93">
        <f t="shared" si="29"/>
        <v>0</v>
      </c>
      <c r="AK44" s="93">
        <f t="shared" si="30"/>
        <v>0</v>
      </c>
      <c r="AL44" s="93">
        <f t="shared" si="31"/>
        <v>0</v>
      </c>
      <c r="AM44" s="92">
        <f t="shared" si="32"/>
        <v>0</v>
      </c>
      <c r="AN44" s="1" t="str">
        <f t="shared" si="59"/>
        <v xml:space="preserve"> </v>
      </c>
      <c r="AO44" s="1" t="str">
        <f t="shared" si="60"/>
        <v xml:space="preserve"> </v>
      </c>
      <c r="AP44" s="1" t="str">
        <f t="shared" si="35"/>
        <v xml:space="preserve"> </v>
      </c>
      <c r="AQ44" s="1" t="str">
        <f t="shared" si="61"/>
        <v xml:space="preserve"> </v>
      </c>
      <c r="AR44" s="1" t="str">
        <f t="shared" si="62"/>
        <v xml:space="preserve"> </v>
      </c>
      <c r="AS44" s="1" t="str">
        <f t="shared" si="38"/>
        <v xml:space="preserve"> </v>
      </c>
      <c r="AT44" s="1" t="str">
        <f t="shared" si="39"/>
        <v xml:space="preserve"> </v>
      </c>
      <c r="AU44" s="103" t="str">
        <f t="shared" si="63"/>
        <v xml:space="preserve"> </v>
      </c>
      <c r="AV44" s="111">
        <f t="shared" si="41"/>
        <v>0</v>
      </c>
      <c r="AW44" s="4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6"/>
      <c r="DM44" s="111">
        <f t="shared" si="42"/>
        <v>0</v>
      </c>
      <c r="DN44" s="4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6"/>
      <c r="GD44" s="111">
        <f t="shared" si="43"/>
        <v>0</v>
      </c>
      <c r="GE44" s="4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6"/>
      <c r="IU44" s="111">
        <f t="shared" si="44"/>
        <v>0</v>
      </c>
      <c r="IV44" s="4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6"/>
      <c r="LL44" s="111">
        <f t="shared" si="45"/>
        <v>0</v>
      </c>
      <c r="LM44" s="4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6"/>
      <c r="OC44" s="111">
        <f t="shared" si="46"/>
        <v>0</v>
      </c>
      <c r="OD44" s="4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6"/>
      <c r="QT44" s="111">
        <f t="shared" si="47"/>
        <v>0</v>
      </c>
      <c r="QU44" s="4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6"/>
      <c r="TK44" s="111">
        <f t="shared" si="48"/>
        <v>0</v>
      </c>
      <c r="TL44" s="4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6"/>
    </row>
    <row r="45" spans="1:599" s="84" customFormat="1" ht="14.25" customHeight="1" x14ac:dyDescent="0.3">
      <c r="A45" s="41"/>
      <c r="B45" s="39"/>
      <c r="C45" s="40"/>
      <c r="D45" s="40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89" t="str">
        <f t="shared" si="18"/>
        <v/>
      </c>
      <c r="Z45" s="89" t="str">
        <f t="shared" si="19"/>
        <v/>
      </c>
      <c r="AA45" s="89">
        <f t="shared" si="20"/>
        <v>0</v>
      </c>
      <c r="AB45" s="89">
        <f t="shared" si="21"/>
        <v>0</v>
      </c>
      <c r="AC45" s="90">
        <f t="shared" si="22"/>
        <v>0</v>
      </c>
      <c r="AD45" s="91">
        <f t="shared" si="23"/>
        <v>0</v>
      </c>
      <c r="AE45" s="93">
        <f t="shared" si="24"/>
        <v>0</v>
      </c>
      <c r="AF45" s="93">
        <f t="shared" si="25"/>
        <v>0</v>
      </c>
      <c r="AG45" s="93">
        <f t="shared" si="26"/>
        <v>0</v>
      </c>
      <c r="AH45" s="93">
        <f t="shared" si="27"/>
        <v>0</v>
      </c>
      <c r="AI45" s="93">
        <f t="shared" si="28"/>
        <v>0</v>
      </c>
      <c r="AJ45" s="93">
        <f t="shared" si="29"/>
        <v>0</v>
      </c>
      <c r="AK45" s="93">
        <f t="shared" si="30"/>
        <v>0</v>
      </c>
      <c r="AL45" s="93">
        <f t="shared" si="31"/>
        <v>0</v>
      </c>
      <c r="AM45" s="92">
        <f t="shared" si="32"/>
        <v>0</v>
      </c>
      <c r="AN45" s="1" t="str">
        <f t="shared" si="59"/>
        <v xml:space="preserve"> </v>
      </c>
      <c r="AO45" s="1" t="str">
        <f t="shared" si="60"/>
        <v xml:space="preserve"> </v>
      </c>
      <c r="AP45" s="1" t="str">
        <f t="shared" si="35"/>
        <v xml:space="preserve"> </v>
      </c>
      <c r="AQ45" s="1" t="str">
        <f t="shared" si="61"/>
        <v xml:space="preserve"> </v>
      </c>
      <c r="AR45" s="1" t="str">
        <f t="shared" si="62"/>
        <v xml:space="preserve"> </v>
      </c>
      <c r="AS45" s="1" t="str">
        <f t="shared" si="38"/>
        <v xml:space="preserve"> </v>
      </c>
      <c r="AT45" s="1" t="str">
        <f t="shared" si="39"/>
        <v xml:space="preserve"> </v>
      </c>
      <c r="AU45" s="103" t="str">
        <f t="shared" si="63"/>
        <v xml:space="preserve"> </v>
      </c>
      <c r="AV45" s="111">
        <f t="shared" si="41"/>
        <v>0</v>
      </c>
      <c r="AW45" s="4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6"/>
      <c r="DM45" s="111">
        <f t="shared" si="42"/>
        <v>0</v>
      </c>
      <c r="DN45" s="4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6"/>
      <c r="GD45" s="111">
        <f t="shared" si="43"/>
        <v>0</v>
      </c>
      <c r="GE45" s="4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6"/>
      <c r="IU45" s="111">
        <f t="shared" si="44"/>
        <v>0</v>
      </c>
      <c r="IV45" s="4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6"/>
      <c r="LL45" s="111">
        <f t="shared" si="45"/>
        <v>0</v>
      </c>
      <c r="LM45" s="4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6"/>
      <c r="OC45" s="111">
        <f t="shared" si="46"/>
        <v>0</v>
      </c>
      <c r="OD45" s="4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6"/>
      <c r="QT45" s="111">
        <f t="shared" si="47"/>
        <v>0</v>
      </c>
      <c r="QU45" s="4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6"/>
      <c r="TK45" s="111">
        <f t="shared" si="48"/>
        <v>0</v>
      </c>
      <c r="TL45" s="4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6"/>
    </row>
    <row r="46" spans="1:599" s="84" customFormat="1" ht="14.25" customHeight="1" x14ac:dyDescent="0.3">
      <c r="A46" s="41"/>
      <c r="B46" s="39"/>
      <c r="C46" s="86"/>
      <c r="D46" s="40"/>
      <c r="E46" s="2"/>
      <c r="F46" s="2"/>
      <c r="G46" s="2"/>
      <c r="H46" s="2"/>
      <c r="I46" s="2"/>
      <c r="J46" s="2"/>
      <c r="K46" s="2"/>
      <c r="L46" s="2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89" t="str">
        <f t="shared" si="18"/>
        <v/>
      </c>
      <c r="Z46" s="89" t="str">
        <f t="shared" si="19"/>
        <v/>
      </c>
      <c r="AA46" s="89">
        <f t="shared" si="20"/>
        <v>0</v>
      </c>
      <c r="AB46" s="89">
        <f t="shared" si="21"/>
        <v>0</v>
      </c>
      <c r="AC46" s="90">
        <f t="shared" si="22"/>
        <v>0</v>
      </c>
      <c r="AD46" s="91">
        <f t="shared" si="23"/>
        <v>0</v>
      </c>
      <c r="AE46" s="93">
        <f t="shared" si="24"/>
        <v>0</v>
      </c>
      <c r="AF46" s="93">
        <f t="shared" si="25"/>
        <v>0</v>
      </c>
      <c r="AG46" s="93">
        <f t="shared" si="26"/>
        <v>0</v>
      </c>
      <c r="AH46" s="93">
        <f t="shared" si="27"/>
        <v>0</v>
      </c>
      <c r="AI46" s="93">
        <f t="shared" si="28"/>
        <v>0</v>
      </c>
      <c r="AJ46" s="93">
        <f t="shared" si="29"/>
        <v>0</v>
      </c>
      <c r="AK46" s="93">
        <f t="shared" si="30"/>
        <v>0</v>
      </c>
      <c r="AL46" s="93">
        <f t="shared" si="31"/>
        <v>0</v>
      </c>
      <c r="AM46" s="92">
        <f t="shared" si="32"/>
        <v>0</v>
      </c>
      <c r="AN46" s="1" t="str">
        <f t="shared" si="59"/>
        <v xml:space="preserve"> </v>
      </c>
      <c r="AO46" s="1" t="str">
        <f t="shared" si="60"/>
        <v xml:space="preserve"> </v>
      </c>
      <c r="AP46" s="1" t="str">
        <f t="shared" si="35"/>
        <v xml:space="preserve"> </v>
      </c>
      <c r="AQ46" s="1" t="str">
        <f t="shared" si="61"/>
        <v xml:space="preserve"> </v>
      </c>
      <c r="AR46" s="1" t="str">
        <f t="shared" si="62"/>
        <v xml:space="preserve"> </v>
      </c>
      <c r="AS46" s="1" t="str">
        <f t="shared" si="38"/>
        <v xml:space="preserve"> </v>
      </c>
      <c r="AT46" s="1" t="str">
        <f t="shared" si="39"/>
        <v xml:space="preserve"> </v>
      </c>
      <c r="AU46" s="103" t="str">
        <f t="shared" si="63"/>
        <v xml:space="preserve"> </v>
      </c>
      <c r="AV46" s="111">
        <f t="shared" si="41"/>
        <v>0</v>
      </c>
      <c r="AW46" s="4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6"/>
      <c r="DM46" s="111">
        <f t="shared" si="42"/>
        <v>0</v>
      </c>
      <c r="DN46" s="4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6"/>
      <c r="GD46" s="111">
        <f t="shared" si="43"/>
        <v>0</v>
      </c>
      <c r="GE46" s="4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6"/>
      <c r="IU46" s="111">
        <f t="shared" si="44"/>
        <v>0</v>
      </c>
      <c r="IV46" s="4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6"/>
      <c r="LL46" s="111">
        <f t="shared" si="45"/>
        <v>0</v>
      </c>
      <c r="LM46" s="4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6"/>
      <c r="OC46" s="111">
        <f t="shared" si="46"/>
        <v>0</v>
      </c>
      <c r="OD46" s="4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6"/>
      <c r="QT46" s="111">
        <f t="shared" si="47"/>
        <v>0</v>
      </c>
      <c r="QU46" s="4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6"/>
      <c r="TK46" s="111">
        <f t="shared" si="48"/>
        <v>0</v>
      </c>
      <c r="TL46" s="4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6"/>
    </row>
    <row r="47" spans="1:599" s="84" customFormat="1" ht="14.25" customHeight="1" x14ac:dyDescent="0.3">
      <c r="A47" s="85"/>
      <c r="B47" s="87"/>
      <c r="C47" s="87"/>
      <c r="D47" s="86"/>
      <c r="E47" s="81"/>
      <c r="F47" s="81"/>
      <c r="G47" s="81"/>
      <c r="H47" s="81"/>
      <c r="I47" s="81"/>
      <c r="J47" s="81"/>
      <c r="K47" s="2"/>
      <c r="L47" s="2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89" t="str">
        <f t="shared" si="18"/>
        <v/>
      </c>
      <c r="Z47" s="89" t="str">
        <f t="shared" si="19"/>
        <v/>
      </c>
      <c r="AA47" s="89">
        <f t="shared" si="20"/>
        <v>0</v>
      </c>
      <c r="AB47" s="89">
        <f t="shared" si="21"/>
        <v>0</v>
      </c>
      <c r="AC47" s="90">
        <f t="shared" si="22"/>
        <v>0</v>
      </c>
      <c r="AD47" s="91">
        <f t="shared" si="23"/>
        <v>0</v>
      </c>
      <c r="AE47" s="93">
        <f t="shared" si="24"/>
        <v>0</v>
      </c>
      <c r="AF47" s="93">
        <f t="shared" si="25"/>
        <v>0</v>
      </c>
      <c r="AG47" s="93">
        <f t="shared" si="26"/>
        <v>0</v>
      </c>
      <c r="AH47" s="93">
        <f t="shared" si="27"/>
        <v>0</v>
      </c>
      <c r="AI47" s="93">
        <f t="shared" si="28"/>
        <v>0</v>
      </c>
      <c r="AJ47" s="93">
        <f t="shared" si="29"/>
        <v>0</v>
      </c>
      <c r="AK47" s="93">
        <f t="shared" si="30"/>
        <v>0</v>
      </c>
      <c r="AL47" s="93">
        <f t="shared" si="31"/>
        <v>0</v>
      </c>
      <c r="AM47" s="92">
        <f t="shared" si="32"/>
        <v>0</v>
      </c>
      <c r="AN47" s="1" t="str">
        <f t="shared" si="59"/>
        <v xml:space="preserve"> </v>
      </c>
      <c r="AO47" s="1" t="str">
        <f t="shared" si="60"/>
        <v xml:space="preserve"> </v>
      </c>
      <c r="AP47" s="1" t="str">
        <f t="shared" si="35"/>
        <v xml:space="preserve"> </v>
      </c>
      <c r="AQ47" s="1" t="str">
        <f t="shared" si="61"/>
        <v xml:space="preserve"> </v>
      </c>
      <c r="AR47" s="1" t="str">
        <f t="shared" si="62"/>
        <v xml:space="preserve"> </v>
      </c>
      <c r="AS47" s="1" t="str">
        <f t="shared" si="38"/>
        <v xml:space="preserve"> </v>
      </c>
      <c r="AT47" s="1" t="str">
        <f t="shared" si="39"/>
        <v xml:space="preserve"> </v>
      </c>
      <c r="AU47" s="103" t="str">
        <f t="shared" si="63"/>
        <v xml:space="preserve"> </v>
      </c>
      <c r="AV47" s="111">
        <f t="shared" si="41"/>
        <v>0</v>
      </c>
      <c r="AW47" s="4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6"/>
      <c r="DM47" s="111">
        <f t="shared" si="42"/>
        <v>0</v>
      </c>
      <c r="DN47" s="4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6"/>
      <c r="GD47" s="111">
        <f t="shared" si="43"/>
        <v>0</v>
      </c>
      <c r="GE47" s="4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6"/>
      <c r="IU47" s="111">
        <f t="shared" si="44"/>
        <v>0</v>
      </c>
      <c r="IV47" s="4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6"/>
      <c r="LL47" s="111">
        <f t="shared" si="45"/>
        <v>0</v>
      </c>
      <c r="LM47" s="4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6"/>
      <c r="OC47" s="111">
        <f t="shared" si="46"/>
        <v>0</v>
      </c>
      <c r="OD47" s="4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6"/>
      <c r="QT47" s="111">
        <f t="shared" si="47"/>
        <v>0</v>
      </c>
      <c r="QU47" s="4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6"/>
      <c r="TK47" s="111">
        <f t="shared" si="48"/>
        <v>0</v>
      </c>
      <c r="TL47" s="4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6"/>
    </row>
    <row r="48" spans="1:599" s="84" customFormat="1" ht="14.25" customHeight="1" x14ac:dyDescent="0.3">
      <c r="A48" s="85"/>
      <c r="B48" s="87"/>
      <c r="C48" s="87"/>
      <c r="D48" s="86"/>
      <c r="E48" s="2"/>
      <c r="F48" s="2"/>
      <c r="G48" s="2"/>
      <c r="H48" s="2"/>
      <c r="I48" s="2"/>
      <c r="J48" s="81"/>
      <c r="K48" s="2"/>
      <c r="L48" s="2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89" t="str">
        <f t="shared" si="18"/>
        <v/>
      </c>
      <c r="Z48" s="89" t="str">
        <f t="shared" si="19"/>
        <v/>
      </c>
      <c r="AA48" s="89">
        <f t="shared" si="20"/>
        <v>0</v>
      </c>
      <c r="AB48" s="89">
        <f t="shared" si="21"/>
        <v>0</v>
      </c>
      <c r="AC48" s="90">
        <f t="shared" si="22"/>
        <v>0</v>
      </c>
      <c r="AD48" s="91">
        <f t="shared" si="23"/>
        <v>0</v>
      </c>
      <c r="AE48" s="93">
        <f t="shared" si="24"/>
        <v>0</v>
      </c>
      <c r="AF48" s="93">
        <f t="shared" si="25"/>
        <v>0</v>
      </c>
      <c r="AG48" s="93">
        <f t="shared" si="26"/>
        <v>0</v>
      </c>
      <c r="AH48" s="93">
        <f t="shared" si="27"/>
        <v>0</v>
      </c>
      <c r="AI48" s="93">
        <f t="shared" si="28"/>
        <v>0</v>
      </c>
      <c r="AJ48" s="93">
        <f t="shared" si="29"/>
        <v>0</v>
      </c>
      <c r="AK48" s="93">
        <f t="shared" si="30"/>
        <v>0</v>
      </c>
      <c r="AL48" s="93">
        <f t="shared" si="31"/>
        <v>0</v>
      </c>
      <c r="AM48" s="92">
        <f t="shared" si="32"/>
        <v>0</v>
      </c>
      <c r="AN48" s="1" t="str">
        <f t="shared" si="59"/>
        <v xml:space="preserve"> </v>
      </c>
      <c r="AO48" s="1" t="str">
        <f t="shared" si="60"/>
        <v xml:space="preserve"> </v>
      </c>
      <c r="AP48" s="1" t="str">
        <f t="shared" si="35"/>
        <v xml:space="preserve"> </v>
      </c>
      <c r="AQ48" s="1" t="str">
        <f t="shared" si="61"/>
        <v xml:space="preserve"> </v>
      </c>
      <c r="AR48" s="1" t="str">
        <f t="shared" si="62"/>
        <v xml:space="preserve"> </v>
      </c>
      <c r="AS48" s="1" t="str">
        <f t="shared" si="38"/>
        <v xml:space="preserve"> </v>
      </c>
      <c r="AT48" s="1" t="str">
        <f t="shared" si="39"/>
        <v xml:space="preserve"> </v>
      </c>
      <c r="AU48" s="103" t="str">
        <f t="shared" si="63"/>
        <v xml:space="preserve"> </v>
      </c>
      <c r="AV48" s="111">
        <f t="shared" si="41"/>
        <v>0</v>
      </c>
      <c r="AW48" s="4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6"/>
      <c r="DM48" s="111">
        <f t="shared" si="42"/>
        <v>0</v>
      </c>
      <c r="DN48" s="4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6"/>
      <c r="GD48" s="111">
        <f t="shared" si="43"/>
        <v>0</v>
      </c>
      <c r="GE48" s="4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6"/>
      <c r="IU48" s="111">
        <f t="shared" si="44"/>
        <v>0</v>
      </c>
      <c r="IV48" s="4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6"/>
      <c r="LL48" s="111">
        <f t="shared" si="45"/>
        <v>0</v>
      </c>
      <c r="LM48" s="4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6"/>
      <c r="OC48" s="111">
        <f t="shared" si="46"/>
        <v>0</v>
      </c>
      <c r="OD48" s="4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6"/>
      <c r="QT48" s="111">
        <f t="shared" si="47"/>
        <v>0</v>
      </c>
      <c r="QU48" s="4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6"/>
      <c r="TK48" s="111">
        <f t="shared" si="48"/>
        <v>0</v>
      </c>
      <c r="TL48" s="4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6"/>
    </row>
    <row r="49" spans="1:599" s="84" customFormat="1" ht="14.25" customHeight="1" x14ac:dyDescent="0.3">
      <c r="A49" s="85"/>
      <c r="B49" s="87"/>
      <c r="C49" s="87"/>
      <c r="D49" s="86"/>
      <c r="E49" s="2"/>
      <c r="F49" s="2"/>
      <c r="G49" s="2"/>
      <c r="H49" s="2"/>
      <c r="I49" s="2"/>
      <c r="J49" s="2"/>
      <c r="K49" s="2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89" t="str">
        <f t="shared" si="18"/>
        <v/>
      </c>
      <c r="Z49" s="89" t="str">
        <f t="shared" si="19"/>
        <v/>
      </c>
      <c r="AA49" s="89">
        <f t="shared" si="20"/>
        <v>0</v>
      </c>
      <c r="AB49" s="89">
        <f t="shared" si="21"/>
        <v>0</v>
      </c>
      <c r="AC49" s="90">
        <f t="shared" si="22"/>
        <v>0</v>
      </c>
      <c r="AD49" s="91">
        <f t="shared" si="23"/>
        <v>0</v>
      </c>
      <c r="AE49" s="93">
        <f t="shared" si="24"/>
        <v>0</v>
      </c>
      <c r="AF49" s="93">
        <f t="shared" si="25"/>
        <v>0</v>
      </c>
      <c r="AG49" s="93">
        <f t="shared" si="26"/>
        <v>0</v>
      </c>
      <c r="AH49" s="93">
        <f t="shared" si="27"/>
        <v>0</v>
      </c>
      <c r="AI49" s="93">
        <f t="shared" si="28"/>
        <v>0</v>
      </c>
      <c r="AJ49" s="93">
        <f t="shared" si="29"/>
        <v>0</v>
      </c>
      <c r="AK49" s="93">
        <f t="shared" si="30"/>
        <v>0</v>
      </c>
      <c r="AL49" s="93">
        <f t="shared" si="31"/>
        <v>0</v>
      </c>
      <c r="AM49" s="92">
        <f t="shared" si="32"/>
        <v>0</v>
      </c>
      <c r="AN49" s="1" t="str">
        <f t="shared" si="59"/>
        <v xml:space="preserve"> </v>
      </c>
      <c r="AO49" s="1" t="str">
        <f t="shared" si="60"/>
        <v xml:space="preserve"> </v>
      </c>
      <c r="AP49" s="1" t="str">
        <f t="shared" si="35"/>
        <v xml:space="preserve"> </v>
      </c>
      <c r="AQ49" s="1" t="str">
        <f t="shared" si="61"/>
        <v xml:space="preserve"> </v>
      </c>
      <c r="AR49" s="1" t="str">
        <f t="shared" si="62"/>
        <v xml:space="preserve"> </v>
      </c>
      <c r="AS49" s="1" t="str">
        <f t="shared" si="38"/>
        <v xml:space="preserve"> </v>
      </c>
      <c r="AT49" s="1" t="str">
        <f t="shared" si="39"/>
        <v xml:space="preserve"> </v>
      </c>
      <c r="AU49" s="103" t="str">
        <f t="shared" si="63"/>
        <v xml:space="preserve"> </v>
      </c>
      <c r="AV49" s="111">
        <f t="shared" si="41"/>
        <v>0</v>
      </c>
      <c r="AW49" s="4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6"/>
      <c r="DM49" s="111">
        <f t="shared" si="42"/>
        <v>0</v>
      </c>
      <c r="DN49" s="4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6"/>
      <c r="GD49" s="111">
        <f t="shared" si="43"/>
        <v>0</v>
      </c>
      <c r="GE49" s="4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6"/>
      <c r="IU49" s="111">
        <f t="shared" si="44"/>
        <v>0</v>
      </c>
      <c r="IV49" s="4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6"/>
      <c r="LL49" s="111">
        <f t="shared" si="45"/>
        <v>0</v>
      </c>
      <c r="LM49" s="4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6"/>
      <c r="OC49" s="111">
        <f t="shared" si="46"/>
        <v>0</v>
      </c>
      <c r="OD49" s="4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6"/>
      <c r="QT49" s="111">
        <f t="shared" si="47"/>
        <v>0</v>
      </c>
      <c r="QU49" s="4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6"/>
      <c r="TK49" s="111">
        <f t="shared" si="48"/>
        <v>0</v>
      </c>
      <c r="TL49" s="4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6"/>
    </row>
    <row r="50" spans="1:599" s="84" customFormat="1" ht="14.25" customHeight="1" x14ac:dyDescent="0.3">
      <c r="A50" s="41"/>
      <c r="B50" s="39"/>
      <c r="C50" s="40"/>
      <c r="D50" s="40"/>
      <c r="E50" s="2"/>
      <c r="F50" s="2"/>
      <c r="G50" s="2"/>
      <c r="H50" s="2"/>
      <c r="I50" s="2"/>
      <c r="J50" s="2"/>
      <c r="K50" s="2"/>
      <c r="L50" s="2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89" t="str">
        <f t="shared" si="18"/>
        <v/>
      </c>
      <c r="Z50" s="89" t="str">
        <f t="shared" si="19"/>
        <v/>
      </c>
      <c r="AA50" s="89">
        <f t="shared" si="20"/>
        <v>0</v>
      </c>
      <c r="AB50" s="89">
        <f t="shared" si="21"/>
        <v>0</v>
      </c>
      <c r="AC50" s="90">
        <f t="shared" si="22"/>
        <v>0</v>
      </c>
      <c r="AD50" s="91">
        <f t="shared" si="23"/>
        <v>0</v>
      </c>
      <c r="AE50" s="93">
        <f t="shared" si="24"/>
        <v>0</v>
      </c>
      <c r="AF50" s="93">
        <f t="shared" si="25"/>
        <v>0</v>
      </c>
      <c r="AG50" s="93">
        <f t="shared" si="26"/>
        <v>0</v>
      </c>
      <c r="AH50" s="93">
        <f t="shared" si="27"/>
        <v>0</v>
      </c>
      <c r="AI50" s="93">
        <f t="shared" si="28"/>
        <v>0</v>
      </c>
      <c r="AJ50" s="93">
        <f t="shared" si="29"/>
        <v>0</v>
      </c>
      <c r="AK50" s="93">
        <f t="shared" si="30"/>
        <v>0</v>
      </c>
      <c r="AL50" s="93">
        <f t="shared" si="31"/>
        <v>0</v>
      </c>
      <c r="AM50" s="92">
        <f t="shared" si="32"/>
        <v>0</v>
      </c>
      <c r="AN50" s="1" t="str">
        <f t="shared" si="59"/>
        <v xml:space="preserve"> </v>
      </c>
      <c r="AO50" s="1" t="str">
        <f t="shared" si="60"/>
        <v xml:space="preserve"> </v>
      </c>
      <c r="AP50" s="1" t="str">
        <f t="shared" si="35"/>
        <v xml:space="preserve"> </v>
      </c>
      <c r="AQ50" s="1" t="str">
        <f t="shared" si="61"/>
        <v xml:space="preserve"> </v>
      </c>
      <c r="AR50" s="1" t="str">
        <f t="shared" si="62"/>
        <v xml:space="preserve"> </v>
      </c>
      <c r="AS50" s="1" t="str">
        <f t="shared" si="38"/>
        <v xml:space="preserve"> </v>
      </c>
      <c r="AT50" s="1" t="str">
        <f t="shared" si="39"/>
        <v xml:space="preserve"> </v>
      </c>
      <c r="AU50" s="103" t="str">
        <f t="shared" si="63"/>
        <v xml:space="preserve"> </v>
      </c>
      <c r="AV50" s="111">
        <f t="shared" si="41"/>
        <v>0</v>
      </c>
      <c r="AW50" s="4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6"/>
      <c r="DM50" s="111">
        <f t="shared" si="42"/>
        <v>0</v>
      </c>
      <c r="DN50" s="4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6"/>
      <c r="GD50" s="111">
        <f t="shared" si="43"/>
        <v>0</v>
      </c>
      <c r="GE50" s="4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6"/>
      <c r="IU50" s="111">
        <f t="shared" si="44"/>
        <v>0</v>
      </c>
      <c r="IV50" s="4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6"/>
      <c r="LL50" s="111">
        <f t="shared" si="45"/>
        <v>0</v>
      </c>
      <c r="LM50" s="4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6"/>
      <c r="OC50" s="111">
        <f t="shared" si="46"/>
        <v>0</v>
      </c>
      <c r="OD50" s="4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6"/>
      <c r="QT50" s="111">
        <f t="shared" si="47"/>
        <v>0</v>
      </c>
      <c r="QU50" s="4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6"/>
      <c r="TK50" s="111">
        <f t="shared" si="48"/>
        <v>0</v>
      </c>
      <c r="TL50" s="4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6"/>
    </row>
    <row r="51" spans="1:599" s="84" customFormat="1" ht="14.25" customHeight="1" x14ac:dyDescent="0.3">
      <c r="A51" s="85"/>
      <c r="B51" s="87"/>
      <c r="C51" s="87"/>
      <c r="D51" s="86"/>
      <c r="E51" s="81"/>
      <c r="F51" s="81"/>
      <c r="G51" s="81"/>
      <c r="H51" s="81"/>
      <c r="I51" s="81"/>
      <c r="J51" s="81"/>
      <c r="K51" s="2"/>
      <c r="L51" s="2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89" t="str">
        <f t="shared" si="18"/>
        <v/>
      </c>
      <c r="Z51" s="89" t="str">
        <f t="shared" si="19"/>
        <v/>
      </c>
      <c r="AA51" s="89">
        <f t="shared" si="20"/>
        <v>0</v>
      </c>
      <c r="AB51" s="89">
        <f t="shared" si="21"/>
        <v>0</v>
      </c>
      <c r="AC51" s="90">
        <f t="shared" si="22"/>
        <v>0</v>
      </c>
      <c r="AD51" s="91">
        <f t="shared" si="23"/>
        <v>0</v>
      </c>
      <c r="AE51" s="93">
        <f t="shared" si="24"/>
        <v>0</v>
      </c>
      <c r="AF51" s="93">
        <f t="shared" si="25"/>
        <v>0</v>
      </c>
      <c r="AG51" s="93">
        <f t="shared" si="26"/>
        <v>0</v>
      </c>
      <c r="AH51" s="93">
        <f t="shared" si="27"/>
        <v>0</v>
      </c>
      <c r="AI51" s="93">
        <f t="shared" si="28"/>
        <v>0</v>
      </c>
      <c r="AJ51" s="93">
        <f t="shared" si="29"/>
        <v>0</v>
      </c>
      <c r="AK51" s="93">
        <f t="shared" si="30"/>
        <v>0</v>
      </c>
      <c r="AL51" s="93">
        <f t="shared" si="31"/>
        <v>0</v>
      </c>
      <c r="AM51" s="92">
        <f t="shared" si="32"/>
        <v>0</v>
      </c>
      <c r="AN51" s="1" t="str">
        <f t="shared" si="59"/>
        <v xml:space="preserve"> </v>
      </c>
      <c r="AO51" s="1" t="str">
        <f t="shared" si="60"/>
        <v xml:space="preserve"> </v>
      </c>
      <c r="AP51" s="1" t="str">
        <f t="shared" si="35"/>
        <v xml:space="preserve"> </v>
      </c>
      <c r="AQ51" s="1" t="str">
        <f t="shared" si="61"/>
        <v xml:space="preserve"> </v>
      </c>
      <c r="AR51" s="1" t="str">
        <f t="shared" si="62"/>
        <v xml:space="preserve"> </v>
      </c>
      <c r="AS51" s="1" t="str">
        <f t="shared" si="38"/>
        <v xml:space="preserve"> </v>
      </c>
      <c r="AT51" s="1" t="str">
        <f t="shared" si="39"/>
        <v xml:space="preserve"> </v>
      </c>
      <c r="AU51" s="103" t="str">
        <f t="shared" si="63"/>
        <v xml:space="preserve"> </v>
      </c>
      <c r="AV51" s="111">
        <f t="shared" si="41"/>
        <v>0</v>
      </c>
      <c r="AW51" s="4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6"/>
      <c r="DM51" s="111">
        <f t="shared" si="42"/>
        <v>0</v>
      </c>
      <c r="DN51" s="4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6"/>
      <c r="GD51" s="111">
        <f t="shared" si="43"/>
        <v>0</v>
      </c>
      <c r="GE51" s="4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6"/>
      <c r="IU51" s="111">
        <f t="shared" si="44"/>
        <v>0</v>
      </c>
      <c r="IV51" s="4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6"/>
      <c r="LL51" s="111">
        <f t="shared" si="45"/>
        <v>0</v>
      </c>
      <c r="LM51" s="4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6"/>
      <c r="OC51" s="111">
        <f t="shared" si="46"/>
        <v>0</v>
      </c>
      <c r="OD51" s="4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6"/>
      <c r="QT51" s="111">
        <f t="shared" si="47"/>
        <v>0</v>
      </c>
      <c r="QU51" s="4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6"/>
      <c r="TK51" s="111">
        <f t="shared" si="48"/>
        <v>0</v>
      </c>
      <c r="TL51" s="4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6"/>
    </row>
    <row r="52" spans="1:599" s="84" customFormat="1" ht="14.25" customHeight="1" x14ac:dyDescent="0.3">
      <c r="A52" s="85"/>
      <c r="B52" s="87"/>
      <c r="C52" s="87"/>
      <c r="D52" s="86"/>
      <c r="E52" s="2"/>
      <c r="F52" s="2"/>
      <c r="G52" s="2"/>
      <c r="H52" s="2"/>
      <c r="I52" s="2"/>
      <c r="J52" s="81"/>
      <c r="K52" s="2"/>
      <c r="L52" s="2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89" t="str">
        <f t="shared" si="18"/>
        <v/>
      </c>
      <c r="Z52" s="89" t="str">
        <f t="shared" si="19"/>
        <v/>
      </c>
      <c r="AA52" s="89">
        <f t="shared" si="20"/>
        <v>0</v>
      </c>
      <c r="AB52" s="89">
        <f t="shared" si="21"/>
        <v>0</v>
      </c>
      <c r="AC52" s="90">
        <f t="shared" si="22"/>
        <v>0</v>
      </c>
      <c r="AD52" s="91">
        <f t="shared" si="23"/>
        <v>0</v>
      </c>
      <c r="AE52" s="93">
        <f t="shared" si="24"/>
        <v>0</v>
      </c>
      <c r="AF52" s="93">
        <f t="shared" si="25"/>
        <v>0</v>
      </c>
      <c r="AG52" s="93">
        <f t="shared" si="26"/>
        <v>0</v>
      </c>
      <c r="AH52" s="93">
        <f t="shared" si="27"/>
        <v>0</v>
      </c>
      <c r="AI52" s="93">
        <f t="shared" si="28"/>
        <v>0</v>
      </c>
      <c r="AJ52" s="93">
        <f t="shared" si="29"/>
        <v>0</v>
      </c>
      <c r="AK52" s="93">
        <f t="shared" si="30"/>
        <v>0</v>
      </c>
      <c r="AL52" s="93">
        <f t="shared" si="31"/>
        <v>0</v>
      </c>
      <c r="AM52" s="92">
        <f t="shared" si="32"/>
        <v>0</v>
      </c>
      <c r="AN52" s="1" t="str">
        <f t="shared" si="59"/>
        <v xml:space="preserve"> </v>
      </c>
      <c r="AO52" s="1" t="str">
        <f t="shared" si="60"/>
        <v xml:space="preserve"> </v>
      </c>
      <c r="AP52" s="1" t="str">
        <f t="shared" si="35"/>
        <v xml:space="preserve"> </v>
      </c>
      <c r="AQ52" s="1" t="str">
        <f t="shared" si="61"/>
        <v xml:space="preserve"> </v>
      </c>
      <c r="AR52" s="1" t="str">
        <f t="shared" si="62"/>
        <v xml:space="preserve"> </v>
      </c>
      <c r="AS52" s="1" t="str">
        <f t="shared" si="38"/>
        <v xml:space="preserve"> </v>
      </c>
      <c r="AT52" s="1" t="str">
        <f t="shared" si="39"/>
        <v xml:space="preserve"> </v>
      </c>
      <c r="AU52" s="103" t="str">
        <f t="shared" si="63"/>
        <v xml:space="preserve"> </v>
      </c>
      <c r="AV52" s="111">
        <f t="shared" si="41"/>
        <v>0</v>
      </c>
      <c r="AW52" s="4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6"/>
      <c r="DM52" s="111">
        <f t="shared" si="42"/>
        <v>0</v>
      </c>
      <c r="DN52" s="4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6"/>
      <c r="GD52" s="111">
        <f t="shared" si="43"/>
        <v>0</v>
      </c>
      <c r="GE52" s="4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6"/>
      <c r="IU52" s="111">
        <f t="shared" si="44"/>
        <v>0</v>
      </c>
      <c r="IV52" s="4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6"/>
      <c r="LL52" s="111">
        <f t="shared" si="45"/>
        <v>0</v>
      </c>
      <c r="LM52" s="4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6"/>
      <c r="OC52" s="111">
        <f t="shared" si="46"/>
        <v>0</v>
      </c>
      <c r="OD52" s="4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6"/>
      <c r="QT52" s="111">
        <f t="shared" si="47"/>
        <v>0</v>
      </c>
      <c r="QU52" s="4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6"/>
      <c r="TK52" s="111">
        <f t="shared" si="48"/>
        <v>0</v>
      </c>
      <c r="TL52" s="4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6"/>
    </row>
    <row r="53" spans="1:599" s="84" customFormat="1" ht="14.25" customHeight="1" x14ac:dyDescent="0.3">
      <c r="A53" s="85"/>
      <c r="B53" s="87"/>
      <c r="C53" s="87"/>
      <c r="D53" s="86"/>
      <c r="E53" s="2"/>
      <c r="F53" s="2"/>
      <c r="G53" s="2"/>
      <c r="H53" s="2"/>
      <c r="I53" s="2"/>
      <c r="J53" s="2"/>
      <c r="K53" s="2"/>
      <c r="L53" s="2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89" t="str">
        <f t="shared" si="18"/>
        <v/>
      </c>
      <c r="Z53" s="89" t="str">
        <f t="shared" si="19"/>
        <v/>
      </c>
      <c r="AA53" s="89">
        <f t="shared" si="20"/>
        <v>0</v>
      </c>
      <c r="AB53" s="89">
        <f t="shared" si="21"/>
        <v>0</v>
      </c>
      <c r="AC53" s="90">
        <f t="shared" si="22"/>
        <v>0</v>
      </c>
      <c r="AD53" s="91">
        <f t="shared" si="23"/>
        <v>0</v>
      </c>
      <c r="AE53" s="93">
        <f t="shared" si="24"/>
        <v>0</v>
      </c>
      <c r="AF53" s="93">
        <f t="shared" si="25"/>
        <v>0</v>
      </c>
      <c r="AG53" s="93">
        <f t="shared" si="26"/>
        <v>0</v>
      </c>
      <c r="AH53" s="93">
        <f t="shared" si="27"/>
        <v>0</v>
      </c>
      <c r="AI53" s="93">
        <f t="shared" si="28"/>
        <v>0</v>
      </c>
      <c r="AJ53" s="93">
        <f t="shared" si="29"/>
        <v>0</v>
      </c>
      <c r="AK53" s="93">
        <f t="shared" si="30"/>
        <v>0</v>
      </c>
      <c r="AL53" s="93">
        <f t="shared" si="31"/>
        <v>0</v>
      </c>
      <c r="AM53" s="92">
        <f t="shared" si="32"/>
        <v>0</v>
      </c>
      <c r="AN53" s="1" t="str">
        <f t="shared" si="59"/>
        <v xml:space="preserve"> </v>
      </c>
      <c r="AO53" s="1" t="str">
        <f t="shared" si="60"/>
        <v xml:space="preserve"> </v>
      </c>
      <c r="AP53" s="1" t="str">
        <f t="shared" si="35"/>
        <v xml:space="preserve"> </v>
      </c>
      <c r="AQ53" s="1" t="str">
        <f t="shared" si="61"/>
        <v xml:space="preserve"> </v>
      </c>
      <c r="AR53" s="1" t="str">
        <f t="shared" si="62"/>
        <v xml:space="preserve"> </v>
      </c>
      <c r="AS53" s="1" t="str">
        <f t="shared" si="38"/>
        <v xml:space="preserve"> </v>
      </c>
      <c r="AT53" s="1" t="str">
        <f t="shared" si="39"/>
        <v xml:space="preserve"> </v>
      </c>
      <c r="AU53" s="103" t="str">
        <f t="shared" si="63"/>
        <v xml:space="preserve"> </v>
      </c>
      <c r="AV53" s="111">
        <f t="shared" si="41"/>
        <v>0</v>
      </c>
      <c r="AW53" s="4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6"/>
      <c r="DM53" s="111">
        <f t="shared" si="42"/>
        <v>0</v>
      </c>
      <c r="DN53" s="4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6"/>
      <c r="GD53" s="111">
        <f t="shared" si="43"/>
        <v>0</v>
      </c>
      <c r="GE53" s="4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6"/>
      <c r="IU53" s="111">
        <f t="shared" si="44"/>
        <v>0</v>
      </c>
      <c r="IV53" s="4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6"/>
      <c r="LL53" s="111">
        <f t="shared" si="45"/>
        <v>0</v>
      </c>
      <c r="LM53" s="4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6"/>
      <c r="OC53" s="111">
        <f t="shared" si="46"/>
        <v>0</v>
      </c>
      <c r="OD53" s="4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6"/>
      <c r="QT53" s="111">
        <f t="shared" si="47"/>
        <v>0</v>
      </c>
      <c r="QU53" s="4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6"/>
      <c r="TK53" s="111">
        <f t="shared" si="48"/>
        <v>0</v>
      </c>
      <c r="TL53" s="4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6"/>
    </row>
    <row r="54" spans="1:599" s="84" customFormat="1" ht="14.25" customHeight="1" x14ac:dyDescent="0.3">
      <c r="A54" s="41"/>
      <c r="B54" s="39"/>
      <c r="C54" s="40"/>
      <c r="D54" s="40"/>
      <c r="E54" s="2"/>
      <c r="F54" s="2"/>
      <c r="G54" s="2"/>
      <c r="H54" s="2"/>
      <c r="I54" s="2"/>
      <c r="J54" s="2"/>
      <c r="K54" s="2"/>
      <c r="L54" s="2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89" t="str">
        <f t="shared" si="18"/>
        <v/>
      </c>
      <c r="Z54" s="89" t="str">
        <f t="shared" si="19"/>
        <v/>
      </c>
      <c r="AA54" s="89">
        <f t="shared" si="20"/>
        <v>0</v>
      </c>
      <c r="AB54" s="89">
        <f t="shared" si="21"/>
        <v>0</v>
      </c>
      <c r="AC54" s="90">
        <f t="shared" si="22"/>
        <v>0</v>
      </c>
      <c r="AD54" s="91">
        <f t="shared" si="23"/>
        <v>0</v>
      </c>
      <c r="AE54" s="93">
        <f t="shared" si="24"/>
        <v>0</v>
      </c>
      <c r="AF54" s="93">
        <f t="shared" si="25"/>
        <v>0</v>
      </c>
      <c r="AG54" s="93">
        <f t="shared" si="26"/>
        <v>0</v>
      </c>
      <c r="AH54" s="93">
        <f t="shared" si="27"/>
        <v>0</v>
      </c>
      <c r="AI54" s="93">
        <f t="shared" si="28"/>
        <v>0</v>
      </c>
      <c r="AJ54" s="93">
        <f t="shared" si="29"/>
        <v>0</v>
      </c>
      <c r="AK54" s="93">
        <f t="shared" si="30"/>
        <v>0</v>
      </c>
      <c r="AL54" s="93">
        <f t="shared" si="31"/>
        <v>0</v>
      </c>
      <c r="AM54" s="92">
        <f t="shared" si="32"/>
        <v>0</v>
      </c>
      <c r="AN54" s="1" t="str">
        <f t="shared" si="59"/>
        <v xml:space="preserve"> </v>
      </c>
      <c r="AO54" s="1" t="str">
        <f t="shared" si="60"/>
        <v xml:space="preserve"> </v>
      </c>
      <c r="AP54" s="1" t="str">
        <f t="shared" si="35"/>
        <v xml:space="preserve"> </v>
      </c>
      <c r="AQ54" s="1" t="str">
        <f t="shared" si="61"/>
        <v xml:space="preserve"> </v>
      </c>
      <c r="AR54" s="1" t="str">
        <f t="shared" si="62"/>
        <v xml:space="preserve"> </v>
      </c>
      <c r="AS54" s="1" t="str">
        <f t="shared" si="38"/>
        <v xml:space="preserve"> </v>
      </c>
      <c r="AT54" s="1" t="str">
        <f t="shared" si="39"/>
        <v xml:space="preserve"> </v>
      </c>
      <c r="AU54" s="103" t="str">
        <f t="shared" si="63"/>
        <v xml:space="preserve"> </v>
      </c>
      <c r="AV54" s="111">
        <f t="shared" si="41"/>
        <v>0</v>
      </c>
      <c r="AW54" s="4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6"/>
      <c r="DM54" s="111">
        <f t="shared" si="42"/>
        <v>0</v>
      </c>
      <c r="DN54" s="4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6"/>
      <c r="GD54" s="111">
        <f t="shared" si="43"/>
        <v>0</v>
      </c>
      <c r="GE54" s="4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6"/>
      <c r="IU54" s="111">
        <f t="shared" si="44"/>
        <v>0</v>
      </c>
      <c r="IV54" s="4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6"/>
      <c r="LL54" s="111">
        <f t="shared" si="45"/>
        <v>0</v>
      </c>
      <c r="LM54" s="4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6"/>
      <c r="OC54" s="111">
        <f t="shared" si="46"/>
        <v>0</v>
      </c>
      <c r="OD54" s="4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6"/>
      <c r="QT54" s="111">
        <f t="shared" si="47"/>
        <v>0</v>
      </c>
      <c r="QU54" s="4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6"/>
      <c r="TK54" s="111">
        <f t="shared" si="48"/>
        <v>0</v>
      </c>
      <c r="TL54" s="4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6"/>
    </row>
    <row r="55" spans="1:599" s="84" customFormat="1" ht="14.25" customHeight="1" x14ac:dyDescent="0.3">
      <c r="A55" s="41"/>
      <c r="B55" s="39"/>
      <c r="C55" s="40"/>
      <c r="D55" s="40"/>
      <c r="E55" s="2"/>
      <c r="F55" s="2"/>
      <c r="G55" s="2"/>
      <c r="H55" s="2"/>
      <c r="I55" s="2"/>
      <c r="J55" s="2"/>
      <c r="K55" s="2"/>
      <c r="L55" s="2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89" t="str">
        <f t="shared" si="18"/>
        <v/>
      </c>
      <c r="Z55" s="89" t="str">
        <f t="shared" si="19"/>
        <v/>
      </c>
      <c r="AA55" s="89">
        <f t="shared" si="20"/>
        <v>0</v>
      </c>
      <c r="AB55" s="89">
        <f t="shared" si="21"/>
        <v>0</v>
      </c>
      <c r="AC55" s="90">
        <f t="shared" si="22"/>
        <v>0</v>
      </c>
      <c r="AD55" s="91">
        <f t="shared" si="23"/>
        <v>0</v>
      </c>
      <c r="AE55" s="93">
        <f t="shared" si="24"/>
        <v>0</v>
      </c>
      <c r="AF55" s="93">
        <f t="shared" si="25"/>
        <v>0</v>
      </c>
      <c r="AG55" s="93">
        <f t="shared" si="26"/>
        <v>0</v>
      </c>
      <c r="AH55" s="93">
        <f t="shared" si="27"/>
        <v>0</v>
      </c>
      <c r="AI55" s="93">
        <f t="shared" si="28"/>
        <v>0</v>
      </c>
      <c r="AJ55" s="93">
        <f t="shared" si="29"/>
        <v>0</v>
      </c>
      <c r="AK55" s="93">
        <f t="shared" si="30"/>
        <v>0</v>
      </c>
      <c r="AL55" s="93">
        <f t="shared" si="31"/>
        <v>0</v>
      </c>
      <c r="AM55" s="92">
        <f t="shared" si="32"/>
        <v>0</v>
      </c>
      <c r="AN55" s="1" t="str">
        <f t="shared" si="59"/>
        <v xml:space="preserve"> </v>
      </c>
      <c r="AO55" s="1" t="str">
        <f t="shared" si="60"/>
        <v xml:space="preserve"> </v>
      </c>
      <c r="AP55" s="1" t="str">
        <f t="shared" si="35"/>
        <v xml:space="preserve"> </v>
      </c>
      <c r="AQ55" s="1" t="str">
        <f t="shared" si="61"/>
        <v xml:space="preserve"> </v>
      </c>
      <c r="AR55" s="1" t="str">
        <f t="shared" si="62"/>
        <v xml:space="preserve"> </v>
      </c>
      <c r="AS55" s="1" t="str">
        <f t="shared" si="38"/>
        <v xml:space="preserve"> </v>
      </c>
      <c r="AT55" s="1" t="str">
        <f t="shared" si="39"/>
        <v xml:space="preserve"> </v>
      </c>
      <c r="AU55" s="103" t="str">
        <f t="shared" si="63"/>
        <v xml:space="preserve"> </v>
      </c>
      <c r="AV55" s="111">
        <f t="shared" si="41"/>
        <v>0</v>
      </c>
      <c r="AW55" s="4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6"/>
      <c r="DM55" s="111">
        <f t="shared" si="42"/>
        <v>0</v>
      </c>
      <c r="DN55" s="4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6"/>
      <c r="GD55" s="111">
        <f t="shared" si="43"/>
        <v>0</v>
      </c>
      <c r="GE55" s="4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6"/>
      <c r="IU55" s="111">
        <f t="shared" si="44"/>
        <v>0</v>
      </c>
      <c r="IV55" s="4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6"/>
      <c r="LL55" s="111">
        <f t="shared" si="45"/>
        <v>0</v>
      </c>
      <c r="LM55" s="4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6"/>
      <c r="OC55" s="111">
        <f t="shared" si="46"/>
        <v>0</v>
      </c>
      <c r="OD55" s="4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6"/>
      <c r="QT55" s="111">
        <f t="shared" si="47"/>
        <v>0</v>
      </c>
      <c r="QU55" s="4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6"/>
      <c r="TK55" s="111">
        <f t="shared" si="48"/>
        <v>0</v>
      </c>
      <c r="TL55" s="4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6"/>
    </row>
    <row r="56" spans="1:599" s="84" customFormat="1" ht="14.25" customHeight="1" x14ac:dyDescent="0.3">
      <c r="A56" s="41"/>
      <c r="B56" s="39"/>
      <c r="C56" s="40"/>
      <c r="D56" s="40"/>
      <c r="E56" s="2"/>
      <c r="F56" s="2"/>
      <c r="G56" s="2"/>
      <c r="H56" s="2"/>
      <c r="I56" s="2"/>
      <c r="J56" s="2"/>
      <c r="K56" s="2"/>
      <c r="L56" s="2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89" t="str">
        <f t="shared" si="18"/>
        <v/>
      </c>
      <c r="Z56" s="89" t="str">
        <f t="shared" si="19"/>
        <v/>
      </c>
      <c r="AA56" s="89">
        <f t="shared" si="20"/>
        <v>0</v>
      </c>
      <c r="AB56" s="89">
        <f t="shared" si="21"/>
        <v>0</v>
      </c>
      <c r="AC56" s="90">
        <f t="shared" si="22"/>
        <v>0</v>
      </c>
      <c r="AD56" s="91">
        <f t="shared" si="23"/>
        <v>0</v>
      </c>
      <c r="AE56" s="93">
        <f t="shared" si="24"/>
        <v>0</v>
      </c>
      <c r="AF56" s="93">
        <f t="shared" si="25"/>
        <v>0</v>
      </c>
      <c r="AG56" s="93">
        <f t="shared" si="26"/>
        <v>0</v>
      </c>
      <c r="AH56" s="93">
        <f t="shared" si="27"/>
        <v>0</v>
      </c>
      <c r="AI56" s="93">
        <f t="shared" si="28"/>
        <v>0</v>
      </c>
      <c r="AJ56" s="93">
        <f t="shared" si="29"/>
        <v>0</v>
      </c>
      <c r="AK56" s="93">
        <f t="shared" si="30"/>
        <v>0</v>
      </c>
      <c r="AL56" s="93">
        <f t="shared" si="31"/>
        <v>0</v>
      </c>
      <c r="AM56" s="92">
        <f t="shared" si="32"/>
        <v>0</v>
      </c>
      <c r="AN56" s="1" t="str">
        <f t="shared" si="59"/>
        <v xml:space="preserve"> </v>
      </c>
      <c r="AO56" s="1" t="str">
        <f t="shared" si="60"/>
        <v xml:space="preserve"> </v>
      </c>
      <c r="AP56" s="1" t="str">
        <f t="shared" si="35"/>
        <v xml:space="preserve"> </v>
      </c>
      <c r="AQ56" s="1" t="str">
        <f t="shared" si="61"/>
        <v xml:space="preserve"> </v>
      </c>
      <c r="AR56" s="1" t="str">
        <f t="shared" si="62"/>
        <v xml:space="preserve"> </v>
      </c>
      <c r="AS56" s="1" t="str">
        <f t="shared" si="38"/>
        <v xml:space="preserve"> </v>
      </c>
      <c r="AT56" s="1" t="str">
        <f t="shared" si="39"/>
        <v xml:space="preserve"> </v>
      </c>
      <c r="AU56" s="103" t="str">
        <f t="shared" si="63"/>
        <v xml:space="preserve"> </v>
      </c>
      <c r="AV56" s="111">
        <f t="shared" si="41"/>
        <v>0</v>
      </c>
      <c r="AW56" s="4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6"/>
      <c r="DM56" s="111">
        <f t="shared" si="42"/>
        <v>0</v>
      </c>
      <c r="DN56" s="4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6"/>
      <c r="GD56" s="111">
        <f t="shared" si="43"/>
        <v>0</v>
      </c>
      <c r="GE56" s="4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6"/>
      <c r="IU56" s="111">
        <f t="shared" si="44"/>
        <v>0</v>
      </c>
      <c r="IV56" s="4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6"/>
      <c r="LL56" s="111">
        <f t="shared" si="45"/>
        <v>0</v>
      </c>
      <c r="LM56" s="4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6"/>
      <c r="OC56" s="111">
        <f t="shared" si="46"/>
        <v>0</v>
      </c>
      <c r="OD56" s="4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6"/>
      <c r="QT56" s="111">
        <f t="shared" si="47"/>
        <v>0</v>
      </c>
      <c r="QU56" s="4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6"/>
      <c r="TK56" s="111">
        <f t="shared" si="48"/>
        <v>0</v>
      </c>
      <c r="TL56" s="4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6"/>
    </row>
    <row r="57" spans="1:599" s="84" customFormat="1" ht="14.25" customHeight="1" x14ac:dyDescent="0.3">
      <c r="A57" s="85"/>
      <c r="B57" s="87"/>
      <c r="C57" s="87"/>
      <c r="D57" s="86"/>
      <c r="E57" s="81"/>
      <c r="F57" s="81"/>
      <c r="G57" s="81"/>
      <c r="H57" s="81"/>
      <c r="I57" s="81"/>
      <c r="J57" s="81"/>
      <c r="K57" s="2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89" t="str">
        <f t="shared" si="18"/>
        <v/>
      </c>
      <c r="Z57" s="89" t="str">
        <f t="shared" si="19"/>
        <v/>
      </c>
      <c r="AA57" s="89">
        <f t="shared" si="20"/>
        <v>0</v>
      </c>
      <c r="AB57" s="89">
        <f t="shared" si="21"/>
        <v>0</v>
      </c>
      <c r="AC57" s="90">
        <f t="shared" si="22"/>
        <v>0</v>
      </c>
      <c r="AD57" s="91">
        <f t="shared" si="23"/>
        <v>0</v>
      </c>
      <c r="AE57" s="93">
        <f t="shared" si="24"/>
        <v>0</v>
      </c>
      <c r="AF57" s="93">
        <f t="shared" si="25"/>
        <v>0</v>
      </c>
      <c r="AG57" s="93">
        <f t="shared" si="26"/>
        <v>0</v>
      </c>
      <c r="AH57" s="93">
        <f t="shared" si="27"/>
        <v>0</v>
      </c>
      <c r="AI57" s="93">
        <f t="shared" si="28"/>
        <v>0</v>
      </c>
      <c r="AJ57" s="93">
        <f t="shared" si="29"/>
        <v>0</v>
      </c>
      <c r="AK57" s="93">
        <f t="shared" si="30"/>
        <v>0</v>
      </c>
      <c r="AL57" s="93">
        <f t="shared" si="31"/>
        <v>0</v>
      </c>
      <c r="AM57" s="92">
        <f t="shared" si="32"/>
        <v>0</v>
      </c>
      <c r="AN57" s="1" t="str">
        <f t="shared" si="59"/>
        <v xml:space="preserve"> </v>
      </c>
      <c r="AO57" s="1" t="str">
        <f t="shared" si="60"/>
        <v xml:space="preserve"> </v>
      </c>
      <c r="AP57" s="1" t="str">
        <f t="shared" si="35"/>
        <v xml:space="preserve"> </v>
      </c>
      <c r="AQ57" s="1" t="str">
        <f t="shared" si="61"/>
        <v xml:space="preserve"> </v>
      </c>
      <c r="AR57" s="1" t="str">
        <f t="shared" si="62"/>
        <v xml:space="preserve"> </v>
      </c>
      <c r="AS57" s="1" t="str">
        <f t="shared" si="38"/>
        <v xml:space="preserve"> </v>
      </c>
      <c r="AT57" s="1" t="str">
        <f t="shared" si="39"/>
        <v xml:space="preserve"> </v>
      </c>
      <c r="AU57" s="103" t="str">
        <f t="shared" si="63"/>
        <v xml:space="preserve"> </v>
      </c>
      <c r="AV57" s="111">
        <f t="shared" si="41"/>
        <v>0</v>
      </c>
      <c r="AW57" s="4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6"/>
      <c r="DM57" s="111">
        <f t="shared" si="42"/>
        <v>0</v>
      </c>
      <c r="DN57" s="4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6"/>
      <c r="GD57" s="111">
        <f t="shared" si="43"/>
        <v>0</v>
      </c>
      <c r="GE57" s="4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6"/>
      <c r="IU57" s="111">
        <f t="shared" si="44"/>
        <v>0</v>
      </c>
      <c r="IV57" s="4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6"/>
      <c r="LL57" s="111">
        <f t="shared" si="45"/>
        <v>0</v>
      </c>
      <c r="LM57" s="4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6"/>
      <c r="OC57" s="111">
        <f t="shared" si="46"/>
        <v>0</v>
      </c>
      <c r="OD57" s="4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6"/>
      <c r="QT57" s="111">
        <f t="shared" si="47"/>
        <v>0</v>
      </c>
      <c r="QU57" s="4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6"/>
      <c r="TK57" s="111">
        <f t="shared" si="48"/>
        <v>0</v>
      </c>
      <c r="TL57" s="4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6"/>
    </row>
    <row r="58" spans="1:599" s="84" customFormat="1" ht="14.25" customHeight="1" x14ac:dyDescent="0.3">
      <c r="A58" s="85"/>
      <c r="B58" s="87"/>
      <c r="C58" s="87"/>
      <c r="D58" s="86"/>
      <c r="E58" s="2"/>
      <c r="F58" s="2"/>
      <c r="G58" s="2"/>
      <c r="H58" s="2"/>
      <c r="I58" s="2"/>
      <c r="J58" s="81"/>
      <c r="K58" s="2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89" t="str">
        <f t="shared" si="18"/>
        <v/>
      </c>
      <c r="Z58" s="89" t="str">
        <f t="shared" si="19"/>
        <v/>
      </c>
      <c r="AA58" s="89">
        <f t="shared" si="20"/>
        <v>0</v>
      </c>
      <c r="AB58" s="89">
        <f t="shared" si="21"/>
        <v>0</v>
      </c>
      <c r="AC58" s="90">
        <f t="shared" si="22"/>
        <v>0</v>
      </c>
      <c r="AD58" s="91">
        <f t="shared" si="23"/>
        <v>0</v>
      </c>
      <c r="AE58" s="93">
        <f t="shared" si="24"/>
        <v>0</v>
      </c>
      <c r="AF58" s="93">
        <f t="shared" si="25"/>
        <v>0</v>
      </c>
      <c r="AG58" s="93">
        <f t="shared" si="26"/>
        <v>0</v>
      </c>
      <c r="AH58" s="93">
        <f t="shared" si="27"/>
        <v>0</v>
      </c>
      <c r="AI58" s="93">
        <f t="shared" si="28"/>
        <v>0</v>
      </c>
      <c r="AJ58" s="93">
        <f t="shared" si="29"/>
        <v>0</v>
      </c>
      <c r="AK58" s="93">
        <f t="shared" si="30"/>
        <v>0</v>
      </c>
      <c r="AL58" s="93">
        <f t="shared" si="31"/>
        <v>0</v>
      </c>
      <c r="AM58" s="92">
        <f t="shared" si="32"/>
        <v>0</v>
      </c>
      <c r="AN58" s="1" t="str">
        <f t="shared" si="59"/>
        <v xml:space="preserve"> </v>
      </c>
      <c r="AO58" s="1" t="str">
        <f t="shared" si="60"/>
        <v xml:space="preserve"> </v>
      </c>
      <c r="AP58" s="1" t="str">
        <f t="shared" si="35"/>
        <v xml:space="preserve"> </v>
      </c>
      <c r="AQ58" s="1" t="str">
        <f t="shared" si="61"/>
        <v xml:space="preserve"> </v>
      </c>
      <c r="AR58" s="1" t="str">
        <f t="shared" si="62"/>
        <v xml:space="preserve"> </v>
      </c>
      <c r="AS58" s="1" t="str">
        <f t="shared" si="38"/>
        <v xml:space="preserve"> </v>
      </c>
      <c r="AT58" s="1" t="str">
        <f t="shared" si="39"/>
        <v xml:space="preserve"> </v>
      </c>
      <c r="AU58" s="103" t="str">
        <f t="shared" si="63"/>
        <v xml:space="preserve"> </v>
      </c>
      <c r="AV58" s="111">
        <f t="shared" si="41"/>
        <v>0</v>
      </c>
      <c r="AW58" s="4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6"/>
      <c r="DM58" s="111">
        <f t="shared" si="42"/>
        <v>0</v>
      </c>
      <c r="DN58" s="4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6"/>
      <c r="GD58" s="111">
        <f t="shared" si="43"/>
        <v>0</v>
      </c>
      <c r="GE58" s="4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6"/>
      <c r="IU58" s="111">
        <f t="shared" si="44"/>
        <v>0</v>
      </c>
      <c r="IV58" s="4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6"/>
      <c r="LL58" s="111">
        <f t="shared" si="45"/>
        <v>0</v>
      </c>
      <c r="LM58" s="4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6"/>
      <c r="OC58" s="111">
        <f t="shared" si="46"/>
        <v>0</v>
      </c>
      <c r="OD58" s="4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6"/>
      <c r="QT58" s="111">
        <f t="shared" si="47"/>
        <v>0</v>
      </c>
      <c r="QU58" s="4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6"/>
      <c r="TK58" s="111">
        <f t="shared" si="48"/>
        <v>0</v>
      </c>
      <c r="TL58" s="4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6"/>
    </row>
    <row r="59" spans="1:599" s="84" customFormat="1" ht="14.25" customHeight="1" x14ac:dyDescent="0.3">
      <c r="A59" s="85"/>
      <c r="B59" s="87"/>
      <c r="C59" s="87"/>
      <c r="D59" s="86"/>
      <c r="E59" s="2"/>
      <c r="F59" s="2"/>
      <c r="G59" s="2"/>
      <c r="H59" s="2"/>
      <c r="I59" s="2"/>
      <c r="J59" s="2"/>
      <c r="K59" s="2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89" t="str">
        <f t="shared" si="18"/>
        <v/>
      </c>
      <c r="Z59" s="89" t="str">
        <f t="shared" si="19"/>
        <v/>
      </c>
      <c r="AA59" s="89">
        <f t="shared" si="20"/>
        <v>0</v>
      </c>
      <c r="AB59" s="89">
        <f t="shared" si="21"/>
        <v>0</v>
      </c>
      <c r="AC59" s="90">
        <f t="shared" si="22"/>
        <v>0</v>
      </c>
      <c r="AD59" s="91">
        <f t="shared" si="23"/>
        <v>0</v>
      </c>
      <c r="AE59" s="93">
        <f t="shared" si="24"/>
        <v>0</v>
      </c>
      <c r="AF59" s="93">
        <f t="shared" si="25"/>
        <v>0</v>
      </c>
      <c r="AG59" s="93">
        <f t="shared" si="26"/>
        <v>0</v>
      </c>
      <c r="AH59" s="93">
        <f t="shared" si="27"/>
        <v>0</v>
      </c>
      <c r="AI59" s="93">
        <f t="shared" si="28"/>
        <v>0</v>
      </c>
      <c r="AJ59" s="93">
        <f t="shared" si="29"/>
        <v>0</v>
      </c>
      <c r="AK59" s="93">
        <f t="shared" si="30"/>
        <v>0</v>
      </c>
      <c r="AL59" s="93">
        <f t="shared" si="31"/>
        <v>0</v>
      </c>
      <c r="AM59" s="92">
        <f t="shared" si="32"/>
        <v>0</v>
      </c>
      <c r="AN59" s="1" t="str">
        <f t="shared" si="59"/>
        <v xml:space="preserve"> </v>
      </c>
      <c r="AO59" s="1" t="str">
        <f t="shared" si="60"/>
        <v xml:space="preserve"> </v>
      </c>
      <c r="AP59" s="1" t="str">
        <f t="shared" si="35"/>
        <v xml:space="preserve"> </v>
      </c>
      <c r="AQ59" s="1" t="str">
        <f t="shared" si="61"/>
        <v xml:space="preserve"> </v>
      </c>
      <c r="AR59" s="1" t="str">
        <f t="shared" si="62"/>
        <v xml:space="preserve"> </v>
      </c>
      <c r="AS59" s="1" t="str">
        <f t="shared" si="38"/>
        <v xml:space="preserve"> </v>
      </c>
      <c r="AT59" s="1" t="str">
        <f t="shared" si="39"/>
        <v xml:space="preserve"> </v>
      </c>
      <c r="AU59" s="103" t="str">
        <f t="shared" si="63"/>
        <v xml:space="preserve"> </v>
      </c>
      <c r="AV59" s="111">
        <f t="shared" si="41"/>
        <v>0</v>
      </c>
      <c r="AW59" s="4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6"/>
      <c r="DM59" s="111">
        <f t="shared" si="42"/>
        <v>0</v>
      </c>
      <c r="DN59" s="4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6"/>
      <c r="GD59" s="111">
        <f t="shared" si="43"/>
        <v>0</v>
      </c>
      <c r="GE59" s="4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6"/>
      <c r="IU59" s="111">
        <f t="shared" si="44"/>
        <v>0</v>
      </c>
      <c r="IV59" s="4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6"/>
      <c r="LL59" s="111">
        <f t="shared" si="45"/>
        <v>0</v>
      </c>
      <c r="LM59" s="4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6"/>
      <c r="OC59" s="111">
        <f t="shared" si="46"/>
        <v>0</v>
      </c>
      <c r="OD59" s="4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6"/>
      <c r="QT59" s="111">
        <f t="shared" si="47"/>
        <v>0</v>
      </c>
      <c r="QU59" s="4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6"/>
      <c r="TK59" s="111">
        <f t="shared" si="48"/>
        <v>0</v>
      </c>
      <c r="TL59" s="4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6"/>
    </row>
    <row r="60" spans="1:599" s="84" customFormat="1" ht="14.25" customHeight="1" x14ac:dyDescent="0.3">
      <c r="A60" s="41"/>
      <c r="B60" s="39"/>
      <c r="C60" s="40"/>
      <c r="D60" s="40"/>
      <c r="E60" s="2"/>
      <c r="F60" s="2"/>
      <c r="G60" s="2"/>
      <c r="H60" s="2"/>
      <c r="I60" s="2"/>
      <c r="J60" s="2"/>
      <c r="K60" s="2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89" t="str">
        <f t="shared" si="18"/>
        <v/>
      </c>
      <c r="Z60" s="89" t="str">
        <f t="shared" si="19"/>
        <v/>
      </c>
      <c r="AA60" s="89">
        <f t="shared" si="20"/>
        <v>0</v>
      </c>
      <c r="AB60" s="89">
        <f t="shared" si="21"/>
        <v>0</v>
      </c>
      <c r="AC60" s="90">
        <f t="shared" si="22"/>
        <v>0</v>
      </c>
      <c r="AD60" s="91">
        <f t="shared" si="23"/>
        <v>0</v>
      </c>
      <c r="AE60" s="93">
        <f t="shared" si="24"/>
        <v>0</v>
      </c>
      <c r="AF60" s="93">
        <f t="shared" si="25"/>
        <v>0</v>
      </c>
      <c r="AG60" s="93">
        <f t="shared" si="26"/>
        <v>0</v>
      </c>
      <c r="AH60" s="93">
        <f t="shared" si="27"/>
        <v>0</v>
      </c>
      <c r="AI60" s="93">
        <f t="shared" si="28"/>
        <v>0</v>
      </c>
      <c r="AJ60" s="93">
        <f t="shared" si="29"/>
        <v>0</v>
      </c>
      <c r="AK60" s="93">
        <f t="shared" si="30"/>
        <v>0</v>
      </c>
      <c r="AL60" s="93">
        <f t="shared" si="31"/>
        <v>0</v>
      </c>
      <c r="AM60" s="92">
        <f t="shared" si="32"/>
        <v>0</v>
      </c>
      <c r="AN60" s="1" t="str">
        <f t="shared" si="59"/>
        <v xml:space="preserve"> </v>
      </c>
      <c r="AO60" s="1" t="str">
        <f t="shared" si="60"/>
        <v xml:space="preserve"> </v>
      </c>
      <c r="AP60" s="1" t="str">
        <f t="shared" si="35"/>
        <v xml:space="preserve"> </v>
      </c>
      <c r="AQ60" s="1" t="str">
        <f t="shared" si="61"/>
        <v xml:space="preserve"> </v>
      </c>
      <c r="AR60" s="1" t="str">
        <f t="shared" si="62"/>
        <v xml:space="preserve"> </v>
      </c>
      <c r="AS60" s="1" t="str">
        <f t="shared" si="38"/>
        <v xml:space="preserve"> </v>
      </c>
      <c r="AT60" s="1" t="str">
        <f t="shared" si="39"/>
        <v xml:space="preserve"> </v>
      </c>
      <c r="AU60" s="103" t="str">
        <f t="shared" si="63"/>
        <v xml:space="preserve"> </v>
      </c>
      <c r="AV60" s="111">
        <f t="shared" si="41"/>
        <v>0</v>
      </c>
      <c r="AW60" s="4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6"/>
      <c r="DM60" s="111">
        <f t="shared" si="42"/>
        <v>0</v>
      </c>
      <c r="DN60" s="4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6"/>
      <c r="GD60" s="111">
        <f t="shared" si="43"/>
        <v>0</v>
      </c>
      <c r="GE60" s="4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6"/>
      <c r="IU60" s="111">
        <f t="shared" si="44"/>
        <v>0</v>
      </c>
      <c r="IV60" s="4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6"/>
      <c r="LL60" s="111">
        <f t="shared" si="45"/>
        <v>0</v>
      </c>
      <c r="LM60" s="4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6"/>
      <c r="OC60" s="111">
        <f t="shared" si="46"/>
        <v>0</v>
      </c>
      <c r="OD60" s="4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6"/>
      <c r="QT60" s="111">
        <f t="shared" si="47"/>
        <v>0</v>
      </c>
      <c r="QU60" s="4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6"/>
      <c r="TK60" s="111">
        <f t="shared" si="48"/>
        <v>0</v>
      </c>
      <c r="TL60" s="4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6"/>
    </row>
    <row r="61" spans="1:599" s="84" customFormat="1" ht="14.25" customHeight="1" x14ac:dyDescent="0.3">
      <c r="A61" s="85"/>
      <c r="B61" s="87"/>
      <c r="C61" s="87"/>
      <c r="D61" s="86"/>
      <c r="E61" s="81"/>
      <c r="F61" s="81"/>
      <c r="G61" s="81"/>
      <c r="H61" s="81"/>
      <c r="I61" s="81"/>
      <c r="J61" s="81"/>
      <c r="K61" s="2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89" t="str">
        <f t="shared" si="18"/>
        <v/>
      </c>
      <c r="Z61" s="89" t="str">
        <f t="shared" si="19"/>
        <v/>
      </c>
      <c r="AA61" s="89">
        <f t="shared" si="20"/>
        <v>0</v>
      </c>
      <c r="AB61" s="89">
        <f t="shared" si="21"/>
        <v>0</v>
      </c>
      <c r="AC61" s="90">
        <f t="shared" si="22"/>
        <v>0</v>
      </c>
      <c r="AD61" s="91">
        <f t="shared" si="23"/>
        <v>0</v>
      </c>
      <c r="AE61" s="93">
        <f t="shared" si="24"/>
        <v>0</v>
      </c>
      <c r="AF61" s="93">
        <f t="shared" si="25"/>
        <v>0</v>
      </c>
      <c r="AG61" s="93">
        <f t="shared" si="26"/>
        <v>0</v>
      </c>
      <c r="AH61" s="93">
        <f t="shared" si="27"/>
        <v>0</v>
      </c>
      <c r="AI61" s="93">
        <f t="shared" si="28"/>
        <v>0</v>
      </c>
      <c r="AJ61" s="93">
        <f t="shared" si="29"/>
        <v>0</v>
      </c>
      <c r="AK61" s="93">
        <f t="shared" si="30"/>
        <v>0</v>
      </c>
      <c r="AL61" s="93">
        <f t="shared" si="31"/>
        <v>0</v>
      </c>
      <c r="AM61" s="92">
        <f t="shared" si="32"/>
        <v>0</v>
      </c>
      <c r="AN61" s="1" t="str">
        <f t="shared" si="59"/>
        <v xml:space="preserve"> </v>
      </c>
      <c r="AO61" s="1" t="str">
        <f t="shared" si="60"/>
        <v xml:space="preserve"> </v>
      </c>
      <c r="AP61" s="1" t="str">
        <f t="shared" si="35"/>
        <v xml:space="preserve"> </v>
      </c>
      <c r="AQ61" s="1" t="str">
        <f t="shared" si="61"/>
        <v xml:space="preserve"> </v>
      </c>
      <c r="AR61" s="1" t="str">
        <f t="shared" si="62"/>
        <v xml:space="preserve"> </v>
      </c>
      <c r="AS61" s="1" t="str">
        <f t="shared" si="38"/>
        <v xml:space="preserve"> </v>
      </c>
      <c r="AT61" s="1" t="str">
        <f t="shared" si="39"/>
        <v xml:space="preserve"> </v>
      </c>
      <c r="AU61" s="103" t="str">
        <f t="shared" si="63"/>
        <v xml:space="preserve"> </v>
      </c>
      <c r="AV61" s="111">
        <f t="shared" si="41"/>
        <v>0</v>
      </c>
      <c r="AW61" s="4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6"/>
      <c r="DM61" s="111">
        <f t="shared" si="42"/>
        <v>0</v>
      </c>
      <c r="DN61" s="4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6"/>
      <c r="GD61" s="111">
        <f t="shared" si="43"/>
        <v>0</v>
      </c>
      <c r="GE61" s="4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6"/>
      <c r="IU61" s="111">
        <f t="shared" si="44"/>
        <v>0</v>
      </c>
      <c r="IV61" s="4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6"/>
      <c r="LL61" s="111">
        <f t="shared" si="45"/>
        <v>0</v>
      </c>
      <c r="LM61" s="4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6"/>
      <c r="OC61" s="111">
        <f t="shared" si="46"/>
        <v>0</v>
      </c>
      <c r="OD61" s="4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6"/>
      <c r="QT61" s="111">
        <f t="shared" si="47"/>
        <v>0</v>
      </c>
      <c r="QU61" s="4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6"/>
      <c r="TK61" s="111">
        <f t="shared" si="48"/>
        <v>0</v>
      </c>
      <c r="TL61" s="4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6"/>
    </row>
    <row r="62" spans="1:599" s="84" customFormat="1" ht="14.25" customHeight="1" x14ac:dyDescent="0.3">
      <c r="A62" s="85"/>
      <c r="B62" s="87"/>
      <c r="C62" s="87"/>
      <c r="D62" s="86"/>
      <c r="E62" s="2"/>
      <c r="F62" s="2"/>
      <c r="G62" s="2"/>
      <c r="H62" s="2"/>
      <c r="I62" s="2"/>
      <c r="J62" s="81"/>
      <c r="K62" s="2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89" t="str">
        <f t="shared" si="18"/>
        <v/>
      </c>
      <c r="Z62" s="89" t="str">
        <f t="shared" si="19"/>
        <v/>
      </c>
      <c r="AA62" s="89">
        <f t="shared" si="20"/>
        <v>0</v>
      </c>
      <c r="AB62" s="89">
        <f t="shared" si="21"/>
        <v>0</v>
      </c>
      <c r="AC62" s="90">
        <f t="shared" si="22"/>
        <v>0</v>
      </c>
      <c r="AD62" s="91">
        <f t="shared" si="23"/>
        <v>0</v>
      </c>
      <c r="AE62" s="93">
        <f t="shared" si="24"/>
        <v>0</v>
      </c>
      <c r="AF62" s="93">
        <f t="shared" si="25"/>
        <v>0</v>
      </c>
      <c r="AG62" s="93">
        <f t="shared" si="26"/>
        <v>0</v>
      </c>
      <c r="AH62" s="93">
        <f t="shared" si="27"/>
        <v>0</v>
      </c>
      <c r="AI62" s="93">
        <f t="shared" si="28"/>
        <v>0</v>
      </c>
      <c r="AJ62" s="93">
        <f t="shared" si="29"/>
        <v>0</v>
      </c>
      <c r="AK62" s="93">
        <f t="shared" si="30"/>
        <v>0</v>
      </c>
      <c r="AL62" s="93">
        <f t="shared" si="31"/>
        <v>0</v>
      </c>
      <c r="AM62" s="92">
        <f t="shared" si="32"/>
        <v>0</v>
      </c>
      <c r="AN62" s="1" t="str">
        <f t="shared" si="59"/>
        <v xml:space="preserve"> </v>
      </c>
      <c r="AO62" s="1" t="str">
        <f t="shared" si="60"/>
        <v xml:space="preserve"> </v>
      </c>
      <c r="AP62" s="1" t="str">
        <f t="shared" si="35"/>
        <v xml:space="preserve"> </v>
      </c>
      <c r="AQ62" s="1" t="str">
        <f t="shared" si="61"/>
        <v xml:space="preserve"> </v>
      </c>
      <c r="AR62" s="1" t="str">
        <f t="shared" si="62"/>
        <v xml:space="preserve"> </v>
      </c>
      <c r="AS62" s="1" t="str">
        <f t="shared" si="38"/>
        <v xml:space="preserve"> </v>
      </c>
      <c r="AT62" s="1" t="str">
        <f t="shared" si="39"/>
        <v xml:space="preserve"> </v>
      </c>
      <c r="AU62" s="103" t="str">
        <f t="shared" si="63"/>
        <v xml:space="preserve"> </v>
      </c>
      <c r="AV62" s="111">
        <f t="shared" si="41"/>
        <v>0</v>
      </c>
      <c r="AW62" s="4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6"/>
      <c r="DM62" s="111">
        <f t="shared" si="42"/>
        <v>0</v>
      </c>
      <c r="DN62" s="4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6"/>
      <c r="GD62" s="111">
        <f t="shared" si="43"/>
        <v>0</v>
      </c>
      <c r="GE62" s="4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6"/>
      <c r="IU62" s="111">
        <f t="shared" si="44"/>
        <v>0</v>
      </c>
      <c r="IV62" s="4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6"/>
      <c r="LL62" s="111">
        <f t="shared" si="45"/>
        <v>0</v>
      </c>
      <c r="LM62" s="4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6"/>
      <c r="OC62" s="111">
        <f t="shared" si="46"/>
        <v>0</v>
      </c>
      <c r="OD62" s="4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6"/>
      <c r="QT62" s="111">
        <f t="shared" si="47"/>
        <v>0</v>
      </c>
      <c r="QU62" s="4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6"/>
      <c r="TK62" s="111">
        <f t="shared" si="48"/>
        <v>0</v>
      </c>
      <c r="TL62" s="4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6"/>
    </row>
    <row r="63" spans="1:599" s="84" customFormat="1" ht="14.25" customHeight="1" x14ac:dyDescent="0.3">
      <c r="A63" s="85"/>
      <c r="B63" s="87"/>
      <c r="C63" s="87"/>
      <c r="D63" s="86"/>
      <c r="E63" s="2"/>
      <c r="F63" s="2"/>
      <c r="G63" s="2"/>
      <c r="H63" s="2"/>
      <c r="I63" s="2"/>
      <c r="J63" s="2"/>
      <c r="K63" s="2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89" t="str">
        <f t="shared" si="18"/>
        <v/>
      </c>
      <c r="Z63" s="89" t="str">
        <f t="shared" si="19"/>
        <v/>
      </c>
      <c r="AA63" s="89">
        <f t="shared" si="20"/>
        <v>0</v>
      </c>
      <c r="AB63" s="89">
        <f t="shared" si="21"/>
        <v>0</v>
      </c>
      <c r="AC63" s="90">
        <f t="shared" si="22"/>
        <v>0</v>
      </c>
      <c r="AD63" s="91">
        <f t="shared" si="23"/>
        <v>0</v>
      </c>
      <c r="AE63" s="93">
        <f t="shared" si="24"/>
        <v>0</v>
      </c>
      <c r="AF63" s="93">
        <f t="shared" si="25"/>
        <v>0</v>
      </c>
      <c r="AG63" s="93">
        <f t="shared" si="26"/>
        <v>0</v>
      </c>
      <c r="AH63" s="93">
        <f t="shared" si="27"/>
        <v>0</v>
      </c>
      <c r="AI63" s="93">
        <f t="shared" si="28"/>
        <v>0</v>
      </c>
      <c r="AJ63" s="93">
        <f t="shared" si="29"/>
        <v>0</v>
      </c>
      <c r="AK63" s="93">
        <f t="shared" si="30"/>
        <v>0</v>
      </c>
      <c r="AL63" s="93">
        <f t="shared" si="31"/>
        <v>0</v>
      </c>
      <c r="AM63" s="92">
        <f t="shared" si="32"/>
        <v>0</v>
      </c>
      <c r="AN63" s="1" t="str">
        <f t="shared" si="59"/>
        <v xml:space="preserve"> </v>
      </c>
      <c r="AO63" s="1" t="str">
        <f t="shared" si="60"/>
        <v xml:space="preserve"> </v>
      </c>
      <c r="AP63" s="1" t="str">
        <f t="shared" si="35"/>
        <v xml:space="preserve"> </v>
      </c>
      <c r="AQ63" s="1" t="str">
        <f t="shared" si="61"/>
        <v xml:space="preserve"> </v>
      </c>
      <c r="AR63" s="1" t="str">
        <f t="shared" si="62"/>
        <v xml:space="preserve"> </v>
      </c>
      <c r="AS63" s="1" t="str">
        <f t="shared" si="38"/>
        <v xml:space="preserve"> </v>
      </c>
      <c r="AT63" s="1" t="str">
        <f t="shared" si="39"/>
        <v xml:space="preserve"> </v>
      </c>
      <c r="AU63" s="103" t="str">
        <f t="shared" si="63"/>
        <v xml:space="preserve"> </v>
      </c>
      <c r="AV63" s="111">
        <f t="shared" si="41"/>
        <v>0</v>
      </c>
      <c r="AW63" s="4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6"/>
      <c r="DM63" s="111">
        <f t="shared" si="42"/>
        <v>0</v>
      </c>
      <c r="DN63" s="4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6"/>
      <c r="GD63" s="111">
        <f t="shared" si="43"/>
        <v>0</v>
      </c>
      <c r="GE63" s="4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6"/>
      <c r="IU63" s="111">
        <f t="shared" si="44"/>
        <v>0</v>
      </c>
      <c r="IV63" s="4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6"/>
      <c r="LL63" s="111">
        <f t="shared" si="45"/>
        <v>0</v>
      </c>
      <c r="LM63" s="4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6"/>
      <c r="OC63" s="111">
        <f t="shared" si="46"/>
        <v>0</v>
      </c>
      <c r="OD63" s="4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6"/>
      <c r="QT63" s="111">
        <f t="shared" si="47"/>
        <v>0</v>
      </c>
      <c r="QU63" s="4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6"/>
      <c r="TK63" s="111">
        <f t="shared" si="48"/>
        <v>0</v>
      </c>
      <c r="TL63" s="4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6"/>
    </row>
    <row r="64" spans="1:599" ht="14.25" customHeight="1" x14ac:dyDescent="0.3">
      <c r="A64" s="41"/>
      <c r="B64" s="39"/>
      <c r="C64" s="40"/>
      <c r="D64" s="40"/>
      <c r="E64" s="2"/>
      <c r="F64" s="2"/>
      <c r="G64" s="2"/>
      <c r="H64" s="2"/>
      <c r="I64" s="2"/>
      <c r="J64" s="2"/>
      <c r="K64" s="2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89" t="str">
        <f t="shared" si="18"/>
        <v/>
      </c>
      <c r="Z64" s="89" t="str">
        <f t="shared" si="19"/>
        <v/>
      </c>
      <c r="AA64" s="89">
        <f t="shared" si="20"/>
        <v>0</v>
      </c>
      <c r="AB64" s="89">
        <f t="shared" si="21"/>
        <v>0</v>
      </c>
      <c r="AC64" s="90">
        <f t="shared" si="22"/>
        <v>0</v>
      </c>
      <c r="AD64" s="91">
        <f t="shared" si="23"/>
        <v>0</v>
      </c>
      <c r="AE64" s="93">
        <f t="shared" si="24"/>
        <v>0</v>
      </c>
      <c r="AF64" s="93">
        <f t="shared" si="25"/>
        <v>0</v>
      </c>
      <c r="AG64" s="93">
        <f t="shared" si="26"/>
        <v>0</v>
      </c>
      <c r="AH64" s="93">
        <f t="shared" si="27"/>
        <v>0</v>
      </c>
      <c r="AI64" s="93">
        <f t="shared" si="28"/>
        <v>0</v>
      </c>
      <c r="AJ64" s="93">
        <f t="shared" si="29"/>
        <v>0</v>
      </c>
      <c r="AK64" s="93">
        <f t="shared" si="30"/>
        <v>0</v>
      </c>
      <c r="AL64" s="93">
        <f t="shared" si="31"/>
        <v>0</v>
      </c>
      <c r="AM64" s="92">
        <f t="shared" si="32"/>
        <v>0</v>
      </c>
      <c r="AN64" s="1" t="str">
        <f t="shared" si="33"/>
        <v xml:space="preserve"> </v>
      </c>
      <c r="AO64" s="1" t="str">
        <f t="shared" si="34"/>
        <v xml:space="preserve"> </v>
      </c>
      <c r="AP64" s="1" t="str">
        <f t="shared" si="35"/>
        <v xml:space="preserve"> </v>
      </c>
      <c r="AQ64" s="1" t="str">
        <f t="shared" si="36"/>
        <v xml:space="preserve"> </v>
      </c>
      <c r="AR64" s="1" t="str">
        <f t="shared" si="37"/>
        <v xml:space="preserve"> </v>
      </c>
      <c r="AS64" s="1" t="str">
        <f t="shared" si="38"/>
        <v xml:space="preserve"> </v>
      </c>
      <c r="AT64" s="1" t="str">
        <f t="shared" si="39"/>
        <v xml:space="preserve"> </v>
      </c>
      <c r="AU64" s="103" t="str">
        <f t="shared" si="40"/>
        <v xml:space="preserve"> </v>
      </c>
      <c r="AV64" s="111">
        <f t="shared" si="41"/>
        <v>0</v>
      </c>
      <c r="AW64" s="4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6"/>
      <c r="DM64" s="111">
        <f t="shared" si="42"/>
        <v>0</v>
      </c>
      <c r="DN64" s="4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6"/>
      <c r="GD64" s="111">
        <f t="shared" si="43"/>
        <v>0</v>
      </c>
      <c r="GE64" s="4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6"/>
      <c r="IU64" s="111">
        <f t="shared" si="44"/>
        <v>0</v>
      </c>
      <c r="IV64" s="4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6"/>
      <c r="LL64" s="111">
        <f t="shared" si="45"/>
        <v>0</v>
      </c>
      <c r="LM64" s="4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6"/>
      <c r="OC64" s="111">
        <f t="shared" si="46"/>
        <v>0</v>
      </c>
      <c r="OD64" s="4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6"/>
      <c r="QT64" s="111">
        <f t="shared" si="47"/>
        <v>0</v>
      </c>
      <c r="QU64" s="4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6"/>
      <c r="TK64" s="111">
        <f t="shared" si="48"/>
        <v>0</v>
      </c>
      <c r="TL64" s="4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6"/>
    </row>
    <row r="65" spans="1:599" s="84" customFormat="1" ht="14.25" customHeight="1" x14ac:dyDescent="0.3">
      <c r="A65" s="41"/>
      <c r="B65" s="39"/>
      <c r="C65" s="40"/>
      <c r="D65" s="40"/>
      <c r="E65" s="2"/>
      <c r="F65" s="2"/>
      <c r="G65" s="2"/>
      <c r="H65" s="2"/>
      <c r="I65" s="2"/>
      <c r="J65" s="2"/>
      <c r="K65" s="2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89" t="str">
        <f t="shared" si="18"/>
        <v/>
      </c>
      <c r="Z65" s="89" t="str">
        <f t="shared" si="19"/>
        <v/>
      </c>
      <c r="AA65" s="89">
        <f t="shared" si="20"/>
        <v>0</v>
      </c>
      <c r="AB65" s="89">
        <f t="shared" si="21"/>
        <v>0</v>
      </c>
      <c r="AC65" s="90">
        <f t="shared" si="22"/>
        <v>0</v>
      </c>
      <c r="AD65" s="91">
        <f t="shared" si="23"/>
        <v>0</v>
      </c>
      <c r="AE65" s="93">
        <f t="shared" si="24"/>
        <v>0</v>
      </c>
      <c r="AF65" s="93">
        <f t="shared" si="25"/>
        <v>0</v>
      </c>
      <c r="AG65" s="93">
        <f t="shared" si="26"/>
        <v>0</v>
      </c>
      <c r="AH65" s="93">
        <f t="shared" si="27"/>
        <v>0</v>
      </c>
      <c r="AI65" s="93">
        <f t="shared" si="28"/>
        <v>0</v>
      </c>
      <c r="AJ65" s="93">
        <f t="shared" si="29"/>
        <v>0</v>
      </c>
      <c r="AK65" s="93">
        <f t="shared" si="30"/>
        <v>0</v>
      </c>
      <c r="AL65" s="93">
        <f t="shared" si="31"/>
        <v>0</v>
      </c>
      <c r="AM65" s="92">
        <f t="shared" si="32"/>
        <v>0</v>
      </c>
      <c r="AN65" s="1" t="str">
        <f>IF(E65&gt;0,E65*$AC65*$AB65/1000," ")</f>
        <v xml:space="preserve"> </v>
      </c>
      <c r="AO65" s="1" t="str">
        <f>IF(F65&gt;0,F65*$AC65*$AA65/1000," ")</f>
        <v xml:space="preserve"> </v>
      </c>
      <c r="AP65" s="1" t="str">
        <f>IF(G65&gt;0,G65*$AC65*$AA65/1000," ")</f>
        <v xml:space="preserve"> </v>
      </c>
      <c r="AQ65" s="1" t="str">
        <f>IF(H65&gt;0,H65*$AC65*$AB65/1000," ")</f>
        <v xml:space="preserve"> </v>
      </c>
      <c r="AR65" s="1" t="str">
        <f>IF(I65&gt;0,I65*$AC65*$AA65/1000," ")</f>
        <v xml:space="preserve"> </v>
      </c>
      <c r="AS65" s="1" t="str">
        <f>IF(J65&gt;0,J65*$AC65*$AA65/1000," ")</f>
        <v xml:space="preserve"> </v>
      </c>
      <c r="AT65" s="1" t="str">
        <f>IF(K65&gt;0,K65*$AC65*$AA65/1000," ")</f>
        <v xml:space="preserve"> </v>
      </c>
      <c r="AU65" s="103" t="str">
        <f>IF(L65&gt;0,L65*$AC65*$AB65/1000," ")</f>
        <v xml:space="preserve"> </v>
      </c>
      <c r="AV65" s="111">
        <f t="shared" si="41"/>
        <v>0</v>
      </c>
      <c r="AW65" s="4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6"/>
      <c r="DM65" s="111">
        <f t="shared" si="42"/>
        <v>0</v>
      </c>
      <c r="DN65" s="4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6"/>
      <c r="GD65" s="111">
        <f t="shared" si="43"/>
        <v>0</v>
      </c>
      <c r="GE65" s="4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6"/>
      <c r="IU65" s="111">
        <f t="shared" si="44"/>
        <v>0</v>
      </c>
      <c r="IV65" s="4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6"/>
      <c r="LL65" s="111">
        <f t="shared" si="45"/>
        <v>0</v>
      </c>
      <c r="LM65" s="4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6"/>
      <c r="OC65" s="111">
        <f t="shared" si="46"/>
        <v>0</v>
      </c>
      <c r="OD65" s="4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6"/>
      <c r="QT65" s="111">
        <f t="shared" si="47"/>
        <v>0</v>
      </c>
      <c r="QU65" s="4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6"/>
      <c r="TK65" s="111">
        <f t="shared" si="48"/>
        <v>0</v>
      </c>
      <c r="TL65" s="4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6"/>
    </row>
    <row r="66" spans="1:599" ht="14.25" customHeight="1" x14ac:dyDescent="0.3">
      <c r="A66" s="41"/>
      <c r="B66" s="39"/>
      <c r="C66" s="40"/>
      <c r="D66" s="40"/>
      <c r="E66" s="2"/>
      <c r="F66" s="2"/>
      <c r="G66" s="2"/>
      <c r="H66" s="2"/>
      <c r="I66" s="2"/>
      <c r="J66" s="2"/>
      <c r="K66" s="2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89" t="str">
        <f t="shared" si="18"/>
        <v/>
      </c>
      <c r="Z66" s="89" t="str">
        <f t="shared" si="19"/>
        <v/>
      </c>
      <c r="AA66" s="89">
        <f t="shared" si="20"/>
        <v>0</v>
      </c>
      <c r="AB66" s="89">
        <f t="shared" si="21"/>
        <v>0</v>
      </c>
      <c r="AC66" s="90">
        <f t="shared" si="22"/>
        <v>0</v>
      </c>
      <c r="AD66" s="91">
        <f t="shared" si="23"/>
        <v>0</v>
      </c>
      <c r="AE66" s="93">
        <f t="shared" si="24"/>
        <v>0</v>
      </c>
      <c r="AF66" s="93">
        <f t="shared" si="25"/>
        <v>0</v>
      </c>
      <c r="AG66" s="93">
        <f t="shared" si="26"/>
        <v>0</v>
      </c>
      <c r="AH66" s="93">
        <f t="shared" si="27"/>
        <v>0</v>
      </c>
      <c r="AI66" s="93">
        <f t="shared" si="28"/>
        <v>0</v>
      </c>
      <c r="AJ66" s="93">
        <f t="shared" si="29"/>
        <v>0</v>
      </c>
      <c r="AK66" s="93">
        <f t="shared" si="30"/>
        <v>0</v>
      </c>
      <c r="AL66" s="93">
        <f t="shared" si="31"/>
        <v>0</v>
      </c>
      <c r="AM66" s="92">
        <f t="shared" si="32"/>
        <v>0</v>
      </c>
      <c r="AN66" s="1" t="str">
        <f t="shared" si="33"/>
        <v xml:space="preserve"> </v>
      </c>
      <c r="AO66" s="1" t="str">
        <f t="shared" si="34"/>
        <v xml:space="preserve"> </v>
      </c>
      <c r="AP66" s="1" t="str">
        <f t="shared" si="35"/>
        <v xml:space="preserve"> </v>
      </c>
      <c r="AQ66" s="1" t="str">
        <f t="shared" si="36"/>
        <v xml:space="preserve"> </v>
      </c>
      <c r="AR66" s="1" t="str">
        <f t="shared" si="37"/>
        <v xml:space="preserve"> </v>
      </c>
      <c r="AS66" s="1" t="str">
        <f t="shared" si="38"/>
        <v xml:space="preserve"> </v>
      </c>
      <c r="AT66" s="1" t="str">
        <f t="shared" si="39"/>
        <v xml:space="preserve"> </v>
      </c>
      <c r="AU66" s="103" t="str">
        <f t="shared" si="40"/>
        <v xml:space="preserve"> </v>
      </c>
      <c r="AV66" s="111">
        <f t="shared" si="41"/>
        <v>0</v>
      </c>
      <c r="AW66" s="4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6"/>
      <c r="DM66" s="111">
        <f t="shared" si="42"/>
        <v>0</v>
      </c>
      <c r="DN66" s="4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6"/>
      <c r="GD66" s="111">
        <f t="shared" si="43"/>
        <v>0</v>
      </c>
      <c r="GE66" s="4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6"/>
      <c r="IU66" s="111">
        <f t="shared" si="44"/>
        <v>0</v>
      </c>
      <c r="IV66" s="4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6"/>
      <c r="LL66" s="111">
        <f t="shared" si="45"/>
        <v>0</v>
      </c>
      <c r="LM66" s="4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6"/>
      <c r="OC66" s="111">
        <f t="shared" si="46"/>
        <v>0</v>
      </c>
      <c r="OD66" s="4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6"/>
      <c r="QT66" s="111">
        <f t="shared" si="47"/>
        <v>0</v>
      </c>
      <c r="QU66" s="4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6"/>
      <c r="TK66" s="111">
        <f t="shared" si="48"/>
        <v>0</v>
      </c>
      <c r="TL66" s="4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6"/>
    </row>
    <row r="67" spans="1:599" ht="14.25" customHeight="1" x14ac:dyDescent="0.3">
      <c r="A67" s="85"/>
      <c r="B67" s="87"/>
      <c r="C67" s="87"/>
      <c r="D67" s="86"/>
      <c r="E67" s="81"/>
      <c r="F67" s="81"/>
      <c r="G67" s="81"/>
      <c r="H67" s="81"/>
      <c r="I67" s="81"/>
      <c r="J67" s="81"/>
      <c r="K67" s="2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89" t="str">
        <f t="shared" si="18"/>
        <v/>
      </c>
      <c r="Z67" s="89" t="str">
        <f t="shared" si="19"/>
        <v/>
      </c>
      <c r="AA67" s="89">
        <f t="shared" si="20"/>
        <v>0</v>
      </c>
      <c r="AB67" s="89">
        <f t="shared" si="21"/>
        <v>0</v>
      </c>
      <c r="AC67" s="90">
        <f t="shared" si="22"/>
        <v>0</v>
      </c>
      <c r="AD67" s="91">
        <f t="shared" si="23"/>
        <v>0</v>
      </c>
      <c r="AE67" s="93">
        <f t="shared" si="24"/>
        <v>0</v>
      </c>
      <c r="AF67" s="93">
        <f t="shared" si="25"/>
        <v>0</v>
      </c>
      <c r="AG67" s="93">
        <f t="shared" si="26"/>
        <v>0</v>
      </c>
      <c r="AH67" s="93">
        <f t="shared" si="27"/>
        <v>0</v>
      </c>
      <c r="AI67" s="93">
        <f t="shared" si="28"/>
        <v>0</v>
      </c>
      <c r="AJ67" s="93">
        <f t="shared" si="29"/>
        <v>0</v>
      </c>
      <c r="AK67" s="93">
        <f t="shared" si="30"/>
        <v>0</v>
      </c>
      <c r="AL67" s="93">
        <f t="shared" si="31"/>
        <v>0</v>
      </c>
      <c r="AM67" s="92">
        <f t="shared" si="32"/>
        <v>0</v>
      </c>
      <c r="AN67" s="1" t="str">
        <f t="shared" si="33"/>
        <v xml:space="preserve"> </v>
      </c>
      <c r="AO67" s="1" t="str">
        <f t="shared" si="34"/>
        <v xml:space="preserve"> </v>
      </c>
      <c r="AP67" s="1" t="str">
        <f t="shared" si="35"/>
        <v xml:space="preserve"> </v>
      </c>
      <c r="AQ67" s="1" t="str">
        <f t="shared" si="36"/>
        <v xml:space="preserve"> </v>
      </c>
      <c r="AR67" s="1" t="str">
        <f t="shared" si="37"/>
        <v xml:space="preserve"> </v>
      </c>
      <c r="AS67" s="1" t="str">
        <f t="shared" si="38"/>
        <v xml:space="preserve"> </v>
      </c>
      <c r="AT67" s="1" t="str">
        <f t="shared" si="39"/>
        <v xml:space="preserve"> </v>
      </c>
      <c r="AU67" s="103" t="str">
        <f t="shared" si="40"/>
        <v xml:space="preserve"> </v>
      </c>
      <c r="AV67" s="111">
        <f t="shared" si="41"/>
        <v>0</v>
      </c>
      <c r="AW67" s="4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6"/>
      <c r="DM67" s="111">
        <f t="shared" si="42"/>
        <v>0</v>
      </c>
      <c r="DN67" s="4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6"/>
      <c r="GD67" s="111">
        <f t="shared" si="43"/>
        <v>0</v>
      </c>
      <c r="GE67" s="4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6"/>
      <c r="IU67" s="111">
        <f t="shared" si="44"/>
        <v>0</v>
      </c>
      <c r="IV67" s="4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6"/>
      <c r="LL67" s="111">
        <f t="shared" si="45"/>
        <v>0</v>
      </c>
      <c r="LM67" s="4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6"/>
      <c r="OC67" s="111">
        <f t="shared" si="46"/>
        <v>0</v>
      </c>
      <c r="OD67" s="4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6"/>
      <c r="QT67" s="111">
        <f t="shared" si="47"/>
        <v>0</v>
      </c>
      <c r="QU67" s="4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6"/>
      <c r="TK67" s="111">
        <f t="shared" si="48"/>
        <v>0</v>
      </c>
      <c r="TL67" s="4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6"/>
    </row>
    <row r="68" spans="1:599" ht="14.25" customHeight="1" x14ac:dyDescent="0.3">
      <c r="A68" s="85"/>
      <c r="B68" s="87"/>
      <c r="C68" s="87"/>
      <c r="D68" s="86"/>
      <c r="E68" s="2"/>
      <c r="F68" s="2"/>
      <c r="G68" s="2"/>
      <c r="H68" s="2"/>
      <c r="I68" s="2"/>
      <c r="J68" s="81"/>
      <c r="K68" s="2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89" t="str">
        <f t="shared" si="18"/>
        <v/>
      </c>
      <c r="Z68" s="89" t="str">
        <f t="shared" si="19"/>
        <v/>
      </c>
      <c r="AA68" s="89">
        <f t="shared" si="20"/>
        <v>0</v>
      </c>
      <c r="AB68" s="89">
        <f t="shared" si="21"/>
        <v>0</v>
      </c>
      <c r="AC68" s="90">
        <f t="shared" si="22"/>
        <v>0</v>
      </c>
      <c r="AD68" s="91">
        <f t="shared" si="23"/>
        <v>0</v>
      </c>
      <c r="AE68" s="93">
        <f t="shared" si="24"/>
        <v>0</v>
      </c>
      <c r="AF68" s="93">
        <f t="shared" si="25"/>
        <v>0</v>
      </c>
      <c r="AG68" s="93">
        <f t="shared" si="26"/>
        <v>0</v>
      </c>
      <c r="AH68" s="93">
        <f t="shared" si="27"/>
        <v>0</v>
      </c>
      <c r="AI68" s="93">
        <f t="shared" si="28"/>
        <v>0</v>
      </c>
      <c r="AJ68" s="93">
        <f t="shared" si="29"/>
        <v>0</v>
      </c>
      <c r="AK68" s="93">
        <f t="shared" si="30"/>
        <v>0</v>
      </c>
      <c r="AL68" s="93">
        <f t="shared" si="31"/>
        <v>0</v>
      </c>
      <c r="AM68" s="92">
        <f t="shared" si="32"/>
        <v>0</v>
      </c>
      <c r="AN68" s="1" t="str">
        <f t="shared" si="33"/>
        <v xml:space="preserve"> </v>
      </c>
      <c r="AO68" s="1" t="str">
        <f t="shared" si="34"/>
        <v xml:space="preserve"> </v>
      </c>
      <c r="AP68" s="1" t="str">
        <f t="shared" si="35"/>
        <v xml:space="preserve"> </v>
      </c>
      <c r="AQ68" s="1" t="str">
        <f t="shared" si="36"/>
        <v xml:space="preserve"> </v>
      </c>
      <c r="AR68" s="1" t="str">
        <f t="shared" si="37"/>
        <v xml:space="preserve"> </v>
      </c>
      <c r="AS68" s="1" t="str">
        <f t="shared" si="38"/>
        <v xml:space="preserve"> </v>
      </c>
      <c r="AT68" s="1" t="str">
        <f t="shared" si="39"/>
        <v xml:space="preserve"> </v>
      </c>
      <c r="AU68" s="103" t="str">
        <f t="shared" si="40"/>
        <v xml:space="preserve"> </v>
      </c>
      <c r="AV68" s="111">
        <f t="shared" si="41"/>
        <v>0</v>
      </c>
      <c r="AW68" s="4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6"/>
      <c r="DM68" s="111">
        <f t="shared" si="42"/>
        <v>0</v>
      </c>
      <c r="DN68" s="4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6"/>
      <c r="GD68" s="111">
        <f t="shared" si="43"/>
        <v>0</v>
      </c>
      <c r="GE68" s="4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6"/>
      <c r="IU68" s="111">
        <f t="shared" si="44"/>
        <v>0</v>
      </c>
      <c r="IV68" s="4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6"/>
      <c r="LL68" s="111">
        <f t="shared" si="45"/>
        <v>0</v>
      </c>
      <c r="LM68" s="4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6"/>
      <c r="OC68" s="111">
        <f t="shared" si="46"/>
        <v>0</v>
      </c>
      <c r="OD68" s="4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6"/>
      <c r="QT68" s="111">
        <f t="shared" si="47"/>
        <v>0</v>
      </c>
      <c r="QU68" s="4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6"/>
      <c r="TK68" s="111">
        <f t="shared" si="48"/>
        <v>0</v>
      </c>
      <c r="TL68" s="4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6"/>
    </row>
    <row r="69" spans="1:599" ht="14.25" customHeight="1" x14ac:dyDescent="0.3">
      <c r="A69" s="85"/>
      <c r="B69" s="87"/>
      <c r="C69" s="87"/>
      <c r="D69" s="86"/>
      <c r="E69" s="2"/>
      <c r="F69" s="2"/>
      <c r="G69" s="2"/>
      <c r="H69" s="2"/>
      <c r="I69" s="2"/>
      <c r="J69" s="2"/>
      <c r="K69" s="2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9" t="str">
        <f t="shared" si="18"/>
        <v/>
      </c>
      <c r="Z69" s="89" t="str">
        <f t="shared" si="19"/>
        <v/>
      </c>
      <c r="AA69" s="89">
        <f t="shared" si="20"/>
        <v>0</v>
      </c>
      <c r="AB69" s="89">
        <f t="shared" si="21"/>
        <v>0</v>
      </c>
      <c r="AC69" s="90">
        <f t="shared" si="22"/>
        <v>0</v>
      </c>
      <c r="AD69" s="91">
        <f t="shared" si="23"/>
        <v>0</v>
      </c>
      <c r="AE69" s="93">
        <f t="shared" si="24"/>
        <v>0</v>
      </c>
      <c r="AF69" s="93">
        <f t="shared" si="25"/>
        <v>0</v>
      </c>
      <c r="AG69" s="93">
        <f t="shared" si="26"/>
        <v>0</v>
      </c>
      <c r="AH69" s="93">
        <f t="shared" si="27"/>
        <v>0</v>
      </c>
      <c r="AI69" s="93">
        <f t="shared" si="28"/>
        <v>0</v>
      </c>
      <c r="AJ69" s="93">
        <f t="shared" si="29"/>
        <v>0</v>
      </c>
      <c r="AK69" s="93">
        <f t="shared" si="30"/>
        <v>0</v>
      </c>
      <c r="AL69" s="93">
        <f t="shared" si="31"/>
        <v>0</v>
      </c>
      <c r="AM69" s="92">
        <f t="shared" si="32"/>
        <v>0</v>
      </c>
      <c r="AN69" s="1" t="str">
        <f t="shared" si="33"/>
        <v xml:space="preserve"> </v>
      </c>
      <c r="AO69" s="1" t="str">
        <f t="shared" si="34"/>
        <v xml:space="preserve"> </v>
      </c>
      <c r="AP69" s="1" t="str">
        <f t="shared" si="35"/>
        <v xml:space="preserve"> </v>
      </c>
      <c r="AQ69" s="1" t="str">
        <f t="shared" si="36"/>
        <v xml:space="preserve"> </v>
      </c>
      <c r="AR69" s="1" t="str">
        <f t="shared" si="37"/>
        <v xml:space="preserve"> </v>
      </c>
      <c r="AS69" s="1" t="str">
        <f t="shared" si="38"/>
        <v xml:space="preserve"> </v>
      </c>
      <c r="AT69" s="1" t="str">
        <f t="shared" si="39"/>
        <v xml:space="preserve"> </v>
      </c>
      <c r="AU69" s="103" t="str">
        <f t="shared" si="40"/>
        <v xml:space="preserve"> </v>
      </c>
      <c r="AV69" s="111">
        <f t="shared" si="41"/>
        <v>0</v>
      </c>
      <c r="AW69" s="4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6"/>
      <c r="DM69" s="111">
        <f t="shared" si="42"/>
        <v>0</v>
      </c>
      <c r="DN69" s="4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6"/>
      <c r="GD69" s="111">
        <f t="shared" si="43"/>
        <v>0</v>
      </c>
      <c r="GE69" s="4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6"/>
      <c r="IU69" s="111">
        <f t="shared" si="44"/>
        <v>0</v>
      </c>
      <c r="IV69" s="4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6"/>
      <c r="LL69" s="111">
        <f t="shared" si="45"/>
        <v>0</v>
      </c>
      <c r="LM69" s="4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6"/>
      <c r="OC69" s="111">
        <f t="shared" si="46"/>
        <v>0</v>
      </c>
      <c r="OD69" s="4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6"/>
      <c r="QT69" s="111">
        <f t="shared" si="47"/>
        <v>0</v>
      </c>
      <c r="QU69" s="4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6"/>
      <c r="TK69" s="111">
        <f t="shared" si="48"/>
        <v>0</v>
      </c>
      <c r="TL69" s="4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6"/>
    </row>
    <row r="70" spans="1:599" ht="14.25" customHeight="1" x14ac:dyDescent="0.3">
      <c r="A70" s="41"/>
      <c r="B70" s="39"/>
      <c r="C70" s="40"/>
      <c r="D70" s="40"/>
      <c r="E70" s="2"/>
      <c r="F70" s="2"/>
      <c r="G70" s="2"/>
      <c r="H70" s="2"/>
      <c r="I70" s="2"/>
      <c r="J70" s="2"/>
      <c r="K70" s="2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89" t="str">
        <f t="shared" si="18"/>
        <v/>
      </c>
      <c r="Z70" s="89" t="str">
        <f t="shared" si="19"/>
        <v/>
      </c>
      <c r="AA70" s="89">
        <f t="shared" si="20"/>
        <v>0</v>
      </c>
      <c r="AB70" s="89">
        <f t="shared" si="21"/>
        <v>0</v>
      </c>
      <c r="AC70" s="90">
        <f t="shared" si="22"/>
        <v>0</v>
      </c>
      <c r="AD70" s="91">
        <f t="shared" si="23"/>
        <v>0</v>
      </c>
      <c r="AE70" s="93">
        <f t="shared" si="24"/>
        <v>0</v>
      </c>
      <c r="AF70" s="93">
        <f t="shared" si="25"/>
        <v>0</v>
      </c>
      <c r="AG70" s="93">
        <f t="shared" si="26"/>
        <v>0</v>
      </c>
      <c r="AH70" s="93">
        <f t="shared" si="27"/>
        <v>0</v>
      </c>
      <c r="AI70" s="93">
        <f t="shared" si="28"/>
        <v>0</v>
      </c>
      <c r="AJ70" s="93">
        <f t="shared" si="29"/>
        <v>0</v>
      </c>
      <c r="AK70" s="93">
        <f t="shared" si="30"/>
        <v>0</v>
      </c>
      <c r="AL70" s="93">
        <f t="shared" si="31"/>
        <v>0</v>
      </c>
      <c r="AM70" s="92">
        <f t="shared" si="32"/>
        <v>0</v>
      </c>
      <c r="AN70" s="1" t="str">
        <f t="shared" si="33"/>
        <v xml:space="preserve"> </v>
      </c>
      <c r="AO70" s="1" t="str">
        <f t="shared" si="34"/>
        <v xml:space="preserve"> </v>
      </c>
      <c r="AP70" s="1" t="str">
        <f t="shared" si="35"/>
        <v xml:space="preserve"> </v>
      </c>
      <c r="AQ70" s="1" t="str">
        <f t="shared" si="36"/>
        <v xml:space="preserve"> </v>
      </c>
      <c r="AR70" s="1" t="str">
        <f t="shared" si="37"/>
        <v xml:space="preserve"> </v>
      </c>
      <c r="AS70" s="1" t="str">
        <f t="shared" si="38"/>
        <v xml:space="preserve"> </v>
      </c>
      <c r="AT70" s="1" t="str">
        <f t="shared" si="39"/>
        <v xml:space="preserve"> </v>
      </c>
      <c r="AU70" s="103" t="str">
        <f t="shared" si="40"/>
        <v xml:space="preserve"> </v>
      </c>
      <c r="AV70" s="111">
        <f t="shared" si="41"/>
        <v>0</v>
      </c>
      <c r="AW70" s="4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6"/>
      <c r="DM70" s="111">
        <f t="shared" si="42"/>
        <v>0</v>
      </c>
      <c r="DN70" s="4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6"/>
      <c r="GD70" s="111">
        <f t="shared" si="43"/>
        <v>0</v>
      </c>
      <c r="GE70" s="4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6"/>
      <c r="IU70" s="111">
        <f t="shared" si="44"/>
        <v>0</v>
      </c>
      <c r="IV70" s="4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6"/>
      <c r="LL70" s="111">
        <f t="shared" si="45"/>
        <v>0</v>
      </c>
      <c r="LM70" s="4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6"/>
      <c r="OC70" s="111">
        <f t="shared" si="46"/>
        <v>0</v>
      </c>
      <c r="OD70" s="4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6"/>
      <c r="QT70" s="111">
        <f t="shared" si="47"/>
        <v>0</v>
      </c>
      <c r="QU70" s="4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6"/>
      <c r="TK70" s="111">
        <f t="shared" si="48"/>
        <v>0</v>
      </c>
      <c r="TL70" s="4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6"/>
    </row>
    <row r="71" spans="1:599" ht="14.25" customHeight="1" x14ac:dyDescent="0.3">
      <c r="A71" s="85"/>
      <c r="B71" s="87"/>
      <c r="C71" s="86"/>
      <c r="D71" s="86"/>
      <c r="E71" s="2"/>
      <c r="F71" s="2"/>
      <c r="G71" s="2"/>
      <c r="H71" s="2"/>
      <c r="I71" s="2"/>
      <c r="J71" s="2"/>
      <c r="K71" s="2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89" t="str">
        <f t="shared" si="18"/>
        <v/>
      </c>
      <c r="Z71" s="89" t="str">
        <f t="shared" si="19"/>
        <v/>
      </c>
      <c r="AA71" s="89">
        <f t="shared" si="20"/>
        <v>0</v>
      </c>
      <c r="AB71" s="89">
        <f t="shared" si="21"/>
        <v>0</v>
      </c>
      <c r="AC71" s="90">
        <f t="shared" si="22"/>
        <v>0</v>
      </c>
      <c r="AD71" s="91">
        <f t="shared" si="23"/>
        <v>0</v>
      </c>
      <c r="AE71" s="93">
        <f t="shared" si="24"/>
        <v>0</v>
      </c>
      <c r="AF71" s="93">
        <f t="shared" si="25"/>
        <v>0</v>
      </c>
      <c r="AG71" s="93">
        <f t="shared" si="26"/>
        <v>0</v>
      </c>
      <c r="AH71" s="93">
        <f t="shared" si="27"/>
        <v>0</v>
      </c>
      <c r="AI71" s="93">
        <f t="shared" si="28"/>
        <v>0</v>
      </c>
      <c r="AJ71" s="93">
        <f t="shared" si="29"/>
        <v>0</v>
      </c>
      <c r="AK71" s="93">
        <f t="shared" si="30"/>
        <v>0</v>
      </c>
      <c r="AL71" s="93">
        <f t="shared" si="31"/>
        <v>0</v>
      </c>
      <c r="AM71" s="92">
        <f t="shared" si="32"/>
        <v>0</v>
      </c>
      <c r="AN71" s="1" t="str">
        <f t="shared" si="33"/>
        <v xml:space="preserve"> </v>
      </c>
      <c r="AO71" s="1" t="str">
        <f t="shared" si="34"/>
        <v xml:space="preserve"> </v>
      </c>
      <c r="AP71" s="1" t="str">
        <f t="shared" si="35"/>
        <v xml:space="preserve"> </v>
      </c>
      <c r="AQ71" s="1" t="str">
        <f t="shared" si="36"/>
        <v xml:space="preserve"> </v>
      </c>
      <c r="AR71" s="1" t="str">
        <f t="shared" si="37"/>
        <v xml:space="preserve"> </v>
      </c>
      <c r="AS71" s="1" t="str">
        <f t="shared" si="38"/>
        <v xml:space="preserve"> </v>
      </c>
      <c r="AT71" s="1" t="str">
        <f t="shared" si="39"/>
        <v xml:space="preserve"> </v>
      </c>
      <c r="AU71" s="103" t="str">
        <f t="shared" si="40"/>
        <v xml:space="preserve"> </v>
      </c>
      <c r="AV71" s="111">
        <f t="shared" si="41"/>
        <v>0</v>
      </c>
      <c r="AW71" s="4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6"/>
      <c r="DM71" s="111">
        <f t="shared" si="42"/>
        <v>0</v>
      </c>
      <c r="DN71" s="4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6"/>
      <c r="GD71" s="111">
        <f t="shared" si="43"/>
        <v>0</v>
      </c>
      <c r="GE71" s="4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6"/>
      <c r="IU71" s="111">
        <f t="shared" si="44"/>
        <v>0</v>
      </c>
      <c r="IV71" s="4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6"/>
      <c r="LL71" s="111">
        <f t="shared" si="45"/>
        <v>0</v>
      </c>
      <c r="LM71" s="4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6"/>
      <c r="OC71" s="111">
        <f t="shared" si="46"/>
        <v>0</v>
      </c>
      <c r="OD71" s="4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6"/>
      <c r="QT71" s="111">
        <f t="shared" si="47"/>
        <v>0</v>
      </c>
      <c r="QU71" s="4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6"/>
      <c r="TK71" s="111">
        <f t="shared" si="48"/>
        <v>0</v>
      </c>
      <c r="TL71" s="4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6"/>
    </row>
    <row r="72" spans="1:599" ht="14.25" customHeight="1" x14ac:dyDescent="0.3">
      <c r="A72" s="85"/>
      <c r="B72" s="87"/>
      <c r="C72" s="87"/>
      <c r="D72" s="86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89" t="str">
        <f t="shared" ref="Y72:Y135" si="64">CONCATENATE(IF(M72&gt;0,M72,""),IF(N72&gt;0,CONCATENATE("+", N72),""),IF(O72&gt;0,CONCATENATE("+", O72),""),IF(P72&gt;0,CONCATENATE("+", P72),""),IF(Q72&gt;0,CONCATENATE("+", Q72),""),IF(R72&gt;0,CONCATENATE("+", R72),""))</f>
        <v/>
      </c>
      <c r="Z72" s="89" t="str">
        <f t="shared" ref="Z72:Z135" si="65">CONCATENATE(IF(S72&gt;0,S72,""),IF(T72&gt;0,CONCATENATE("+", T72),""),IF(U72&gt;0,CONCATENATE("+", U72),""),IF(V72&gt;0,CONCATENATE("+", V72),""),IF(W72&gt;0,CONCATENATE("+", W72),""),IF(X72&gt;0,CONCATENATE("+", X72),""))</f>
        <v/>
      </c>
      <c r="AA72" s="89">
        <f t="shared" ref="AA72:AA135" si="66">SUM(M72:R72)</f>
        <v>0</v>
      </c>
      <c r="AB72" s="89">
        <f t="shared" ref="AB72:AB135" si="67">SUM(S72:X72)</f>
        <v>0</v>
      </c>
      <c r="AC72" s="90">
        <f t="shared" ref="AC72:AC135" si="68">SUM(AW72:DL72)+SUM(DN72:GC72)+SUM(GE72:IT72)+SUM(IV72:LK72)+SUM(LM72:OB72)+SUM(OD72:QS72)+SUM(QU72:TJ72)+SUM(TL72:WA72)</f>
        <v>0</v>
      </c>
      <c r="AD72" s="91">
        <f t="shared" ref="AD72:AD135" si="69">AA72*AB72/1000000</f>
        <v>0</v>
      </c>
      <c r="AE72" s="93">
        <f t="shared" ref="AE72:AE135" si="70">AV72</f>
        <v>0</v>
      </c>
      <c r="AF72" s="93">
        <f t="shared" ref="AF72:AF135" si="71">DM72</f>
        <v>0</v>
      </c>
      <c r="AG72" s="93">
        <f t="shared" ref="AG72:AG135" si="72">GD72</f>
        <v>0</v>
      </c>
      <c r="AH72" s="93">
        <f t="shared" ref="AH72:AH135" si="73">IU72</f>
        <v>0</v>
      </c>
      <c r="AI72" s="93">
        <f t="shared" ref="AI72:AI135" si="74">LN72</f>
        <v>0</v>
      </c>
      <c r="AJ72" s="93">
        <f t="shared" ref="AJ72:AJ135" si="75">OC72</f>
        <v>0</v>
      </c>
      <c r="AK72" s="93">
        <f t="shared" ref="AK72:AK135" si="76">QT72</f>
        <v>0</v>
      </c>
      <c r="AL72" s="93">
        <f t="shared" ref="AL72:AL135" si="77">TK72</f>
        <v>0</v>
      </c>
      <c r="AM72" s="92">
        <f t="shared" ref="AM72:AM135" si="78">AA72*AB72*AC72/1000000</f>
        <v>0</v>
      </c>
      <c r="AN72" s="1" t="str">
        <f t="shared" si="33"/>
        <v xml:space="preserve"> </v>
      </c>
      <c r="AO72" s="1" t="str">
        <f t="shared" si="34"/>
        <v xml:space="preserve"> </v>
      </c>
      <c r="AP72" s="1" t="str">
        <f t="shared" si="35"/>
        <v xml:space="preserve"> </v>
      </c>
      <c r="AQ72" s="1" t="str">
        <f t="shared" si="36"/>
        <v xml:space="preserve"> </v>
      </c>
      <c r="AR72" s="1" t="str">
        <f t="shared" si="37"/>
        <v xml:space="preserve"> </v>
      </c>
      <c r="AS72" s="1" t="str">
        <f t="shared" si="38"/>
        <v xml:space="preserve"> </v>
      </c>
      <c r="AT72" s="1" t="str">
        <f t="shared" si="39"/>
        <v xml:space="preserve"> </v>
      </c>
      <c r="AU72" s="103" t="str">
        <f t="shared" si="40"/>
        <v xml:space="preserve"> </v>
      </c>
      <c r="AV72" s="111">
        <f t="shared" ref="AV72:AV135" si="79">SUM(AW72:DL72)*AD72</f>
        <v>0</v>
      </c>
      <c r="AW72" s="4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6"/>
      <c r="DM72" s="111">
        <f t="shared" ref="DM72:DM135" si="80">SUM(DN72:GC72)*AD72</f>
        <v>0</v>
      </c>
      <c r="DN72" s="4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6"/>
      <c r="GD72" s="111">
        <f t="shared" ref="GD72:GD135" si="81">SUM(GE72:IT72)*AD72</f>
        <v>0</v>
      </c>
      <c r="GE72" s="4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6"/>
      <c r="IU72" s="111">
        <f t="shared" ref="IU72:IU135" si="82">SUM(IV72:LK72)*AD72</f>
        <v>0</v>
      </c>
      <c r="IV72" s="4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6"/>
      <c r="LL72" s="111">
        <f t="shared" ref="LL72:LL135" si="83">SUM(LM72:OB72)*AD72</f>
        <v>0</v>
      </c>
      <c r="LM72" s="4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6"/>
      <c r="OC72" s="111">
        <f t="shared" ref="OC72:OC135" si="84">SUM(OD72:QS72)*AD72</f>
        <v>0</v>
      </c>
      <c r="OD72" s="4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6"/>
      <c r="QT72" s="111">
        <f t="shared" ref="QT72:QT135" si="85">SUM(QU72:TJ72)*AD72</f>
        <v>0</v>
      </c>
      <c r="QU72" s="4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6"/>
      <c r="TK72" s="111">
        <f t="shared" ref="TK72:TK135" si="86">SUM(TL72:WA72)*AD72</f>
        <v>0</v>
      </c>
      <c r="TL72" s="4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6"/>
    </row>
    <row r="73" spans="1:599" ht="14.25" customHeight="1" x14ac:dyDescent="0.3">
      <c r="A73" s="85"/>
      <c r="B73" s="87"/>
      <c r="C73" s="87"/>
      <c r="D73" s="86"/>
      <c r="E73" s="2"/>
      <c r="F73" s="2"/>
      <c r="G73" s="2"/>
      <c r="H73" s="2"/>
      <c r="I73" s="2"/>
      <c r="J73" s="2"/>
      <c r="K73" s="2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89" t="str">
        <f t="shared" si="64"/>
        <v/>
      </c>
      <c r="Z73" s="89" t="str">
        <f t="shared" si="65"/>
        <v/>
      </c>
      <c r="AA73" s="89">
        <f t="shared" si="66"/>
        <v>0</v>
      </c>
      <c r="AB73" s="89">
        <f t="shared" si="67"/>
        <v>0</v>
      </c>
      <c r="AC73" s="90">
        <f t="shared" si="68"/>
        <v>0</v>
      </c>
      <c r="AD73" s="91">
        <f t="shared" si="69"/>
        <v>0</v>
      </c>
      <c r="AE73" s="93">
        <f t="shared" si="70"/>
        <v>0</v>
      </c>
      <c r="AF73" s="93">
        <f t="shared" si="71"/>
        <v>0</v>
      </c>
      <c r="AG73" s="93">
        <f t="shared" si="72"/>
        <v>0</v>
      </c>
      <c r="AH73" s="93">
        <f t="shared" si="73"/>
        <v>0</v>
      </c>
      <c r="AI73" s="93">
        <f t="shared" si="74"/>
        <v>0</v>
      </c>
      <c r="AJ73" s="93">
        <f t="shared" si="75"/>
        <v>0</v>
      </c>
      <c r="AK73" s="93">
        <f t="shared" si="76"/>
        <v>0</v>
      </c>
      <c r="AL73" s="93">
        <f t="shared" si="77"/>
        <v>0</v>
      </c>
      <c r="AM73" s="92">
        <f t="shared" si="78"/>
        <v>0</v>
      </c>
      <c r="AN73" s="1" t="str">
        <f t="shared" si="33"/>
        <v xml:space="preserve"> </v>
      </c>
      <c r="AO73" s="1" t="str">
        <f t="shared" si="34"/>
        <v xml:space="preserve"> </v>
      </c>
      <c r="AP73" s="1" t="str">
        <f t="shared" si="35"/>
        <v xml:space="preserve"> </v>
      </c>
      <c r="AQ73" s="1" t="str">
        <f t="shared" si="36"/>
        <v xml:space="preserve"> </v>
      </c>
      <c r="AR73" s="1" t="str">
        <f t="shared" si="37"/>
        <v xml:space="preserve"> </v>
      </c>
      <c r="AS73" s="1" t="str">
        <f t="shared" si="38"/>
        <v xml:space="preserve"> </v>
      </c>
      <c r="AT73" s="1" t="str">
        <f t="shared" si="39"/>
        <v xml:space="preserve"> </v>
      </c>
      <c r="AU73" s="103" t="str">
        <f t="shared" si="40"/>
        <v xml:space="preserve"> </v>
      </c>
      <c r="AV73" s="111">
        <f t="shared" si="79"/>
        <v>0</v>
      </c>
      <c r="AW73" s="4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6"/>
      <c r="DM73" s="111">
        <f t="shared" si="80"/>
        <v>0</v>
      </c>
      <c r="DN73" s="4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6"/>
      <c r="GD73" s="111">
        <f t="shared" si="81"/>
        <v>0</v>
      </c>
      <c r="GE73" s="4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6"/>
      <c r="IU73" s="111">
        <f t="shared" si="82"/>
        <v>0</v>
      </c>
      <c r="IV73" s="4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6"/>
      <c r="LL73" s="111">
        <f t="shared" si="83"/>
        <v>0</v>
      </c>
      <c r="LM73" s="4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6"/>
      <c r="OC73" s="111">
        <f t="shared" si="84"/>
        <v>0</v>
      </c>
      <c r="OD73" s="4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6"/>
      <c r="QT73" s="111">
        <f t="shared" si="85"/>
        <v>0</v>
      </c>
      <c r="QU73" s="4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6"/>
      <c r="TK73" s="111">
        <f t="shared" si="86"/>
        <v>0</v>
      </c>
      <c r="TL73" s="4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6"/>
    </row>
    <row r="74" spans="1:599" ht="14.25" customHeight="1" x14ac:dyDescent="0.3">
      <c r="A74" s="85"/>
      <c r="B74" s="87"/>
      <c r="C74" s="87"/>
      <c r="D74" s="86"/>
      <c r="E74" s="2"/>
      <c r="F74" s="2"/>
      <c r="G74" s="2"/>
      <c r="H74" s="2"/>
      <c r="I74" s="2"/>
      <c r="J74" s="2"/>
      <c r="K74" s="2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89" t="str">
        <f t="shared" si="64"/>
        <v/>
      </c>
      <c r="Z74" s="89" t="str">
        <f t="shared" si="65"/>
        <v/>
      </c>
      <c r="AA74" s="89">
        <f t="shared" si="66"/>
        <v>0</v>
      </c>
      <c r="AB74" s="89">
        <f t="shared" si="67"/>
        <v>0</v>
      </c>
      <c r="AC74" s="90">
        <f t="shared" si="68"/>
        <v>0</v>
      </c>
      <c r="AD74" s="91">
        <f t="shared" si="69"/>
        <v>0</v>
      </c>
      <c r="AE74" s="93">
        <f t="shared" si="70"/>
        <v>0</v>
      </c>
      <c r="AF74" s="93">
        <f t="shared" si="71"/>
        <v>0</v>
      </c>
      <c r="AG74" s="93">
        <f t="shared" si="72"/>
        <v>0</v>
      </c>
      <c r="AH74" s="93">
        <f t="shared" si="73"/>
        <v>0</v>
      </c>
      <c r="AI74" s="93">
        <f t="shared" si="74"/>
        <v>0</v>
      </c>
      <c r="AJ74" s="93">
        <f t="shared" si="75"/>
        <v>0</v>
      </c>
      <c r="AK74" s="93">
        <f t="shared" si="76"/>
        <v>0</v>
      </c>
      <c r="AL74" s="93">
        <f t="shared" si="77"/>
        <v>0</v>
      </c>
      <c r="AM74" s="92">
        <f t="shared" si="78"/>
        <v>0</v>
      </c>
      <c r="AN74" s="1" t="str">
        <f t="shared" si="33"/>
        <v xml:space="preserve"> </v>
      </c>
      <c r="AO74" s="1" t="str">
        <f t="shared" si="34"/>
        <v xml:space="preserve"> </v>
      </c>
      <c r="AP74" s="1" t="str">
        <f t="shared" si="35"/>
        <v xml:space="preserve"> </v>
      </c>
      <c r="AQ74" s="1" t="str">
        <f t="shared" si="36"/>
        <v xml:space="preserve"> </v>
      </c>
      <c r="AR74" s="1" t="str">
        <f t="shared" si="37"/>
        <v xml:space="preserve"> </v>
      </c>
      <c r="AS74" s="1" t="str">
        <f t="shared" si="38"/>
        <v xml:space="preserve"> </v>
      </c>
      <c r="AT74" s="1" t="str">
        <f t="shared" si="39"/>
        <v xml:space="preserve"> </v>
      </c>
      <c r="AU74" s="103" t="str">
        <f t="shared" si="40"/>
        <v xml:space="preserve"> </v>
      </c>
      <c r="AV74" s="111">
        <f t="shared" si="79"/>
        <v>0</v>
      </c>
      <c r="AW74" s="4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6"/>
      <c r="DM74" s="111">
        <f t="shared" si="80"/>
        <v>0</v>
      </c>
      <c r="DN74" s="4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6"/>
      <c r="GD74" s="111">
        <f t="shared" si="81"/>
        <v>0</v>
      </c>
      <c r="GE74" s="4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6"/>
      <c r="IU74" s="111">
        <f t="shared" si="82"/>
        <v>0</v>
      </c>
      <c r="IV74" s="4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6"/>
      <c r="LL74" s="111">
        <f t="shared" si="83"/>
        <v>0</v>
      </c>
      <c r="LM74" s="4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6"/>
      <c r="OC74" s="111">
        <f t="shared" si="84"/>
        <v>0</v>
      </c>
      <c r="OD74" s="4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6"/>
      <c r="QT74" s="111">
        <f t="shared" si="85"/>
        <v>0</v>
      </c>
      <c r="QU74" s="4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6"/>
      <c r="TK74" s="111">
        <f t="shared" si="86"/>
        <v>0</v>
      </c>
      <c r="TL74" s="4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6"/>
    </row>
    <row r="75" spans="1:599" ht="14.25" customHeight="1" x14ac:dyDescent="0.3">
      <c r="A75" s="85"/>
      <c r="B75" s="87"/>
      <c r="C75" s="87"/>
      <c r="D75" s="86"/>
      <c r="E75" s="2"/>
      <c r="F75" s="2"/>
      <c r="G75" s="2"/>
      <c r="H75" s="2"/>
      <c r="I75" s="2"/>
      <c r="J75" s="2"/>
      <c r="K75" s="2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89" t="str">
        <f t="shared" si="64"/>
        <v/>
      </c>
      <c r="Z75" s="89" t="str">
        <f t="shared" si="65"/>
        <v/>
      </c>
      <c r="AA75" s="89">
        <f t="shared" si="66"/>
        <v>0</v>
      </c>
      <c r="AB75" s="89">
        <f t="shared" si="67"/>
        <v>0</v>
      </c>
      <c r="AC75" s="90">
        <f t="shared" si="68"/>
        <v>0</v>
      </c>
      <c r="AD75" s="91">
        <f t="shared" si="69"/>
        <v>0</v>
      </c>
      <c r="AE75" s="93">
        <f t="shared" si="70"/>
        <v>0</v>
      </c>
      <c r="AF75" s="93">
        <f t="shared" si="71"/>
        <v>0</v>
      </c>
      <c r="AG75" s="93">
        <f t="shared" si="72"/>
        <v>0</v>
      </c>
      <c r="AH75" s="93">
        <f t="shared" si="73"/>
        <v>0</v>
      </c>
      <c r="AI75" s="93">
        <f t="shared" si="74"/>
        <v>0</v>
      </c>
      <c r="AJ75" s="93">
        <f t="shared" si="75"/>
        <v>0</v>
      </c>
      <c r="AK75" s="93">
        <f t="shared" si="76"/>
        <v>0</v>
      </c>
      <c r="AL75" s="93">
        <f t="shared" si="77"/>
        <v>0</v>
      </c>
      <c r="AM75" s="92">
        <f t="shared" si="78"/>
        <v>0</v>
      </c>
      <c r="AN75" s="70" t="str">
        <f t="shared" si="33"/>
        <v xml:space="preserve"> </v>
      </c>
      <c r="AO75" s="70" t="str">
        <f t="shared" si="34"/>
        <v xml:space="preserve"> </v>
      </c>
      <c r="AP75" s="70" t="str">
        <f t="shared" si="35"/>
        <v xml:space="preserve"> </v>
      </c>
      <c r="AQ75" s="70" t="str">
        <f t="shared" si="36"/>
        <v xml:space="preserve"> </v>
      </c>
      <c r="AR75" s="70" t="str">
        <f t="shared" si="37"/>
        <v xml:space="preserve"> </v>
      </c>
      <c r="AS75" s="70" t="str">
        <f t="shared" si="38"/>
        <v xml:space="preserve"> </v>
      </c>
      <c r="AT75" s="70" t="str">
        <f t="shared" si="39"/>
        <v xml:space="preserve"> </v>
      </c>
      <c r="AU75" s="105" t="str">
        <f t="shared" si="40"/>
        <v xml:space="preserve"> </v>
      </c>
      <c r="AV75" s="111">
        <f t="shared" si="79"/>
        <v>0</v>
      </c>
      <c r="AW75" s="4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6"/>
      <c r="DM75" s="111">
        <f t="shared" si="80"/>
        <v>0</v>
      </c>
      <c r="DN75" s="71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3"/>
      <c r="GD75" s="111">
        <f t="shared" si="81"/>
        <v>0</v>
      </c>
      <c r="GE75" s="71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/>
      <c r="IR75" s="72"/>
      <c r="IS75" s="72"/>
      <c r="IT75" s="73"/>
      <c r="IU75" s="111">
        <f t="shared" si="82"/>
        <v>0</v>
      </c>
      <c r="IV75" s="71"/>
      <c r="IW75" s="72"/>
      <c r="IX75" s="72"/>
      <c r="IY75" s="72"/>
      <c r="IZ75" s="72"/>
      <c r="JA75" s="72"/>
      <c r="JB75" s="72"/>
      <c r="JC75" s="72"/>
      <c r="JD75" s="72"/>
      <c r="JE75" s="72"/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3"/>
      <c r="LL75" s="111">
        <f t="shared" si="83"/>
        <v>0</v>
      </c>
      <c r="LM75" s="71"/>
      <c r="LN75" s="72"/>
      <c r="LO75" s="72"/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MF75" s="72"/>
      <c r="MG75" s="72"/>
      <c r="MH75" s="72"/>
      <c r="MI75" s="72"/>
      <c r="MJ75" s="72"/>
      <c r="MK75" s="72"/>
      <c r="ML75" s="72"/>
      <c r="MM75" s="72"/>
      <c r="MN75" s="72"/>
      <c r="MO75" s="72"/>
      <c r="MP75" s="72"/>
      <c r="MQ75" s="72"/>
      <c r="MR75" s="72"/>
      <c r="MS75" s="72"/>
      <c r="MT75" s="72"/>
      <c r="MU75" s="72"/>
      <c r="MV75" s="72"/>
      <c r="MW75" s="72"/>
      <c r="MX75" s="72"/>
      <c r="MY75" s="72"/>
      <c r="MZ75" s="72"/>
      <c r="NA75" s="72"/>
      <c r="NB75" s="72"/>
      <c r="NC75" s="72"/>
      <c r="ND75" s="72"/>
      <c r="NE75" s="72"/>
      <c r="NF75" s="72"/>
      <c r="NG75" s="72"/>
      <c r="NH75" s="72"/>
      <c r="NI75" s="72"/>
      <c r="NJ75" s="72"/>
      <c r="NK75" s="72"/>
      <c r="NL75" s="72"/>
      <c r="NM75" s="72"/>
      <c r="NN75" s="72"/>
      <c r="NO75" s="72"/>
      <c r="NP75" s="72"/>
      <c r="NQ75" s="72"/>
      <c r="NR75" s="72"/>
      <c r="NS75" s="72"/>
      <c r="NT75" s="72"/>
      <c r="NU75" s="72"/>
      <c r="NV75" s="72"/>
      <c r="NW75" s="72"/>
      <c r="NX75" s="72"/>
      <c r="NY75" s="72"/>
      <c r="NZ75" s="72"/>
      <c r="OA75" s="72"/>
      <c r="OB75" s="73"/>
      <c r="OC75" s="111">
        <f t="shared" si="84"/>
        <v>0</v>
      </c>
      <c r="OD75" s="71"/>
      <c r="OE75" s="72"/>
      <c r="OF75" s="72"/>
      <c r="OG75" s="72"/>
      <c r="OH75" s="72"/>
      <c r="OI75" s="72"/>
      <c r="OJ75" s="72"/>
      <c r="OK75" s="72"/>
      <c r="OL75" s="72"/>
      <c r="OM75" s="72"/>
      <c r="ON75" s="72"/>
      <c r="OO75" s="72"/>
      <c r="OP75" s="72"/>
      <c r="OQ75" s="72"/>
      <c r="OR75" s="72"/>
      <c r="OS75" s="72"/>
      <c r="OT75" s="72"/>
      <c r="OU75" s="72"/>
      <c r="OV75" s="72"/>
      <c r="OW75" s="72"/>
      <c r="OX75" s="72"/>
      <c r="OY75" s="72"/>
      <c r="OZ75" s="72"/>
      <c r="PA75" s="72"/>
      <c r="PB75" s="72"/>
      <c r="PC75" s="72"/>
      <c r="PD75" s="72"/>
      <c r="PE75" s="72"/>
      <c r="PF75" s="72"/>
      <c r="PG75" s="72"/>
      <c r="PH75" s="72"/>
      <c r="PI75" s="72"/>
      <c r="PJ75" s="72"/>
      <c r="PK75" s="72"/>
      <c r="PL75" s="72"/>
      <c r="PM75" s="72"/>
      <c r="PN75" s="72"/>
      <c r="PO75" s="72"/>
      <c r="PP75" s="72"/>
      <c r="PQ75" s="72"/>
      <c r="PR75" s="72"/>
      <c r="PS75" s="72"/>
      <c r="PT75" s="72"/>
      <c r="PU75" s="72"/>
      <c r="PV75" s="72"/>
      <c r="PW75" s="72"/>
      <c r="PX75" s="72"/>
      <c r="PY75" s="72"/>
      <c r="PZ75" s="72"/>
      <c r="QA75" s="72"/>
      <c r="QB75" s="72"/>
      <c r="QC75" s="72"/>
      <c r="QD75" s="72"/>
      <c r="QE75" s="72"/>
      <c r="QF75" s="72"/>
      <c r="QG75" s="72"/>
      <c r="QH75" s="72"/>
      <c r="QI75" s="72"/>
      <c r="QJ75" s="72"/>
      <c r="QK75" s="72"/>
      <c r="QL75" s="72"/>
      <c r="QM75" s="72"/>
      <c r="QN75" s="72"/>
      <c r="QO75" s="72"/>
      <c r="QP75" s="72"/>
      <c r="QQ75" s="72"/>
      <c r="QR75" s="72"/>
      <c r="QS75" s="73"/>
      <c r="QT75" s="111">
        <f t="shared" si="85"/>
        <v>0</v>
      </c>
      <c r="QU75" s="71"/>
      <c r="QV75" s="72"/>
      <c r="QW75" s="72"/>
      <c r="QX75" s="72"/>
      <c r="QY75" s="72"/>
      <c r="QZ75" s="72"/>
      <c r="RA75" s="72"/>
      <c r="RB75" s="72"/>
      <c r="RC75" s="72"/>
      <c r="RD75" s="72"/>
      <c r="RE75" s="72"/>
      <c r="RF75" s="72"/>
      <c r="RG75" s="72"/>
      <c r="RH75" s="72"/>
      <c r="RI75" s="72"/>
      <c r="RJ75" s="72"/>
      <c r="RK75" s="72"/>
      <c r="RL75" s="72"/>
      <c r="RM75" s="72"/>
      <c r="RN75" s="72"/>
      <c r="RO75" s="72"/>
      <c r="RP75" s="72"/>
      <c r="RQ75" s="72"/>
      <c r="RR75" s="72"/>
      <c r="RS75" s="72"/>
      <c r="RT75" s="72"/>
      <c r="RU75" s="72"/>
      <c r="RV75" s="72"/>
      <c r="RW75" s="72"/>
      <c r="RX75" s="72"/>
      <c r="RY75" s="72"/>
      <c r="RZ75" s="72"/>
      <c r="SA75" s="72"/>
      <c r="SB75" s="72"/>
      <c r="SC75" s="72"/>
      <c r="SD75" s="72"/>
      <c r="SE75" s="72"/>
      <c r="SF75" s="72"/>
      <c r="SG75" s="72"/>
      <c r="SH75" s="72"/>
      <c r="SI75" s="72"/>
      <c r="SJ75" s="72"/>
      <c r="SK75" s="72"/>
      <c r="SL75" s="72"/>
      <c r="SM75" s="72"/>
      <c r="SN75" s="72"/>
      <c r="SO75" s="72"/>
      <c r="SP75" s="72"/>
      <c r="SQ75" s="72"/>
      <c r="SR75" s="72"/>
      <c r="SS75" s="72"/>
      <c r="ST75" s="72"/>
      <c r="SU75" s="72"/>
      <c r="SV75" s="72"/>
      <c r="SW75" s="72"/>
      <c r="SX75" s="72"/>
      <c r="SY75" s="72"/>
      <c r="SZ75" s="72"/>
      <c r="TA75" s="72"/>
      <c r="TB75" s="72"/>
      <c r="TC75" s="72"/>
      <c r="TD75" s="72"/>
      <c r="TE75" s="72"/>
      <c r="TF75" s="72"/>
      <c r="TG75" s="72"/>
      <c r="TH75" s="72"/>
      <c r="TI75" s="72"/>
      <c r="TJ75" s="73"/>
      <c r="TK75" s="111">
        <f t="shared" si="86"/>
        <v>0</v>
      </c>
      <c r="TL75" s="71"/>
      <c r="TM75" s="72"/>
      <c r="TN75" s="72"/>
      <c r="TO75" s="72"/>
      <c r="TP75" s="72"/>
      <c r="TQ75" s="72"/>
      <c r="TR75" s="72"/>
      <c r="TS75" s="72"/>
      <c r="TT75" s="72"/>
      <c r="TU75" s="72"/>
      <c r="TV75" s="72"/>
      <c r="TW75" s="72"/>
      <c r="TX75" s="72"/>
      <c r="TY75" s="72"/>
      <c r="TZ75" s="72"/>
      <c r="UA75" s="72"/>
      <c r="UB75" s="72"/>
      <c r="UC75" s="72"/>
      <c r="UD75" s="72"/>
      <c r="UE75" s="72"/>
      <c r="UF75" s="72"/>
      <c r="UG75" s="72"/>
      <c r="UH75" s="72"/>
      <c r="UI75" s="72"/>
      <c r="UJ75" s="72"/>
      <c r="UK75" s="72"/>
      <c r="UL75" s="72"/>
      <c r="UM75" s="72"/>
      <c r="UN75" s="72"/>
      <c r="UO75" s="72"/>
      <c r="UP75" s="72"/>
      <c r="UQ75" s="72"/>
      <c r="UR75" s="72"/>
      <c r="US75" s="72"/>
      <c r="UT75" s="72"/>
      <c r="UU75" s="72"/>
      <c r="UV75" s="72"/>
      <c r="UW75" s="72"/>
      <c r="UX75" s="72"/>
      <c r="UY75" s="72"/>
      <c r="UZ75" s="72"/>
      <c r="VA75" s="72"/>
      <c r="VB75" s="72"/>
      <c r="VC75" s="72"/>
      <c r="VD75" s="72"/>
      <c r="VE75" s="72"/>
      <c r="VF75" s="72"/>
      <c r="VG75" s="72"/>
      <c r="VH75" s="72"/>
      <c r="VI75" s="72"/>
      <c r="VJ75" s="72"/>
      <c r="VK75" s="72"/>
      <c r="VL75" s="72"/>
      <c r="VM75" s="72"/>
      <c r="VN75" s="72"/>
      <c r="VO75" s="72"/>
      <c r="VP75" s="72"/>
      <c r="VQ75" s="72"/>
      <c r="VR75" s="72"/>
      <c r="VS75" s="72"/>
      <c r="VT75" s="72"/>
      <c r="VU75" s="72"/>
      <c r="VV75" s="72"/>
      <c r="VW75" s="72"/>
      <c r="VX75" s="72"/>
      <c r="VY75" s="72"/>
      <c r="VZ75" s="72"/>
      <c r="WA75" s="73"/>
    </row>
    <row r="76" spans="1:599" s="76" customFormat="1" ht="14.25" customHeight="1" x14ac:dyDescent="0.3">
      <c r="A76" s="85"/>
      <c r="B76" s="87"/>
      <c r="C76" s="87"/>
      <c r="D76" s="86"/>
      <c r="E76" s="2"/>
      <c r="F76" s="2"/>
      <c r="G76" s="2"/>
      <c r="H76" s="2"/>
      <c r="I76" s="2"/>
      <c r="J76" s="2"/>
      <c r="K76" s="2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89" t="str">
        <f t="shared" si="64"/>
        <v/>
      </c>
      <c r="Z76" s="89" t="str">
        <f t="shared" si="65"/>
        <v/>
      </c>
      <c r="AA76" s="89">
        <f t="shared" si="66"/>
        <v>0</v>
      </c>
      <c r="AB76" s="89">
        <f t="shared" si="67"/>
        <v>0</v>
      </c>
      <c r="AC76" s="90">
        <f t="shared" si="68"/>
        <v>0</v>
      </c>
      <c r="AD76" s="91">
        <f t="shared" si="69"/>
        <v>0</v>
      </c>
      <c r="AE76" s="93">
        <f t="shared" si="70"/>
        <v>0</v>
      </c>
      <c r="AF76" s="93">
        <f t="shared" si="71"/>
        <v>0</v>
      </c>
      <c r="AG76" s="93">
        <f t="shared" si="72"/>
        <v>0</v>
      </c>
      <c r="AH76" s="93">
        <f t="shared" si="73"/>
        <v>0</v>
      </c>
      <c r="AI76" s="93">
        <f t="shared" si="74"/>
        <v>0</v>
      </c>
      <c r="AJ76" s="93">
        <f t="shared" si="75"/>
        <v>0</v>
      </c>
      <c r="AK76" s="93">
        <f t="shared" si="76"/>
        <v>0</v>
      </c>
      <c r="AL76" s="93">
        <f t="shared" si="77"/>
        <v>0</v>
      </c>
      <c r="AM76" s="92">
        <f t="shared" si="78"/>
        <v>0</v>
      </c>
      <c r="AN76" s="1" t="str">
        <f t="shared" si="33"/>
        <v xml:space="preserve"> </v>
      </c>
      <c r="AO76" s="1" t="str">
        <f t="shared" si="34"/>
        <v xml:space="preserve"> </v>
      </c>
      <c r="AP76" s="1" t="str">
        <f t="shared" si="35"/>
        <v xml:space="preserve"> </v>
      </c>
      <c r="AQ76" s="1" t="str">
        <f t="shared" si="36"/>
        <v xml:space="preserve"> </v>
      </c>
      <c r="AR76" s="1" t="str">
        <f t="shared" si="37"/>
        <v xml:space="preserve"> </v>
      </c>
      <c r="AS76" s="1" t="str">
        <f t="shared" si="38"/>
        <v xml:space="preserve"> </v>
      </c>
      <c r="AT76" s="1" t="str">
        <f t="shared" si="39"/>
        <v xml:space="preserve"> </v>
      </c>
      <c r="AU76" s="103" t="str">
        <f t="shared" si="40"/>
        <v xml:space="preserve"> </v>
      </c>
      <c r="AV76" s="111">
        <f t="shared" si="79"/>
        <v>0</v>
      </c>
      <c r="AW76" s="4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6"/>
      <c r="DM76" s="111">
        <f t="shared" si="80"/>
        <v>0</v>
      </c>
      <c r="DN76" s="75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6"/>
      <c r="GD76" s="111">
        <f t="shared" si="81"/>
        <v>0</v>
      </c>
      <c r="GE76" s="75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6"/>
      <c r="IU76" s="111">
        <f t="shared" si="82"/>
        <v>0</v>
      </c>
      <c r="IV76" s="75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6"/>
      <c r="LL76" s="111">
        <f t="shared" si="83"/>
        <v>0</v>
      </c>
      <c r="LM76" s="75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6"/>
      <c r="OC76" s="111">
        <f t="shared" si="84"/>
        <v>0</v>
      </c>
      <c r="OD76" s="75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6"/>
      <c r="QT76" s="111">
        <f t="shared" si="85"/>
        <v>0</v>
      </c>
      <c r="QU76" s="75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6"/>
      <c r="TK76" s="111">
        <f t="shared" si="86"/>
        <v>0</v>
      </c>
      <c r="TL76" s="75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6"/>
    </row>
    <row r="77" spans="1:599" ht="14.25" customHeight="1" x14ac:dyDescent="0.3">
      <c r="A77" s="41"/>
      <c r="B77" s="39"/>
      <c r="C77" s="40"/>
      <c r="D77" s="40"/>
      <c r="E77" s="2"/>
      <c r="F77" s="2"/>
      <c r="G77" s="2"/>
      <c r="H77" s="2"/>
      <c r="I77" s="2"/>
      <c r="J77" s="2"/>
      <c r="K77" s="2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89" t="str">
        <f t="shared" si="64"/>
        <v/>
      </c>
      <c r="Z77" s="89" t="str">
        <f t="shared" si="65"/>
        <v/>
      </c>
      <c r="AA77" s="89">
        <f t="shared" si="66"/>
        <v>0</v>
      </c>
      <c r="AB77" s="89">
        <f t="shared" si="67"/>
        <v>0</v>
      </c>
      <c r="AC77" s="90">
        <f t="shared" si="68"/>
        <v>0</v>
      </c>
      <c r="AD77" s="91">
        <f t="shared" si="69"/>
        <v>0</v>
      </c>
      <c r="AE77" s="93">
        <f t="shared" si="70"/>
        <v>0</v>
      </c>
      <c r="AF77" s="93">
        <f t="shared" si="71"/>
        <v>0</v>
      </c>
      <c r="AG77" s="93">
        <f t="shared" si="72"/>
        <v>0</v>
      </c>
      <c r="AH77" s="93">
        <f t="shared" si="73"/>
        <v>0</v>
      </c>
      <c r="AI77" s="93">
        <f t="shared" si="74"/>
        <v>0</v>
      </c>
      <c r="AJ77" s="93">
        <f t="shared" si="75"/>
        <v>0</v>
      </c>
      <c r="AK77" s="93">
        <f t="shared" si="76"/>
        <v>0</v>
      </c>
      <c r="AL77" s="93">
        <f t="shared" si="77"/>
        <v>0</v>
      </c>
      <c r="AM77" s="92">
        <f t="shared" si="78"/>
        <v>0</v>
      </c>
      <c r="AN77" s="1" t="str">
        <f t="shared" si="33"/>
        <v xml:space="preserve"> </v>
      </c>
      <c r="AO77" s="1" t="str">
        <f t="shared" si="34"/>
        <v xml:space="preserve"> </v>
      </c>
      <c r="AP77" s="1" t="str">
        <f t="shared" si="35"/>
        <v xml:space="preserve"> </v>
      </c>
      <c r="AQ77" s="1" t="str">
        <f t="shared" si="36"/>
        <v xml:space="preserve"> </v>
      </c>
      <c r="AR77" s="1" t="str">
        <f t="shared" si="37"/>
        <v xml:space="preserve"> </v>
      </c>
      <c r="AS77" s="1" t="str">
        <f t="shared" si="38"/>
        <v xml:space="preserve"> </v>
      </c>
      <c r="AT77" s="1" t="str">
        <f t="shared" si="39"/>
        <v xml:space="preserve"> </v>
      </c>
      <c r="AU77" s="103" t="str">
        <f t="shared" si="40"/>
        <v xml:space="preserve"> </v>
      </c>
      <c r="AV77" s="111">
        <f t="shared" si="79"/>
        <v>0</v>
      </c>
      <c r="AW77" s="4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6"/>
      <c r="DM77" s="111">
        <f t="shared" si="80"/>
        <v>0</v>
      </c>
      <c r="DN77" s="4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6"/>
      <c r="GD77" s="111">
        <f t="shared" si="81"/>
        <v>0</v>
      </c>
      <c r="GE77" s="4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6"/>
      <c r="IU77" s="111">
        <f t="shared" si="82"/>
        <v>0</v>
      </c>
      <c r="IV77" s="4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6"/>
      <c r="LL77" s="111">
        <f t="shared" si="83"/>
        <v>0</v>
      </c>
      <c r="LM77" s="4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6"/>
      <c r="OC77" s="111">
        <f t="shared" si="84"/>
        <v>0</v>
      </c>
      <c r="OD77" s="4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6"/>
      <c r="QT77" s="111">
        <f t="shared" si="85"/>
        <v>0</v>
      </c>
      <c r="QU77" s="4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6"/>
      <c r="TK77" s="111">
        <f t="shared" si="86"/>
        <v>0</v>
      </c>
      <c r="TL77" s="4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6"/>
    </row>
    <row r="78" spans="1:599" ht="14.25" customHeight="1" x14ac:dyDescent="0.3">
      <c r="A78" s="85"/>
      <c r="B78" s="87"/>
      <c r="C78" s="86"/>
      <c r="D78" s="86"/>
      <c r="E78" s="2"/>
      <c r="F78" s="2"/>
      <c r="G78" s="2"/>
      <c r="H78" s="2"/>
      <c r="I78" s="2"/>
      <c r="J78" s="2"/>
      <c r="K78" s="2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89" t="str">
        <f t="shared" si="64"/>
        <v/>
      </c>
      <c r="Z78" s="89" t="str">
        <f t="shared" si="65"/>
        <v/>
      </c>
      <c r="AA78" s="89">
        <f t="shared" si="66"/>
        <v>0</v>
      </c>
      <c r="AB78" s="89">
        <f t="shared" si="67"/>
        <v>0</v>
      </c>
      <c r="AC78" s="90">
        <f t="shared" si="68"/>
        <v>0</v>
      </c>
      <c r="AD78" s="91">
        <f t="shared" si="69"/>
        <v>0</v>
      </c>
      <c r="AE78" s="93">
        <f t="shared" si="70"/>
        <v>0</v>
      </c>
      <c r="AF78" s="93">
        <f t="shared" si="71"/>
        <v>0</v>
      </c>
      <c r="AG78" s="93">
        <f t="shared" si="72"/>
        <v>0</v>
      </c>
      <c r="AH78" s="93">
        <f t="shared" si="73"/>
        <v>0</v>
      </c>
      <c r="AI78" s="93">
        <f t="shared" si="74"/>
        <v>0</v>
      </c>
      <c r="AJ78" s="93">
        <f t="shared" si="75"/>
        <v>0</v>
      </c>
      <c r="AK78" s="93">
        <f t="shared" si="76"/>
        <v>0</v>
      </c>
      <c r="AL78" s="93">
        <f t="shared" si="77"/>
        <v>0</v>
      </c>
      <c r="AM78" s="92">
        <f t="shared" si="78"/>
        <v>0</v>
      </c>
      <c r="AN78" s="1" t="str">
        <f t="shared" si="33"/>
        <v xml:space="preserve"> </v>
      </c>
      <c r="AO78" s="1" t="str">
        <f t="shared" si="34"/>
        <v xml:space="preserve"> </v>
      </c>
      <c r="AP78" s="1" t="str">
        <f t="shared" si="35"/>
        <v xml:space="preserve"> </v>
      </c>
      <c r="AQ78" s="1" t="str">
        <f t="shared" si="36"/>
        <v xml:space="preserve"> </v>
      </c>
      <c r="AR78" s="1" t="str">
        <f t="shared" si="37"/>
        <v xml:space="preserve"> </v>
      </c>
      <c r="AS78" s="1" t="str">
        <f t="shared" si="38"/>
        <v xml:space="preserve"> </v>
      </c>
      <c r="AT78" s="1" t="str">
        <f t="shared" si="39"/>
        <v xml:space="preserve"> </v>
      </c>
      <c r="AU78" s="103" t="str">
        <f t="shared" si="40"/>
        <v xml:space="preserve"> </v>
      </c>
      <c r="AV78" s="111">
        <f t="shared" si="79"/>
        <v>0</v>
      </c>
      <c r="AW78" s="4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6"/>
      <c r="DM78" s="111">
        <f t="shared" si="80"/>
        <v>0</v>
      </c>
      <c r="DN78" s="4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6"/>
      <c r="GD78" s="111">
        <f t="shared" si="81"/>
        <v>0</v>
      </c>
      <c r="GE78" s="4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6"/>
      <c r="IU78" s="111">
        <f t="shared" si="82"/>
        <v>0</v>
      </c>
      <c r="IV78" s="4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6"/>
      <c r="LL78" s="111">
        <f t="shared" si="83"/>
        <v>0</v>
      </c>
      <c r="LM78" s="4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6"/>
      <c r="OC78" s="111">
        <f t="shared" si="84"/>
        <v>0</v>
      </c>
      <c r="OD78" s="4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6"/>
      <c r="QT78" s="111">
        <f t="shared" si="85"/>
        <v>0</v>
      </c>
      <c r="QU78" s="4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6"/>
      <c r="TK78" s="111">
        <f t="shared" si="86"/>
        <v>0</v>
      </c>
      <c r="TL78" s="4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6"/>
    </row>
    <row r="79" spans="1:599" ht="14.25" customHeight="1" x14ac:dyDescent="0.3">
      <c r="A79" s="85"/>
      <c r="B79" s="87"/>
      <c r="C79" s="87"/>
      <c r="D79" s="86"/>
      <c r="E79" s="2"/>
      <c r="F79" s="2"/>
      <c r="G79" s="2"/>
      <c r="H79" s="2"/>
      <c r="I79" s="2"/>
      <c r="J79" s="2"/>
      <c r="K79" s="2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89" t="str">
        <f t="shared" si="64"/>
        <v/>
      </c>
      <c r="Z79" s="89" t="str">
        <f t="shared" si="65"/>
        <v/>
      </c>
      <c r="AA79" s="89">
        <f t="shared" si="66"/>
        <v>0</v>
      </c>
      <c r="AB79" s="89">
        <f t="shared" si="67"/>
        <v>0</v>
      </c>
      <c r="AC79" s="90">
        <f t="shared" si="68"/>
        <v>0</v>
      </c>
      <c r="AD79" s="91">
        <f t="shared" si="69"/>
        <v>0</v>
      </c>
      <c r="AE79" s="93">
        <f t="shared" si="70"/>
        <v>0</v>
      </c>
      <c r="AF79" s="93">
        <f t="shared" si="71"/>
        <v>0</v>
      </c>
      <c r="AG79" s="93">
        <f t="shared" si="72"/>
        <v>0</v>
      </c>
      <c r="AH79" s="93">
        <f t="shared" si="73"/>
        <v>0</v>
      </c>
      <c r="AI79" s="93">
        <f t="shared" si="74"/>
        <v>0</v>
      </c>
      <c r="AJ79" s="93">
        <f t="shared" si="75"/>
        <v>0</v>
      </c>
      <c r="AK79" s="93">
        <f t="shared" si="76"/>
        <v>0</v>
      </c>
      <c r="AL79" s="93">
        <f t="shared" si="77"/>
        <v>0</v>
      </c>
      <c r="AM79" s="92">
        <f t="shared" si="78"/>
        <v>0</v>
      </c>
      <c r="AN79" s="1" t="str">
        <f t="shared" si="33"/>
        <v xml:space="preserve"> </v>
      </c>
      <c r="AO79" s="1" t="str">
        <f t="shared" si="34"/>
        <v xml:space="preserve"> </v>
      </c>
      <c r="AP79" s="1" t="str">
        <f t="shared" si="35"/>
        <v xml:space="preserve"> </v>
      </c>
      <c r="AQ79" s="1" t="str">
        <f t="shared" si="36"/>
        <v xml:space="preserve"> </v>
      </c>
      <c r="AR79" s="1" t="str">
        <f t="shared" si="37"/>
        <v xml:space="preserve"> </v>
      </c>
      <c r="AS79" s="1" t="str">
        <f t="shared" si="38"/>
        <v xml:space="preserve"> </v>
      </c>
      <c r="AT79" s="1" t="str">
        <f t="shared" si="39"/>
        <v xml:space="preserve"> </v>
      </c>
      <c r="AU79" s="103" t="str">
        <f t="shared" si="40"/>
        <v xml:space="preserve"> </v>
      </c>
      <c r="AV79" s="111">
        <f t="shared" si="79"/>
        <v>0</v>
      </c>
      <c r="AW79" s="4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6"/>
      <c r="DM79" s="111">
        <f t="shared" si="80"/>
        <v>0</v>
      </c>
      <c r="DN79" s="4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6"/>
      <c r="GD79" s="111">
        <f t="shared" si="81"/>
        <v>0</v>
      </c>
      <c r="GE79" s="4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6"/>
      <c r="IU79" s="111">
        <f t="shared" si="82"/>
        <v>0</v>
      </c>
      <c r="IV79" s="4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6"/>
      <c r="LL79" s="111">
        <f t="shared" si="83"/>
        <v>0</v>
      </c>
      <c r="LM79" s="4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6"/>
      <c r="OC79" s="111">
        <f t="shared" si="84"/>
        <v>0</v>
      </c>
      <c r="OD79" s="4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6"/>
      <c r="QT79" s="111">
        <f t="shared" si="85"/>
        <v>0</v>
      </c>
      <c r="QU79" s="4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6"/>
      <c r="TK79" s="111">
        <f t="shared" si="86"/>
        <v>0</v>
      </c>
      <c r="TL79" s="4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6"/>
    </row>
    <row r="80" spans="1:599" ht="14.25" customHeight="1" x14ac:dyDescent="0.3">
      <c r="A80" s="41"/>
      <c r="B80" s="39"/>
      <c r="C80" s="40"/>
      <c r="D80" s="40"/>
      <c r="E80" s="2"/>
      <c r="F80" s="2"/>
      <c r="G80" s="2"/>
      <c r="H80" s="2"/>
      <c r="I80" s="2"/>
      <c r="J80" s="2"/>
      <c r="K80" s="2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89" t="str">
        <f t="shared" si="64"/>
        <v/>
      </c>
      <c r="Z80" s="89" t="str">
        <f t="shared" si="65"/>
        <v/>
      </c>
      <c r="AA80" s="89">
        <f t="shared" si="66"/>
        <v>0</v>
      </c>
      <c r="AB80" s="89">
        <f t="shared" si="67"/>
        <v>0</v>
      </c>
      <c r="AC80" s="90">
        <f t="shared" si="68"/>
        <v>0</v>
      </c>
      <c r="AD80" s="91">
        <f t="shared" si="69"/>
        <v>0</v>
      </c>
      <c r="AE80" s="93">
        <f t="shared" si="70"/>
        <v>0</v>
      </c>
      <c r="AF80" s="93">
        <f t="shared" si="71"/>
        <v>0</v>
      </c>
      <c r="AG80" s="93">
        <f t="shared" si="72"/>
        <v>0</v>
      </c>
      <c r="AH80" s="93">
        <f t="shared" si="73"/>
        <v>0</v>
      </c>
      <c r="AI80" s="93">
        <f t="shared" si="74"/>
        <v>0</v>
      </c>
      <c r="AJ80" s="93">
        <f t="shared" si="75"/>
        <v>0</v>
      </c>
      <c r="AK80" s="93">
        <f t="shared" si="76"/>
        <v>0</v>
      </c>
      <c r="AL80" s="93">
        <f t="shared" si="77"/>
        <v>0</v>
      </c>
      <c r="AM80" s="92">
        <f t="shared" si="78"/>
        <v>0</v>
      </c>
      <c r="AN80" s="1" t="str">
        <f t="shared" si="33"/>
        <v xml:space="preserve"> </v>
      </c>
      <c r="AO80" s="1" t="str">
        <f t="shared" si="34"/>
        <v xml:space="preserve"> </v>
      </c>
      <c r="AP80" s="1" t="str">
        <f t="shared" si="35"/>
        <v xml:space="preserve"> </v>
      </c>
      <c r="AQ80" s="1" t="str">
        <f t="shared" si="36"/>
        <v xml:space="preserve"> </v>
      </c>
      <c r="AR80" s="1" t="str">
        <f t="shared" si="37"/>
        <v xml:space="preserve"> </v>
      </c>
      <c r="AS80" s="1" t="str">
        <f t="shared" si="38"/>
        <v xml:space="preserve"> </v>
      </c>
      <c r="AT80" s="1" t="str">
        <f t="shared" si="39"/>
        <v xml:space="preserve"> </v>
      </c>
      <c r="AU80" s="103" t="str">
        <f t="shared" si="40"/>
        <v xml:space="preserve"> </v>
      </c>
      <c r="AV80" s="111">
        <f t="shared" si="79"/>
        <v>0</v>
      </c>
      <c r="AW80" s="4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6"/>
      <c r="DM80" s="111">
        <f t="shared" si="80"/>
        <v>0</v>
      </c>
      <c r="DN80" s="4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6"/>
      <c r="GD80" s="111">
        <f t="shared" si="81"/>
        <v>0</v>
      </c>
      <c r="GE80" s="4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6"/>
      <c r="IU80" s="111">
        <f t="shared" si="82"/>
        <v>0</v>
      </c>
      <c r="IV80" s="4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6"/>
      <c r="LL80" s="111">
        <f t="shared" si="83"/>
        <v>0</v>
      </c>
      <c r="LM80" s="4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6"/>
      <c r="OC80" s="111">
        <f t="shared" si="84"/>
        <v>0</v>
      </c>
      <c r="OD80" s="4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6"/>
      <c r="QT80" s="111">
        <f t="shared" si="85"/>
        <v>0</v>
      </c>
      <c r="QU80" s="4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6"/>
      <c r="TK80" s="111">
        <f t="shared" si="86"/>
        <v>0</v>
      </c>
      <c r="TL80" s="4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6"/>
    </row>
    <row r="81" spans="1:599" s="84" customFormat="1" ht="14.25" customHeight="1" x14ac:dyDescent="0.3">
      <c r="A81" s="41"/>
      <c r="B81" s="39"/>
      <c r="C81" s="40"/>
      <c r="D81" s="40"/>
      <c r="E81" s="2"/>
      <c r="F81" s="2"/>
      <c r="G81" s="2"/>
      <c r="H81" s="2"/>
      <c r="I81" s="2"/>
      <c r="J81" s="2"/>
      <c r="K81" s="2"/>
      <c r="L81" s="2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89" t="str">
        <f t="shared" si="64"/>
        <v/>
      </c>
      <c r="Z81" s="89" t="str">
        <f t="shared" si="65"/>
        <v/>
      </c>
      <c r="AA81" s="89">
        <f t="shared" si="66"/>
        <v>0</v>
      </c>
      <c r="AB81" s="89">
        <f t="shared" si="67"/>
        <v>0</v>
      </c>
      <c r="AC81" s="90">
        <f t="shared" si="68"/>
        <v>0</v>
      </c>
      <c r="AD81" s="91">
        <f t="shared" si="69"/>
        <v>0</v>
      </c>
      <c r="AE81" s="93">
        <f t="shared" si="70"/>
        <v>0</v>
      </c>
      <c r="AF81" s="93">
        <f t="shared" si="71"/>
        <v>0</v>
      </c>
      <c r="AG81" s="93">
        <f t="shared" si="72"/>
        <v>0</v>
      </c>
      <c r="AH81" s="93">
        <f t="shared" si="73"/>
        <v>0</v>
      </c>
      <c r="AI81" s="93">
        <f t="shared" si="74"/>
        <v>0</v>
      </c>
      <c r="AJ81" s="93">
        <f t="shared" si="75"/>
        <v>0</v>
      </c>
      <c r="AK81" s="93">
        <f t="shared" si="76"/>
        <v>0</v>
      </c>
      <c r="AL81" s="93">
        <f t="shared" si="77"/>
        <v>0</v>
      </c>
      <c r="AM81" s="92">
        <f t="shared" si="78"/>
        <v>0</v>
      </c>
      <c r="AN81" s="1" t="str">
        <f t="shared" si="33"/>
        <v xml:space="preserve"> </v>
      </c>
      <c r="AO81" s="1" t="str">
        <f t="shared" si="34"/>
        <v xml:space="preserve"> </v>
      </c>
      <c r="AP81" s="1" t="str">
        <f t="shared" si="35"/>
        <v xml:space="preserve"> </v>
      </c>
      <c r="AQ81" s="1" t="str">
        <f t="shared" si="36"/>
        <v xml:space="preserve"> </v>
      </c>
      <c r="AR81" s="1" t="str">
        <f t="shared" si="37"/>
        <v xml:space="preserve"> </v>
      </c>
      <c r="AS81" s="1" t="str">
        <f t="shared" si="38"/>
        <v xml:space="preserve"> </v>
      </c>
      <c r="AT81" s="1" t="str">
        <f t="shared" si="39"/>
        <v xml:space="preserve"> </v>
      </c>
      <c r="AU81" s="103" t="str">
        <f t="shared" si="40"/>
        <v xml:space="preserve"> </v>
      </c>
      <c r="AV81" s="111">
        <f t="shared" si="79"/>
        <v>0</v>
      </c>
      <c r="AW81" s="4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6"/>
      <c r="DM81" s="111">
        <f t="shared" si="80"/>
        <v>0</v>
      </c>
      <c r="DN81" s="4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6"/>
      <c r="GD81" s="111">
        <f t="shared" si="81"/>
        <v>0</v>
      </c>
      <c r="GE81" s="4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6"/>
      <c r="IU81" s="111">
        <f t="shared" si="82"/>
        <v>0</v>
      </c>
      <c r="IV81" s="4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6"/>
      <c r="LL81" s="111">
        <f t="shared" si="83"/>
        <v>0</v>
      </c>
      <c r="LM81" s="4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6"/>
      <c r="OC81" s="111">
        <f t="shared" si="84"/>
        <v>0</v>
      </c>
      <c r="OD81" s="4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6"/>
      <c r="QT81" s="111">
        <f t="shared" si="85"/>
        <v>0</v>
      </c>
      <c r="QU81" s="4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6"/>
      <c r="TK81" s="111">
        <f t="shared" si="86"/>
        <v>0</v>
      </c>
      <c r="TL81" s="4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6"/>
    </row>
    <row r="82" spans="1:599" ht="14.25" customHeight="1" x14ac:dyDescent="0.3">
      <c r="A82" s="41"/>
      <c r="B82" s="39"/>
      <c r="C82" s="40"/>
      <c r="D82" s="40"/>
      <c r="E82" s="81"/>
      <c r="F82" s="81"/>
      <c r="G82" s="81"/>
      <c r="H82" s="81"/>
      <c r="I82" s="81"/>
      <c r="J82" s="81"/>
      <c r="K82" s="81"/>
      <c r="L82" s="81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89" t="str">
        <f t="shared" si="64"/>
        <v/>
      </c>
      <c r="Z82" s="89" t="str">
        <f t="shared" si="65"/>
        <v/>
      </c>
      <c r="AA82" s="89">
        <f t="shared" si="66"/>
        <v>0</v>
      </c>
      <c r="AB82" s="89">
        <f t="shared" si="67"/>
        <v>0</v>
      </c>
      <c r="AC82" s="90">
        <f t="shared" si="68"/>
        <v>0</v>
      </c>
      <c r="AD82" s="91">
        <f t="shared" si="69"/>
        <v>0</v>
      </c>
      <c r="AE82" s="93">
        <f t="shared" si="70"/>
        <v>0</v>
      </c>
      <c r="AF82" s="93">
        <f t="shared" si="71"/>
        <v>0</v>
      </c>
      <c r="AG82" s="93">
        <f t="shared" si="72"/>
        <v>0</v>
      </c>
      <c r="AH82" s="93">
        <f t="shared" si="73"/>
        <v>0</v>
      </c>
      <c r="AI82" s="93">
        <f t="shared" si="74"/>
        <v>0</v>
      </c>
      <c r="AJ82" s="93">
        <f t="shared" si="75"/>
        <v>0</v>
      </c>
      <c r="AK82" s="93">
        <f t="shared" si="76"/>
        <v>0</v>
      </c>
      <c r="AL82" s="93">
        <f t="shared" si="77"/>
        <v>0</v>
      </c>
      <c r="AM82" s="92">
        <f t="shared" si="78"/>
        <v>0</v>
      </c>
      <c r="AN82" s="1" t="str">
        <f t="shared" si="33"/>
        <v xml:space="preserve"> </v>
      </c>
      <c r="AO82" s="1" t="str">
        <f t="shared" si="34"/>
        <v xml:space="preserve"> </v>
      </c>
      <c r="AP82" s="1" t="str">
        <f t="shared" si="35"/>
        <v xml:space="preserve"> </v>
      </c>
      <c r="AQ82" s="1" t="str">
        <f t="shared" si="36"/>
        <v xml:space="preserve"> </v>
      </c>
      <c r="AR82" s="1" t="str">
        <f t="shared" si="37"/>
        <v xml:space="preserve"> </v>
      </c>
      <c r="AS82" s="1" t="str">
        <f t="shared" si="38"/>
        <v xml:space="preserve"> </v>
      </c>
      <c r="AT82" s="1" t="str">
        <f t="shared" si="39"/>
        <v xml:space="preserve"> </v>
      </c>
      <c r="AU82" s="103" t="str">
        <f t="shared" si="40"/>
        <v xml:space="preserve"> </v>
      </c>
      <c r="AV82" s="111">
        <f t="shared" si="79"/>
        <v>0</v>
      </c>
      <c r="AW82" s="4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6"/>
      <c r="DM82" s="111">
        <f t="shared" si="80"/>
        <v>0</v>
      </c>
      <c r="DN82" s="4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6"/>
      <c r="GD82" s="111">
        <f t="shared" si="81"/>
        <v>0</v>
      </c>
      <c r="GE82" s="4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6"/>
      <c r="IU82" s="111">
        <f t="shared" si="82"/>
        <v>0</v>
      </c>
      <c r="IV82" s="4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6"/>
      <c r="LL82" s="111">
        <f t="shared" si="83"/>
        <v>0</v>
      </c>
      <c r="LM82" s="4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6"/>
      <c r="OC82" s="111">
        <f t="shared" si="84"/>
        <v>0</v>
      </c>
      <c r="OD82" s="4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6"/>
      <c r="QT82" s="111">
        <f t="shared" si="85"/>
        <v>0</v>
      </c>
      <c r="QU82" s="4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6"/>
      <c r="TK82" s="111">
        <f t="shared" si="86"/>
        <v>0</v>
      </c>
      <c r="TL82" s="4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6"/>
    </row>
    <row r="83" spans="1:599" ht="14.25" customHeight="1" x14ac:dyDescent="0.3">
      <c r="A83" s="85"/>
      <c r="B83" s="87"/>
      <c r="C83" s="87"/>
      <c r="D83" s="86"/>
      <c r="E83" s="81"/>
      <c r="F83" s="81"/>
      <c r="G83" s="81"/>
      <c r="H83" s="81"/>
      <c r="I83" s="81"/>
      <c r="J83" s="81"/>
      <c r="K83" s="81"/>
      <c r="L83" s="81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89" t="str">
        <f t="shared" si="64"/>
        <v/>
      </c>
      <c r="Z83" s="89" t="str">
        <f t="shared" si="65"/>
        <v/>
      </c>
      <c r="AA83" s="89">
        <f t="shared" si="66"/>
        <v>0</v>
      </c>
      <c r="AB83" s="89">
        <f t="shared" si="67"/>
        <v>0</v>
      </c>
      <c r="AC83" s="90">
        <f t="shared" si="68"/>
        <v>0</v>
      </c>
      <c r="AD83" s="91">
        <f t="shared" si="69"/>
        <v>0</v>
      </c>
      <c r="AE83" s="93">
        <f t="shared" si="70"/>
        <v>0</v>
      </c>
      <c r="AF83" s="93">
        <f t="shared" si="71"/>
        <v>0</v>
      </c>
      <c r="AG83" s="93">
        <f t="shared" si="72"/>
        <v>0</v>
      </c>
      <c r="AH83" s="93">
        <f t="shared" si="73"/>
        <v>0</v>
      </c>
      <c r="AI83" s="93">
        <f t="shared" si="74"/>
        <v>0</v>
      </c>
      <c r="AJ83" s="93">
        <f t="shared" si="75"/>
        <v>0</v>
      </c>
      <c r="AK83" s="93">
        <f t="shared" si="76"/>
        <v>0</v>
      </c>
      <c r="AL83" s="93">
        <f t="shared" si="77"/>
        <v>0</v>
      </c>
      <c r="AM83" s="92">
        <f t="shared" si="78"/>
        <v>0</v>
      </c>
      <c r="AN83" s="1" t="str">
        <f t="shared" si="33"/>
        <v xml:space="preserve"> </v>
      </c>
      <c r="AO83" s="1" t="str">
        <f t="shared" si="34"/>
        <v xml:space="preserve"> </v>
      </c>
      <c r="AP83" s="1" t="str">
        <f t="shared" si="35"/>
        <v xml:space="preserve"> </v>
      </c>
      <c r="AQ83" s="1" t="str">
        <f t="shared" si="36"/>
        <v xml:space="preserve"> </v>
      </c>
      <c r="AR83" s="1" t="str">
        <f t="shared" si="37"/>
        <v xml:space="preserve"> </v>
      </c>
      <c r="AS83" s="1" t="str">
        <f t="shared" si="38"/>
        <v xml:space="preserve"> </v>
      </c>
      <c r="AT83" s="1" t="str">
        <f t="shared" si="39"/>
        <v xml:space="preserve"> </v>
      </c>
      <c r="AU83" s="103" t="str">
        <f t="shared" si="40"/>
        <v xml:space="preserve"> </v>
      </c>
      <c r="AV83" s="111">
        <f t="shared" si="79"/>
        <v>0</v>
      </c>
      <c r="AW83" s="4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6"/>
      <c r="DM83" s="111">
        <f t="shared" si="80"/>
        <v>0</v>
      </c>
      <c r="DN83" s="4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6"/>
      <c r="GD83" s="111">
        <f t="shared" si="81"/>
        <v>0</v>
      </c>
      <c r="GE83" s="4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6"/>
      <c r="IU83" s="111">
        <f t="shared" si="82"/>
        <v>0</v>
      </c>
      <c r="IV83" s="4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6"/>
      <c r="LL83" s="111">
        <f t="shared" si="83"/>
        <v>0</v>
      </c>
      <c r="LM83" s="4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6"/>
      <c r="OC83" s="111">
        <f t="shared" si="84"/>
        <v>0</v>
      </c>
      <c r="OD83" s="4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6"/>
      <c r="QT83" s="111">
        <f t="shared" si="85"/>
        <v>0</v>
      </c>
      <c r="QU83" s="4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6"/>
      <c r="TK83" s="111">
        <f t="shared" si="86"/>
        <v>0</v>
      </c>
      <c r="TL83" s="4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6"/>
    </row>
    <row r="84" spans="1:599" ht="14.25" customHeight="1" x14ac:dyDescent="0.3">
      <c r="A84" s="85"/>
      <c r="B84" s="87"/>
      <c r="C84" s="87"/>
      <c r="D84" s="86"/>
      <c r="E84" s="81"/>
      <c r="F84" s="81"/>
      <c r="G84" s="81"/>
      <c r="H84" s="81"/>
      <c r="I84" s="81"/>
      <c r="J84" s="81"/>
      <c r="K84" s="81"/>
      <c r="L84" s="81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89" t="str">
        <f t="shared" si="64"/>
        <v/>
      </c>
      <c r="Z84" s="89" t="str">
        <f t="shared" si="65"/>
        <v/>
      </c>
      <c r="AA84" s="89">
        <f t="shared" si="66"/>
        <v>0</v>
      </c>
      <c r="AB84" s="89">
        <f t="shared" si="67"/>
        <v>0</v>
      </c>
      <c r="AC84" s="90">
        <f t="shared" si="68"/>
        <v>0</v>
      </c>
      <c r="AD84" s="91">
        <f t="shared" si="69"/>
        <v>0</v>
      </c>
      <c r="AE84" s="93">
        <f t="shared" si="70"/>
        <v>0</v>
      </c>
      <c r="AF84" s="93">
        <f t="shared" si="71"/>
        <v>0</v>
      </c>
      <c r="AG84" s="93">
        <f t="shared" si="72"/>
        <v>0</v>
      </c>
      <c r="AH84" s="93">
        <f t="shared" si="73"/>
        <v>0</v>
      </c>
      <c r="AI84" s="93">
        <f t="shared" si="74"/>
        <v>0</v>
      </c>
      <c r="AJ84" s="93">
        <f t="shared" si="75"/>
        <v>0</v>
      </c>
      <c r="AK84" s="93">
        <f t="shared" si="76"/>
        <v>0</v>
      </c>
      <c r="AL84" s="93">
        <f t="shared" si="77"/>
        <v>0</v>
      </c>
      <c r="AM84" s="92">
        <f t="shared" si="78"/>
        <v>0</v>
      </c>
      <c r="AN84" s="1" t="str">
        <f t="shared" si="33"/>
        <v xml:space="preserve"> </v>
      </c>
      <c r="AO84" s="1" t="str">
        <f t="shared" si="34"/>
        <v xml:space="preserve"> </v>
      </c>
      <c r="AP84" s="1" t="str">
        <f t="shared" si="35"/>
        <v xml:space="preserve"> </v>
      </c>
      <c r="AQ84" s="1" t="str">
        <f t="shared" ref="AQ84:AQ100" si="87">IF(H84&gt;0,H84*$AC84*$AB84/1000," ")</f>
        <v xml:space="preserve"> </v>
      </c>
      <c r="AR84" s="1" t="str">
        <f t="shared" si="37"/>
        <v xml:space="preserve"> </v>
      </c>
      <c r="AS84" s="1" t="str">
        <f t="shared" si="38"/>
        <v xml:space="preserve"> </v>
      </c>
      <c r="AT84" s="1" t="str">
        <f t="shared" si="39"/>
        <v xml:space="preserve"> </v>
      </c>
      <c r="AU84" s="103" t="str">
        <f t="shared" si="40"/>
        <v xml:space="preserve"> </v>
      </c>
      <c r="AV84" s="111">
        <f t="shared" si="79"/>
        <v>0</v>
      </c>
      <c r="AW84" s="4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6"/>
      <c r="DM84" s="111">
        <f t="shared" si="80"/>
        <v>0</v>
      </c>
      <c r="DN84" s="4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6"/>
      <c r="GD84" s="111">
        <f t="shared" si="81"/>
        <v>0</v>
      </c>
      <c r="GE84" s="4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6"/>
      <c r="IU84" s="111">
        <f t="shared" si="82"/>
        <v>0</v>
      </c>
      <c r="IV84" s="4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6"/>
      <c r="LL84" s="111">
        <f t="shared" si="83"/>
        <v>0</v>
      </c>
      <c r="LM84" s="4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6"/>
      <c r="OC84" s="111">
        <f t="shared" si="84"/>
        <v>0</v>
      </c>
      <c r="OD84" s="4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6"/>
      <c r="QT84" s="111">
        <f t="shared" si="85"/>
        <v>0</v>
      </c>
      <c r="QU84" s="4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6"/>
      <c r="TK84" s="111">
        <f t="shared" si="86"/>
        <v>0</v>
      </c>
      <c r="TL84" s="4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6"/>
    </row>
    <row r="85" spans="1:599" ht="14.25" customHeight="1" x14ac:dyDescent="0.3">
      <c r="A85" s="85"/>
      <c r="B85" s="87"/>
      <c r="C85" s="87"/>
      <c r="D85" s="86"/>
      <c r="E85" s="81"/>
      <c r="F85" s="81"/>
      <c r="G85" s="81"/>
      <c r="H85" s="81"/>
      <c r="I85" s="81"/>
      <c r="J85" s="81"/>
      <c r="K85" s="81"/>
      <c r="L85" s="81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89" t="str">
        <f t="shared" si="64"/>
        <v/>
      </c>
      <c r="Z85" s="89" t="str">
        <f t="shared" si="65"/>
        <v/>
      </c>
      <c r="AA85" s="89">
        <f t="shared" si="66"/>
        <v>0</v>
      </c>
      <c r="AB85" s="89">
        <f t="shared" si="67"/>
        <v>0</v>
      </c>
      <c r="AC85" s="90">
        <f t="shared" si="68"/>
        <v>0</v>
      </c>
      <c r="AD85" s="91">
        <f t="shared" si="69"/>
        <v>0</v>
      </c>
      <c r="AE85" s="93">
        <f t="shared" si="70"/>
        <v>0</v>
      </c>
      <c r="AF85" s="93">
        <f t="shared" si="71"/>
        <v>0</v>
      </c>
      <c r="AG85" s="93">
        <f t="shared" si="72"/>
        <v>0</v>
      </c>
      <c r="AH85" s="93">
        <f t="shared" si="73"/>
        <v>0</v>
      </c>
      <c r="AI85" s="93">
        <f t="shared" si="74"/>
        <v>0</v>
      </c>
      <c r="AJ85" s="93">
        <f t="shared" si="75"/>
        <v>0</v>
      </c>
      <c r="AK85" s="93">
        <f t="shared" si="76"/>
        <v>0</v>
      </c>
      <c r="AL85" s="93">
        <f t="shared" si="77"/>
        <v>0</v>
      </c>
      <c r="AM85" s="92">
        <f t="shared" si="78"/>
        <v>0</v>
      </c>
      <c r="AN85" s="1" t="str">
        <f t="shared" si="33"/>
        <v xml:space="preserve"> </v>
      </c>
      <c r="AO85" s="1" t="str">
        <f t="shared" si="34"/>
        <v xml:space="preserve"> </v>
      </c>
      <c r="AP85" s="1" t="str">
        <f t="shared" si="35"/>
        <v xml:space="preserve"> </v>
      </c>
      <c r="AQ85" s="1" t="str">
        <f t="shared" si="87"/>
        <v xml:space="preserve"> </v>
      </c>
      <c r="AR85" s="1" t="str">
        <f t="shared" si="37"/>
        <v xml:space="preserve"> </v>
      </c>
      <c r="AS85" s="1" t="str">
        <f t="shared" si="38"/>
        <v xml:space="preserve"> </v>
      </c>
      <c r="AT85" s="1" t="str">
        <f t="shared" si="39"/>
        <v xml:space="preserve"> </v>
      </c>
      <c r="AU85" s="103" t="str">
        <f t="shared" si="40"/>
        <v xml:space="preserve"> </v>
      </c>
      <c r="AV85" s="111">
        <f t="shared" si="79"/>
        <v>0</v>
      </c>
      <c r="AW85" s="4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6"/>
      <c r="DM85" s="111">
        <f t="shared" si="80"/>
        <v>0</v>
      </c>
      <c r="DN85" s="4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6"/>
      <c r="GD85" s="111">
        <f t="shared" si="81"/>
        <v>0</v>
      </c>
      <c r="GE85" s="4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6"/>
      <c r="IU85" s="111">
        <f t="shared" si="82"/>
        <v>0</v>
      </c>
      <c r="IV85" s="4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6"/>
      <c r="LL85" s="111">
        <f t="shared" si="83"/>
        <v>0</v>
      </c>
      <c r="LM85" s="4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6"/>
      <c r="OC85" s="111">
        <f t="shared" si="84"/>
        <v>0</v>
      </c>
      <c r="OD85" s="4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6"/>
      <c r="QT85" s="111">
        <f t="shared" si="85"/>
        <v>0</v>
      </c>
      <c r="QU85" s="4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6"/>
      <c r="TK85" s="111">
        <f t="shared" si="86"/>
        <v>0</v>
      </c>
      <c r="TL85" s="4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6"/>
    </row>
    <row r="86" spans="1:599" ht="14.25" customHeight="1" x14ac:dyDescent="0.3">
      <c r="A86" s="85"/>
      <c r="B86" s="87"/>
      <c r="C86" s="87"/>
      <c r="D86" s="86"/>
      <c r="E86" s="81"/>
      <c r="F86" s="81"/>
      <c r="G86" s="81"/>
      <c r="H86" s="81"/>
      <c r="I86" s="81"/>
      <c r="J86" s="81"/>
      <c r="K86" s="81"/>
      <c r="L86" s="81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89" t="str">
        <f t="shared" si="64"/>
        <v/>
      </c>
      <c r="Z86" s="89" t="str">
        <f t="shared" si="65"/>
        <v/>
      </c>
      <c r="AA86" s="89">
        <f t="shared" si="66"/>
        <v>0</v>
      </c>
      <c r="AB86" s="89">
        <f t="shared" si="67"/>
        <v>0</v>
      </c>
      <c r="AC86" s="90">
        <f t="shared" si="68"/>
        <v>0</v>
      </c>
      <c r="AD86" s="91">
        <f t="shared" si="69"/>
        <v>0</v>
      </c>
      <c r="AE86" s="93">
        <f t="shared" si="70"/>
        <v>0</v>
      </c>
      <c r="AF86" s="93">
        <f t="shared" si="71"/>
        <v>0</v>
      </c>
      <c r="AG86" s="93">
        <f t="shared" si="72"/>
        <v>0</v>
      </c>
      <c r="AH86" s="93">
        <f t="shared" si="73"/>
        <v>0</v>
      </c>
      <c r="AI86" s="93">
        <f t="shared" si="74"/>
        <v>0</v>
      </c>
      <c r="AJ86" s="93">
        <f t="shared" si="75"/>
        <v>0</v>
      </c>
      <c r="AK86" s="93">
        <f t="shared" si="76"/>
        <v>0</v>
      </c>
      <c r="AL86" s="93">
        <f t="shared" si="77"/>
        <v>0</v>
      </c>
      <c r="AM86" s="92">
        <f t="shared" si="78"/>
        <v>0</v>
      </c>
      <c r="AN86" s="1" t="str">
        <f t="shared" si="33"/>
        <v xml:space="preserve"> </v>
      </c>
      <c r="AO86" s="1" t="str">
        <f t="shared" si="34"/>
        <v xml:space="preserve"> </v>
      </c>
      <c r="AP86" s="1" t="str">
        <f t="shared" si="35"/>
        <v xml:space="preserve"> </v>
      </c>
      <c r="AQ86" s="1" t="str">
        <f t="shared" si="87"/>
        <v xml:space="preserve"> </v>
      </c>
      <c r="AR86" s="1" t="str">
        <f t="shared" si="37"/>
        <v xml:space="preserve"> </v>
      </c>
      <c r="AS86" s="1" t="str">
        <f t="shared" si="38"/>
        <v xml:space="preserve"> </v>
      </c>
      <c r="AT86" s="1" t="str">
        <f t="shared" si="39"/>
        <v xml:space="preserve"> </v>
      </c>
      <c r="AU86" s="103" t="str">
        <f t="shared" si="40"/>
        <v xml:space="preserve"> </v>
      </c>
      <c r="AV86" s="111">
        <f t="shared" si="79"/>
        <v>0</v>
      </c>
      <c r="AW86" s="4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6"/>
      <c r="DM86" s="111">
        <f t="shared" si="80"/>
        <v>0</v>
      </c>
      <c r="DN86" s="4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6"/>
      <c r="GD86" s="111">
        <f t="shared" si="81"/>
        <v>0</v>
      </c>
      <c r="GE86" s="4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6"/>
      <c r="IU86" s="111">
        <f t="shared" si="82"/>
        <v>0</v>
      </c>
      <c r="IV86" s="4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6"/>
      <c r="LL86" s="111">
        <f t="shared" si="83"/>
        <v>0</v>
      </c>
      <c r="LM86" s="4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6"/>
      <c r="OC86" s="111">
        <f t="shared" si="84"/>
        <v>0</v>
      </c>
      <c r="OD86" s="4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6"/>
      <c r="QT86" s="111">
        <f t="shared" si="85"/>
        <v>0</v>
      </c>
      <c r="QU86" s="4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6"/>
      <c r="TK86" s="111">
        <f t="shared" si="86"/>
        <v>0</v>
      </c>
      <c r="TL86" s="4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6"/>
    </row>
    <row r="87" spans="1:599" ht="14.25" customHeight="1" x14ac:dyDescent="0.3">
      <c r="A87" s="41"/>
      <c r="B87" s="39"/>
      <c r="C87" s="40"/>
      <c r="D87" s="40"/>
      <c r="E87" s="81"/>
      <c r="F87" s="81"/>
      <c r="G87" s="81"/>
      <c r="H87" s="81"/>
      <c r="I87" s="81"/>
      <c r="J87" s="81"/>
      <c r="K87" s="81"/>
      <c r="L87" s="81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89" t="str">
        <f t="shared" si="64"/>
        <v/>
      </c>
      <c r="Z87" s="89" t="str">
        <f t="shared" si="65"/>
        <v/>
      </c>
      <c r="AA87" s="89">
        <f t="shared" si="66"/>
        <v>0</v>
      </c>
      <c r="AB87" s="89">
        <f t="shared" si="67"/>
        <v>0</v>
      </c>
      <c r="AC87" s="90">
        <f t="shared" si="68"/>
        <v>0</v>
      </c>
      <c r="AD87" s="91">
        <f t="shared" si="69"/>
        <v>0</v>
      </c>
      <c r="AE87" s="93">
        <f t="shared" si="70"/>
        <v>0</v>
      </c>
      <c r="AF87" s="93">
        <f t="shared" si="71"/>
        <v>0</v>
      </c>
      <c r="AG87" s="93">
        <f t="shared" si="72"/>
        <v>0</v>
      </c>
      <c r="AH87" s="93">
        <f t="shared" si="73"/>
        <v>0</v>
      </c>
      <c r="AI87" s="93">
        <f t="shared" si="74"/>
        <v>0</v>
      </c>
      <c r="AJ87" s="93">
        <f t="shared" si="75"/>
        <v>0</v>
      </c>
      <c r="AK87" s="93">
        <f t="shared" si="76"/>
        <v>0</v>
      </c>
      <c r="AL87" s="93">
        <f t="shared" si="77"/>
        <v>0</v>
      </c>
      <c r="AM87" s="92">
        <f t="shared" si="78"/>
        <v>0</v>
      </c>
      <c r="AN87" s="1" t="str">
        <f t="shared" si="33"/>
        <v xml:space="preserve"> </v>
      </c>
      <c r="AO87" s="1" t="str">
        <f t="shared" si="34"/>
        <v xml:space="preserve"> </v>
      </c>
      <c r="AP87" s="1" t="str">
        <f t="shared" si="35"/>
        <v xml:space="preserve"> </v>
      </c>
      <c r="AQ87" s="1" t="str">
        <f t="shared" si="87"/>
        <v xml:space="preserve"> </v>
      </c>
      <c r="AR87" s="1" t="str">
        <f t="shared" si="37"/>
        <v xml:space="preserve"> </v>
      </c>
      <c r="AS87" s="1" t="str">
        <f t="shared" si="38"/>
        <v xml:space="preserve"> </v>
      </c>
      <c r="AT87" s="1" t="str">
        <f t="shared" si="39"/>
        <v xml:space="preserve"> </v>
      </c>
      <c r="AU87" s="103" t="str">
        <f t="shared" si="40"/>
        <v xml:space="preserve"> </v>
      </c>
      <c r="AV87" s="111">
        <f t="shared" si="79"/>
        <v>0</v>
      </c>
      <c r="AW87" s="4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6"/>
      <c r="DM87" s="111">
        <f t="shared" si="80"/>
        <v>0</v>
      </c>
      <c r="DN87" s="4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6"/>
      <c r="GD87" s="111">
        <f t="shared" si="81"/>
        <v>0</v>
      </c>
      <c r="GE87" s="4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6"/>
      <c r="IU87" s="111">
        <f t="shared" si="82"/>
        <v>0</v>
      </c>
      <c r="IV87" s="4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6"/>
      <c r="LL87" s="111">
        <f t="shared" si="83"/>
        <v>0</v>
      </c>
      <c r="LM87" s="4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6"/>
      <c r="OC87" s="111">
        <f t="shared" si="84"/>
        <v>0</v>
      </c>
      <c r="OD87" s="4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6"/>
      <c r="QT87" s="111">
        <f t="shared" si="85"/>
        <v>0</v>
      </c>
      <c r="QU87" s="4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6"/>
      <c r="TK87" s="111">
        <f t="shared" si="86"/>
        <v>0</v>
      </c>
      <c r="TL87" s="4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6"/>
    </row>
    <row r="88" spans="1:599" ht="14.25" customHeight="1" x14ac:dyDescent="0.3">
      <c r="A88" s="85"/>
      <c r="B88" s="87"/>
      <c r="C88" s="87"/>
      <c r="D88" s="86"/>
      <c r="E88" s="81"/>
      <c r="F88" s="81"/>
      <c r="G88" s="81"/>
      <c r="H88" s="81"/>
      <c r="I88" s="81"/>
      <c r="J88" s="81"/>
      <c r="K88" s="81"/>
      <c r="L88" s="81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89" t="str">
        <f t="shared" si="64"/>
        <v/>
      </c>
      <c r="Z88" s="89" t="str">
        <f t="shared" si="65"/>
        <v/>
      </c>
      <c r="AA88" s="89">
        <f t="shared" si="66"/>
        <v>0</v>
      </c>
      <c r="AB88" s="89">
        <f t="shared" si="67"/>
        <v>0</v>
      </c>
      <c r="AC88" s="90">
        <f t="shared" si="68"/>
        <v>0</v>
      </c>
      <c r="AD88" s="91">
        <f t="shared" si="69"/>
        <v>0</v>
      </c>
      <c r="AE88" s="93">
        <f t="shared" si="70"/>
        <v>0</v>
      </c>
      <c r="AF88" s="93">
        <f t="shared" si="71"/>
        <v>0</v>
      </c>
      <c r="AG88" s="93">
        <f t="shared" si="72"/>
        <v>0</v>
      </c>
      <c r="AH88" s="93">
        <f t="shared" si="73"/>
        <v>0</v>
      </c>
      <c r="AI88" s="93">
        <f t="shared" si="74"/>
        <v>0</v>
      </c>
      <c r="AJ88" s="93">
        <f t="shared" si="75"/>
        <v>0</v>
      </c>
      <c r="AK88" s="93">
        <f t="shared" si="76"/>
        <v>0</v>
      </c>
      <c r="AL88" s="93">
        <f t="shared" si="77"/>
        <v>0</v>
      </c>
      <c r="AM88" s="92">
        <f t="shared" si="78"/>
        <v>0</v>
      </c>
      <c r="AN88" s="1" t="str">
        <f t="shared" si="33"/>
        <v xml:space="preserve"> </v>
      </c>
      <c r="AO88" s="1" t="str">
        <f t="shared" si="34"/>
        <v xml:space="preserve"> </v>
      </c>
      <c r="AP88" s="1" t="str">
        <f t="shared" si="35"/>
        <v xml:space="preserve"> </v>
      </c>
      <c r="AQ88" s="1" t="str">
        <f t="shared" si="87"/>
        <v xml:space="preserve"> </v>
      </c>
      <c r="AR88" s="1" t="str">
        <f t="shared" si="37"/>
        <v xml:space="preserve"> </v>
      </c>
      <c r="AS88" s="1" t="str">
        <f t="shared" si="38"/>
        <v xml:space="preserve"> </v>
      </c>
      <c r="AT88" s="1" t="str">
        <f t="shared" si="39"/>
        <v xml:space="preserve"> </v>
      </c>
      <c r="AU88" s="103" t="str">
        <f t="shared" si="40"/>
        <v xml:space="preserve"> </v>
      </c>
      <c r="AV88" s="111">
        <f t="shared" si="79"/>
        <v>0</v>
      </c>
      <c r="AW88" s="4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6"/>
      <c r="DM88" s="111">
        <f t="shared" si="80"/>
        <v>0</v>
      </c>
      <c r="DN88" s="4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6"/>
      <c r="GD88" s="111">
        <f t="shared" si="81"/>
        <v>0</v>
      </c>
      <c r="GE88" s="4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6"/>
      <c r="IU88" s="111">
        <f t="shared" si="82"/>
        <v>0</v>
      </c>
      <c r="IV88" s="4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6"/>
      <c r="LL88" s="111">
        <f t="shared" si="83"/>
        <v>0</v>
      </c>
      <c r="LM88" s="4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6"/>
      <c r="OC88" s="111">
        <f t="shared" si="84"/>
        <v>0</v>
      </c>
      <c r="OD88" s="4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6"/>
      <c r="QT88" s="111">
        <f t="shared" si="85"/>
        <v>0</v>
      </c>
      <c r="QU88" s="4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6"/>
      <c r="TK88" s="111">
        <f t="shared" si="86"/>
        <v>0</v>
      </c>
      <c r="TL88" s="4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6"/>
    </row>
    <row r="89" spans="1:599" ht="14.25" customHeight="1" x14ac:dyDescent="0.3">
      <c r="A89" s="85"/>
      <c r="B89" s="87"/>
      <c r="C89" s="87"/>
      <c r="D89" s="86"/>
      <c r="E89" s="81"/>
      <c r="F89" s="81"/>
      <c r="G89" s="81"/>
      <c r="H89" s="81"/>
      <c r="I89" s="81"/>
      <c r="J89" s="81"/>
      <c r="K89" s="81"/>
      <c r="L89" s="81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89" t="str">
        <f t="shared" si="64"/>
        <v/>
      </c>
      <c r="Z89" s="89" t="str">
        <f t="shared" si="65"/>
        <v/>
      </c>
      <c r="AA89" s="89">
        <f t="shared" si="66"/>
        <v>0</v>
      </c>
      <c r="AB89" s="89">
        <f t="shared" si="67"/>
        <v>0</v>
      </c>
      <c r="AC89" s="90">
        <f t="shared" si="68"/>
        <v>0</v>
      </c>
      <c r="AD89" s="91">
        <f t="shared" si="69"/>
        <v>0</v>
      </c>
      <c r="AE89" s="93">
        <f t="shared" si="70"/>
        <v>0</v>
      </c>
      <c r="AF89" s="93">
        <f t="shared" si="71"/>
        <v>0</v>
      </c>
      <c r="AG89" s="93">
        <f t="shared" si="72"/>
        <v>0</v>
      </c>
      <c r="AH89" s="93">
        <f t="shared" si="73"/>
        <v>0</v>
      </c>
      <c r="AI89" s="93">
        <f t="shared" si="74"/>
        <v>0</v>
      </c>
      <c r="AJ89" s="93">
        <f t="shared" si="75"/>
        <v>0</v>
      </c>
      <c r="AK89" s="93">
        <f t="shared" si="76"/>
        <v>0</v>
      </c>
      <c r="AL89" s="93">
        <f t="shared" si="77"/>
        <v>0</v>
      </c>
      <c r="AM89" s="92">
        <f t="shared" si="78"/>
        <v>0</v>
      </c>
      <c r="AN89" s="1" t="str">
        <f t="shared" si="33"/>
        <v xml:space="preserve"> </v>
      </c>
      <c r="AO89" s="1" t="str">
        <f t="shared" si="34"/>
        <v xml:space="preserve"> </v>
      </c>
      <c r="AP89" s="1" t="str">
        <f t="shared" si="35"/>
        <v xml:space="preserve"> </v>
      </c>
      <c r="AQ89" s="1" t="str">
        <f t="shared" si="87"/>
        <v xml:space="preserve"> </v>
      </c>
      <c r="AR89" s="1" t="str">
        <f t="shared" si="37"/>
        <v xml:space="preserve"> </v>
      </c>
      <c r="AS89" s="1" t="str">
        <f t="shared" si="38"/>
        <v xml:space="preserve"> </v>
      </c>
      <c r="AT89" s="1" t="str">
        <f t="shared" si="39"/>
        <v xml:space="preserve"> </v>
      </c>
      <c r="AU89" s="103" t="str">
        <f t="shared" si="40"/>
        <v xml:space="preserve"> </v>
      </c>
      <c r="AV89" s="111">
        <f t="shared" si="79"/>
        <v>0</v>
      </c>
      <c r="AW89" s="4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6"/>
      <c r="DM89" s="111">
        <f t="shared" si="80"/>
        <v>0</v>
      </c>
      <c r="DN89" s="4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6"/>
      <c r="GD89" s="111">
        <f t="shared" si="81"/>
        <v>0</v>
      </c>
      <c r="GE89" s="4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6"/>
      <c r="IU89" s="111">
        <f t="shared" si="82"/>
        <v>0</v>
      </c>
      <c r="IV89" s="4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6"/>
      <c r="LL89" s="111">
        <f t="shared" si="83"/>
        <v>0</v>
      </c>
      <c r="LM89" s="4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6"/>
      <c r="OC89" s="111">
        <f t="shared" si="84"/>
        <v>0</v>
      </c>
      <c r="OD89" s="4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6"/>
      <c r="QT89" s="111">
        <f t="shared" si="85"/>
        <v>0</v>
      </c>
      <c r="QU89" s="4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6"/>
      <c r="TK89" s="111">
        <f t="shared" si="86"/>
        <v>0</v>
      </c>
      <c r="TL89" s="4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6"/>
    </row>
    <row r="90" spans="1:599" ht="14.25" customHeight="1" x14ac:dyDescent="0.3">
      <c r="A90" s="85"/>
      <c r="B90" s="87"/>
      <c r="C90" s="87"/>
      <c r="D90" s="86"/>
      <c r="E90" s="81"/>
      <c r="F90" s="81"/>
      <c r="G90" s="81"/>
      <c r="H90" s="81"/>
      <c r="I90" s="81"/>
      <c r="J90" s="81"/>
      <c r="K90" s="81"/>
      <c r="L90" s="81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89" t="str">
        <f t="shared" si="64"/>
        <v/>
      </c>
      <c r="Z90" s="89" t="str">
        <f t="shared" si="65"/>
        <v/>
      </c>
      <c r="AA90" s="89">
        <f t="shared" si="66"/>
        <v>0</v>
      </c>
      <c r="AB90" s="89">
        <f t="shared" si="67"/>
        <v>0</v>
      </c>
      <c r="AC90" s="90">
        <f t="shared" si="68"/>
        <v>0</v>
      </c>
      <c r="AD90" s="91">
        <f t="shared" si="69"/>
        <v>0</v>
      </c>
      <c r="AE90" s="93">
        <f t="shared" si="70"/>
        <v>0</v>
      </c>
      <c r="AF90" s="93">
        <f t="shared" si="71"/>
        <v>0</v>
      </c>
      <c r="AG90" s="93">
        <f t="shared" si="72"/>
        <v>0</v>
      </c>
      <c r="AH90" s="93">
        <f t="shared" si="73"/>
        <v>0</v>
      </c>
      <c r="AI90" s="93">
        <f t="shared" si="74"/>
        <v>0</v>
      </c>
      <c r="AJ90" s="93">
        <f t="shared" si="75"/>
        <v>0</v>
      </c>
      <c r="AK90" s="93">
        <f t="shared" si="76"/>
        <v>0</v>
      </c>
      <c r="AL90" s="93">
        <f t="shared" si="77"/>
        <v>0</v>
      </c>
      <c r="AM90" s="92">
        <f t="shared" si="78"/>
        <v>0</v>
      </c>
      <c r="AN90" s="1" t="str">
        <f t="shared" si="33"/>
        <v xml:space="preserve"> </v>
      </c>
      <c r="AO90" s="1" t="str">
        <f t="shared" si="34"/>
        <v xml:space="preserve"> </v>
      </c>
      <c r="AP90" s="1" t="str">
        <f t="shared" si="35"/>
        <v xml:space="preserve"> </v>
      </c>
      <c r="AQ90" s="1" t="str">
        <f t="shared" si="87"/>
        <v xml:space="preserve"> </v>
      </c>
      <c r="AR90" s="1" t="str">
        <f t="shared" si="37"/>
        <v xml:space="preserve"> </v>
      </c>
      <c r="AS90" s="1" t="str">
        <f t="shared" si="38"/>
        <v xml:space="preserve"> </v>
      </c>
      <c r="AT90" s="1" t="str">
        <f t="shared" si="39"/>
        <v xml:space="preserve"> </v>
      </c>
      <c r="AU90" s="103" t="str">
        <f t="shared" si="40"/>
        <v xml:space="preserve"> </v>
      </c>
      <c r="AV90" s="111">
        <f t="shared" si="79"/>
        <v>0</v>
      </c>
      <c r="AW90" s="4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6"/>
      <c r="DM90" s="111">
        <f t="shared" si="80"/>
        <v>0</v>
      </c>
      <c r="DN90" s="4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6"/>
      <c r="GD90" s="111">
        <f t="shared" si="81"/>
        <v>0</v>
      </c>
      <c r="GE90" s="4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6"/>
      <c r="IU90" s="111">
        <f t="shared" si="82"/>
        <v>0</v>
      </c>
      <c r="IV90" s="4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6"/>
      <c r="LL90" s="111">
        <f t="shared" si="83"/>
        <v>0</v>
      </c>
      <c r="LM90" s="4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6"/>
      <c r="OC90" s="111">
        <f t="shared" si="84"/>
        <v>0</v>
      </c>
      <c r="OD90" s="4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6"/>
      <c r="QT90" s="111">
        <f t="shared" si="85"/>
        <v>0</v>
      </c>
      <c r="QU90" s="4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6"/>
      <c r="TK90" s="111">
        <f t="shared" si="86"/>
        <v>0</v>
      </c>
      <c r="TL90" s="4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6"/>
    </row>
    <row r="91" spans="1:599" ht="14.25" customHeight="1" x14ac:dyDescent="0.3">
      <c r="A91" s="85"/>
      <c r="B91" s="87"/>
      <c r="C91" s="87"/>
      <c r="D91" s="86"/>
      <c r="E91" s="81"/>
      <c r="F91" s="81"/>
      <c r="G91" s="81"/>
      <c r="H91" s="81"/>
      <c r="I91" s="81"/>
      <c r="J91" s="81"/>
      <c r="K91" s="81"/>
      <c r="L91" s="8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89" t="str">
        <f t="shared" si="64"/>
        <v/>
      </c>
      <c r="Z91" s="89" t="str">
        <f t="shared" si="65"/>
        <v/>
      </c>
      <c r="AA91" s="89">
        <f t="shared" si="66"/>
        <v>0</v>
      </c>
      <c r="AB91" s="89">
        <f t="shared" si="67"/>
        <v>0</v>
      </c>
      <c r="AC91" s="90">
        <f t="shared" si="68"/>
        <v>0</v>
      </c>
      <c r="AD91" s="91">
        <f t="shared" si="69"/>
        <v>0</v>
      </c>
      <c r="AE91" s="93">
        <f t="shared" si="70"/>
        <v>0</v>
      </c>
      <c r="AF91" s="93">
        <f t="shared" si="71"/>
        <v>0</v>
      </c>
      <c r="AG91" s="93">
        <f t="shared" si="72"/>
        <v>0</v>
      </c>
      <c r="AH91" s="93">
        <f t="shared" si="73"/>
        <v>0</v>
      </c>
      <c r="AI91" s="93">
        <f t="shared" si="74"/>
        <v>0</v>
      </c>
      <c r="AJ91" s="93">
        <f t="shared" si="75"/>
        <v>0</v>
      </c>
      <c r="AK91" s="93">
        <f t="shared" si="76"/>
        <v>0</v>
      </c>
      <c r="AL91" s="93">
        <f t="shared" si="77"/>
        <v>0</v>
      </c>
      <c r="AM91" s="92">
        <f t="shared" si="78"/>
        <v>0</v>
      </c>
      <c r="AN91" s="1" t="str">
        <f t="shared" si="33"/>
        <v xml:space="preserve"> </v>
      </c>
      <c r="AO91" s="1" t="str">
        <f t="shared" si="34"/>
        <v xml:space="preserve"> </v>
      </c>
      <c r="AP91" s="1" t="str">
        <f t="shared" si="35"/>
        <v xml:space="preserve"> </v>
      </c>
      <c r="AQ91" s="1" t="str">
        <f t="shared" si="87"/>
        <v xml:space="preserve"> </v>
      </c>
      <c r="AR91" s="1" t="str">
        <f t="shared" si="37"/>
        <v xml:space="preserve"> </v>
      </c>
      <c r="AS91" s="1" t="str">
        <f t="shared" si="38"/>
        <v xml:space="preserve"> </v>
      </c>
      <c r="AT91" s="1" t="str">
        <f t="shared" si="39"/>
        <v xml:space="preserve"> </v>
      </c>
      <c r="AU91" s="103" t="str">
        <f t="shared" si="40"/>
        <v xml:space="preserve"> </v>
      </c>
      <c r="AV91" s="111">
        <f t="shared" si="79"/>
        <v>0</v>
      </c>
      <c r="AW91" s="4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6"/>
      <c r="DM91" s="111">
        <f t="shared" si="80"/>
        <v>0</v>
      </c>
      <c r="DN91" s="4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6"/>
      <c r="GD91" s="111">
        <f t="shared" si="81"/>
        <v>0</v>
      </c>
      <c r="GE91" s="4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6"/>
      <c r="IU91" s="111">
        <f t="shared" si="82"/>
        <v>0</v>
      </c>
      <c r="IV91" s="4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6"/>
      <c r="LL91" s="111">
        <f t="shared" si="83"/>
        <v>0</v>
      </c>
      <c r="LM91" s="4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6"/>
      <c r="OC91" s="111">
        <f t="shared" si="84"/>
        <v>0</v>
      </c>
      <c r="OD91" s="4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6"/>
      <c r="QT91" s="111">
        <f t="shared" si="85"/>
        <v>0</v>
      </c>
      <c r="QU91" s="4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6"/>
      <c r="TK91" s="111">
        <f t="shared" si="86"/>
        <v>0</v>
      </c>
      <c r="TL91" s="4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6"/>
    </row>
    <row r="92" spans="1:599" ht="14.25" customHeight="1" x14ac:dyDescent="0.3">
      <c r="A92" s="41"/>
      <c r="B92" s="39"/>
      <c r="C92" s="40"/>
      <c r="D92" s="40"/>
      <c r="E92" s="81"/>
      <c r="F92" s="81"/>
      <c r="G92" s="81"/>
      <c r="H92" s="81"/>
      <c r="I92" s="81"/>
      <c r="J92" s="81"/>
      <c r="K92" s="81"/>
      <c r="L92" s="81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89" t="str">
        <f t="shared" si="64"/>
        <v/>
      </c>
      <c r="Z92" s="89" t="str">
        <f t="shared" si="65"/>
        <v/>
      </c>
      <c r="AA92" s="89">
        <f t="shared" si="66"/>
        <v>0</v>
      </c>
      <c r="AB92" s="89">
        <f t="shared" si="67"/>
        <v>0</v>
      </c>
      <c r="AC92" s="90">
        <f t="shared" si="68"/>
        <v>0</v>
      </c>
      <c r="AD92" s="91">
        <f t="shared" si="69"/>
        <v>0</v>
      </c>
      <c r="AE92" s="93">
        <f t="shared" si="70"/>
        <v>0</v>
      </c>
      <c r="AF92" s="93">
        <f t="shared" si="71"/>
        <v>0</v>
      </c>
      <c r="AG92" s="93">
        <f t="shared" si="72"/>
        <v>0</v>
      </c>
      <c r="AH92" s="93">
        <f t="shared" si="73"/>
        <v>0</v>
      </c>
      <c r="AI92" s="93">
        <f t="shared" si="74"/>
        <v>0</v>
      </c>
      <c r="AJ92" s="93">
        <f t="shared" si="75"/>
        <v>0</v>
      </c>
      <c r="AK92" s="93">
        <f t="shared" si="76"/>
        <v>0</v>
      </c>
      <c r="AL92" s="93">
        <f t="shared" si="77"/>
        <v>0</v>
      </c>
      <c r="AM92" s="92">
        <f t="shared" si="78"/>
        <v>0</v>
      </c>
      <c r="AN92" s="1" t="str">
        <f t="shared" si="33"/>
        <v xml:space="preserve"> </v>
      </c>
      <c r="AO92" s="1" t="str">
        <f t="shared" si="34"/>
        <v xml:space="preserve"> </v>
      </c>
      <c r="AP92" s="1" t="str">
        <f t="shared" si="35"/>
        <v xml:space="preserve"> </v>
      </c>
      <c r="AQ92" s="1" t="str">
        <f t="shared" si="87"/>
        <v xml:space="preserve"> </v>
      </c>
      <c r="AR92" s="1" t="str">
        <f t="shared" si="37"/>
        <v xml:space="preserve"> </v>
      </c>
      <c r="AS92" s="1" t="str">
        <f t="shared" si="38"/>
        <v xml:space="preserve"> </v>
      </c>
      <c r="AT92" s="1" t="str">
        <f t="shared" si="39"/>
        <v xml:space="preserve"> </v>
      </c>
      <c r="AU92" s="103" t="str">
        <f t="shared" si="40"/>
        <v xml:space="preserve"> </v>
      </c>
      <c r="AV92" s="111">
        <f t="shared" si="79"/>
        <v>0</v>
      </c>
      <c r="AW92" s="4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6"/>
      <c r="DM92" s="111">
        <f t="shared" si="80"/>
        <v>0</v>
      </c>
      <c r="DN92" s="4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6"/>
      <c r="GD92" s="111">
        <f t="shared" si="81"/>
        <v>0</v>
      </c>
      <c r="GE92" s="4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6"/>
      <c r="IU92" s="111">
        <f t="shared" si="82"/>
        <v>0</v>
      </c>
      <c r="IV92" s="4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6"/>
      <c r="LL92" s="111">
        <f t="shared" si="83"/>
        <v>0</v>
      </c>
      <c r="LM92" s="4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6"/>
      <c r="OC92" s="111">
        <f t="shared" si="84"/>
        <v>0</v>
      </c>
      <c r="OD92" s="4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6"/>
      <c r="QT92" s="111">
        <f t="shared" si="85"/>
        <v>0</v>
      </c>
      <c r="QU92" s="4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6"/>
      <c r="TK92" s="111">
        <f t="shared" si="86"/>
        <v>0</v>
      </c>
      <c r="TL92" s="4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6"/>
    </row>
    <row r="93" spans="1:599" ht="14.25" customHeight="1" x14ac:dyDescent="0.3">
      <c r="A93" s="85"/>
      <c r="B93" s="87"/>
      <c r="C93" s="87"/>
      <c r="D93" s="86"/>
      <c r="E93" s="81"/>
      <c r="F93" s="81"/>
      <c r="G93" s="81"/>
      <c r="H93" s="81"/>
      <c r="I93" s="81"/>
      <c r="J93" s="81"/>
      <c r="K93" s="81"/>
      <c r="L93" s="81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89" t="str">
        <f t="shared" si="64"/>
        <v/>
      </c>
      <c r="Z93" s="89" t="str">
        <f t="shared" si="65"/>
        <v/>
      </c>
      <c r="AA93" s="89">
        <f t="shared" si="66"/>
        <v>0</v>
      </c>
      <c r="AB93" s="89">
        <f t="shared" si="67"/>
        <v>0</v>
      </c>
      <c r="AC93" s="90">
        <f t="shared" si="68"/>
        <v>0</v>
      </c>
      <c r="AD93" s="91">
        <f t="shared" si="69"/>
        <v>0</v>
      </c>
      <c r="AE93" s="93">
        <f t="shared" si="70"/>
        <v>0</v>
      </c>
      <c r="AF93" s="93">
        <f t="shared" si="71"/>
        <v>0</v>
      </c>
      <c r="AG93" s="93">
        <f t="shared" si="72"/>
        <v>0</v>
      </c>
      <c r="AH93" s="93">
        <f t="shared" si="73"/>
        <v>0</v>
      </c>
      <c r="AI93" s="93">
        <f t="shared" si="74"/>
        <v>0</v>
      </c>
      <c r="AJ93" s="93">
        <f t="shared" si="75"/>
        <v>0</v>
      </c>
      <c r="AK93" s="93">
        <f t="shared" si="76"/>
        <v>0</v>
      </c>
      <c r="AL93" s="93">
        <f t="shared" si="77"/>
        <v>0</v>
      </c>
      <c r="AM93" s="92">
        <f t="shared" si="78"/>
        <v>0</v>
      </c>
      <c r="AN93" s="1" t="str">
        <f t="shared" si="33"/>
        <v xml:space="preserve"> </v>
      </c>
      <c r="AO93" s="1" t="str">
        <f t="shared" si="34"/>
        <v xml:space="preserve"> </v>
      </c>
      <c r="AP93" s="1" t="str">
        <f t="shared" si="35"/>
        <v xml:space="preserve"> </v>
      </c>
      <c r="AQ93" s="1" t="str">
        <f t="shared" si="87"/>
        <v xml:space="preserve"> </v>
      </c>
      <c r="AR93" s="1" t="str">
        <f t="shared" si="37"/>
        <v xml:space="preserve"> </v>
      </c>
      <c r="AS93" s="1" t="str">
        <f t="shared" si="38"/>
        <v xml:space="preserve"> </v>
      </c>
      <c r="AT93" s="1" t="str">
        <f t="shared" si="39"/>
        <v xml:space="preserve"> </v>
      </c>
      <c r="AU93" s="103" t="str">
        <f t="shared" si="40"/>
        <v xml:space="preserve"> </v>
      </c>
      <c r="AV93" s="111">
        <f t="shared" si="79"/>
        <v>0</v>
      </c>
      <c r="AW93" s="4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6"/>
      <c r="DM93" s="111">
        <f t="shared" si="80"/>
        <v>0</v>
      </c>
      <c r="DN93" s="4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6"/>
      <c r="GD93" s="111">
        <f t="shared" si="81"/>
        <v>0</v>
      </c>
      <c r="GE93" s="4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6"/>
      <c r="IU93" s="111">
        <f t="shared" si="82"/>
        <v>0</v>
      </c>
      <c r="IV93" s="4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6"/>
      <c r="LL93" s="111">
        <f t="shared" si="83"/>
        <v>0</v>
      </c>
      <c r="LM93" s="4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6"/>
      <c r="OC93" s="111">
        <f t="shared" si="84"/>
        <v>0</v>
      </c>
      <c r="OD93" s="4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6"/>
      <c r="QT93" s="111">
        <f t="shared" si="85"/>
        <v>0</v>
      </c>
      <c r="QU93" s="4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6"/>
      <c r="TK93" s="111">
        <f t="shared" si="86"/>
        <v>0</v>
      </c>
      <c r="TL93" s="4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6"/>
    </row>
    <row r="94" spans="1:599" ht="14.25" customHeight="1" x14ac:dyDescent="0.3">
      <c r="A94" s="85"/>
      <c r="B94" s="87"/>
      <c r="C94" s="87"/>
      <c r="D94" s="86"/>
      <c r="E94" s="81"/>
      <c r="F94" s="81"/>
      <c r="G94" s="81"/>
      <c r="H94" s="81"/>
      <c r="I94" s="81"/>
      <c r="J94" s="81"/>
      <c r="K94" s="81"/>
      <c r="L94" s="81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89" t="str">
        <f t="shared" si="64"/>
        <v/>
      </c>
      <c r="Z94" s="89" t="str">
        <f t="shared" si="65"/>
        <v/>
      </c>
      <c r="AA94" s="89">
        <f t="shared" si="66"/>
        <v>0</v>
      </c>
      <c r="AB94" s="89">
        <f t="shared" si="67"/>
        <v>0</v>
      </c>
      <c r="AC94" s="90">
        <f t="shared" si="68"/>
        <v>0</v>
      </c>
      <c r="AD94" s="91">
        <f t="shared" si="69"/>
        <v>0</v>
      </c>
      <c r="AE94" s="93">
        <f t="shared" si="70"/>
        <v>0</v>
      </c>
      <c r="AF94" s="93">
        <f t="shared" si="71"/>
        <v>0</v>
      </c>
      <c r="AG94" s="93">
        <f t="shared" si="72"/>
        <v>0</v>
      </c>
      <c r="AH94" s="93">
        <f t="shared" si="73"/>
        <v>0</v>
      </c>
      <c r="AI94" s="93">
        <f t="shared" si="74"/>
        <v>0</v>
      </c>
      <c r="AJ94" s="93">
        <f t="shared" si="75"/>
        <v>0</v>
      </c>
      <c r="AK94" s="93">
        <f t="shared" si="76"/>
        <v>0</v>
      </c>
      <c r="AL94" s="93">
        <f t="shared" si="77"/>
        <v>0</v>
      </c>
      <c r="AM94" s="92">
        <f t="shared" si="78"/>
        <v>0</v>
      </c>
      <c r="AN94" s="1" t="str">
        <f t="shared" si="33"/>
        <v xml:space="preserve"> </v>
      </c>
      <c r="AO94" s="1" t="str">
        <f t="shared" si="34"/>
        <v xml:space="preserve"> </v>
      </c>
      <c r="AP94" s="1" t="str">
        <f t="shared" si="35"/>
        <v xml:space="preserve"> </v>
      </c>
      <c r="AQ94" s="1" t="str">
        <f t="shared" si="87"/>
        <v xml:space="preserve"> </v>
      </c>
      <c r="AR94" s="1" t="str">
        <f t="shared" si="37"/>
        <v xml:space="preserve"> </v>
      </c>
      <c r="AS94" s="1" t="str">
        <f t="shared" si="38"/>
        <v xml:space="preserve"> </v>
      </c>
      <c r="AT94" s="1" t="str">
        <f t="shared" si="39"/>
        <v xml:space="preserve"> </v>
      </c>
      <c r="AU94" s="103" t="str">
        <f t="shared" si="40"/>
        <v xml:space="preserve"> </v>
      </c>
      <c r="AV94" s="111">
        <f t="shared" si="79"/>
        <v>0</v>
      </c>
      <c r="AW94" s="4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6"/>
      <c r="DM94" s="111">
        <f t="shared" si="80"/>
        <v>0</v>
      </c>
      <c r="DN94" s="4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6"/>
      <c r="GD94" s="111">
        <f t="shared" si="81"/>
        <v>0</v>
      </c>
      <c r="GE94" s="4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6"/>
      <c r="IU94" s="111">
        <f t="shared" si="82"/>
        <v>0</v>
      </c>
      <c r="IV94" s="4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6"/>
      <c r="LL94" s="111">
        <f t="shared" si="83"/>
        <v>0</v>
      </c>
      <c r="LM94" s="4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6"/>
      <c r="OC94" s="111">
        <f t="shared" si="84"/>
        <v>0</v>
      </c>
      <c r="OD94" s="4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6"/>
      <c r="QT94" s="111">
        <f t="shared" si="85"/>
        <v>0</v>
      </c>
      <c r="QU94" s="4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6"/>
      <c r="TK94" s="111">
        <f t="shared" si="86"/>
        <v>0</v>
      </c>
      <c r="TL94" s="4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6"/>
    </row>
    <row r="95" spans="1:599" ht="14.25" customHeight="1" x14ac:dyDescent="0.3">
      <c r="A95" s="85"/>
      <c r="B95" s="87"/>
      <c r="C95" s="87"/>
      <c r="D95" s="86"/>
      <c r="E95" s="81"/>
      <c r="F95" s="81"/>
      <c r="G95" s="81"/>
      <c r="H95" s="81"/>
      <c r="I95" s="81"/>
      <c r="J95" s="81"/>
      <c r="K95" s="81"/>
      <c r="L95" s="81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89" t="str">
        <f t="shared" si="64"/>
        <v/>
      </c>
      <c r="Z95" s="89" t="str">
        <f t="shared" si="65"/>
        <v/>
      </c>
      <c r="AA95" s="89">
        <f t="shared" si="66"/>
        <v>0</v>
      </c>
      <c r="AB95" s="89">
        <f t="shared" si="67"/>
        <v>0</v>
      </c>
      <c r="AC95" s="90">
        <f t="shared" si="68"/>
        <v>0</v>
      </c>
      <c r="AD95" s="91">
        <f t="shared" si="69"/>
        <v>0</v>
      </c>
      <c r="AE95" s="93">
        <f t="shared" si="70"/>
        <v>0</v>
      </c>
      <c r="AF95" s="93">
        <f t="shared" si="71"/>
        <v>0</v>
      </c>
      <c r="AG95" s="93">
        <f t="shared" si="72"/>
        <v>0</v>
      </c>
      <c r="AH95" s="93">
        <f t="shared" si="73"/>
        <v>0</v>
      </c>
      <c r="AI95" s="93">
        <f t="shared" si="74"/>
        <v>0</v>
      </c>
      <c r="AJ95" s="93">
        <f t="shared" si="75"/>
        <v>0</v>
      </c>
      <c r="AK95" s="93">
        <f t="shared" si="76"/>
        <v>0</v>
      </c>
      <c r="AL95" s="93">
        <f t="shared" si="77"/>
        <v>0</v>
      </c>
      <c r="AM95" s="92">
        <f t="shared" si="78"/>
        <v>0</v>
      </c>
      <c r="AN95" s="1" t="str">
        <f t="shared" si="33"/>
        <v xml:space="preserve"> </v>
      </c>
      <c r="AO95" s="1" t="str">
        <f t="shared" si="34"/>
        <v xml:space="preserve"> </v>
      </c>
      <c r="AP95" s="1" t="str">
        <f t="shared" si="35"/>
        <v xml:space="preserve"> </v>
      </c>
      <c r="AQ95" s="1" t="str">
        <f t="shared" si="87"/>
        <v xml:space="preserve"> </v>
      </c>
      <c r="AR95" s="1" t="str">
        <f t="shared" si="37"/>
        <v xml:space="preserve"> </v>
      </c>
      <c r="AS95" s="1" t="str">
        <f t="shared" si="38"/>
        <v xml:space="preserve"> </v>
      </c>
      <c r="AT95" s="1" t="str">
        <f t="shared" si="39"/>
        <v xml:space="preserve"> </v>
      </c>
      <c r="AU95" s="103" t="str">
        <f t="shared" si="40"/>
        <v xml:space="preserve"> </v>
      </c>
      <c r="AV95" s="111">
        <f t="shared" si="79"/>
        <v>0</v>
      </c>
      <c r="AW95" s="4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6"/>
      <c r="DM95" s="111">
        <f t="shared" si="80"/>
        <v>0</v>
      </c>
      <c r="DN95" s="4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6"/>
      <c r="GD95" s="111">
        <f t="shared" si="81"/>
        <v>0</v>
      </c>
      <c r="GE95" s="4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6"/>
      <c r="IU95" s="111">
        <f t="shared" si="82"/>
        <v>0</v>
      </c>
      <c r="IV95" s="4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6"/>
      <c r="LL95" s="111">
        <f t="shared" si="83"/>
        <v>0</v>
      </c>
      <c r="LM95" s="4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6"/>
      <c r="OC95" s="111">
        <f t="shared" si="84"/>
        <v>0</v>
      </c>
      <c r="OD95" s="4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6"/>
      <c r="QT95" s="111">
        <f t="shared" si="85"/>
        <v>0</v>
      </c>
      <c r="QU95" s="4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6"/>
      <c r="TK95" s="111">
        <f t="shared" si="86"/>
        <v>0</v>
      </c>
      <c r="TL95" s="4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6"/>
    </row>
    <row r="96" spans="1:599" ht="14.25" customHeight="1" x14ac:dyDescent="0.3">
      <c r="A96" s="85"/>
      <c r="B96" s="87"/>
      <c r="C96" s="87"/>
      <c r="D96" s="86"/>
      <c r="E96" s="81"/>
      <c r="F96" s="81"/>
      <c r="G96" s="81"/>
      <c r="H96" s="81"/>
      <c r="I96" s="81"/>
      <c r="J96" s="81"/>
      <c r="K96" s="81"/>
      <c r="L96" s="81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89" t="str">
        <f t="shared" si="64"/>
        <v/>
      </c>
      <c r="Z96" s="89" t="str">
        <f t="shared" si="65"/>
        <v/>
      </c>
      <c r="AA96" s="89">
        <f t="shared" si="66"/>
        <v>0</v>
      </c>
      <c r="AB96" s="89">
        <f t="shared" si="67"/>
        <v>0</v>
      </c>
      <c r="AC96" s="90">
        <f t="shared" si="68"/>
        <v>0</v>
      </c>
      <c r="AD96" s="91">
        <f t="shared" si="69"/>
        <v>0</v>
      </c>
      <c r="AE96" s="93">
        <f t="shared" si="70"/>
        <v>0</v>
      </c>
      <c r="AF96" s="93">
        <f t="shared" si="71"/>
        <v>0</v>
      </c>
      <c r="AG96" s="93">
        <f t="shared" si="72"/>
        <v>0</v>
      </c>
      <c r="AH96" s="93">
        <f t="shared" si="73"/>
        <v>0</v>
      </c>
      <c r="AI96" s="93">
        <f t="shared" si="74"/>
        <v>0</v>
      </c>
      <c r="AJ96" s="93">
        <f t="shared" si="75"/>
        <v>0</v>
      </c>
      <c r="AK96" s="93">
        <f t="shared" si="76"/>
        <v>0</v>
      </c>
      <c r="AL96" s="93">
        <f t="shared" si="77"/>
        <v>0</v>
      </c>
      <c r="AM96" s="92">
        <f t="shared" si="78"/>
        <v>0</v>
      </c>
      <c r="AN96" s="1" t="str">
        <f t="shared" si="33"/>
        <v xml:space="preserve"> </v>
      </c>
      <c r="AO96" s="1" t="str">
        <f t="shared" si="34"/>
        <v xml:space="preserve"> </v>
      </c>
      <c r="AP96" s="1" t="str">
        <f t="shared" si="35"/>
        <v xml:space="preserve"> </v>
      </c>
      <c r="AQ96" s="1" t="str">
        <f t="shared" si="87"/>
        <v xml:space="preserve"> </v>
      </c>
      <c r="AR96" s="1" t="str">
        <f t="shared" si="37"/>
        <v xml:space="preserve"> </v>
      </c>
      <c r="AS96" s="1" t="str">
        <f t="shared" si="38"/>
        <v xml:space="preserve"> </v>
      </c>
      <c r="AT96" s="1" t="str">
        <f t="shared" si="39"/>
        <v xml:space="preserve"> </v>
      </c>
      <c r="AU96" s="103" t="str">
        <f t="shared" si="40"/>
        <v xml:space="preserve"> </v>
      </c>
      <c r="AV96" s="111">
        <f t="shared" si="79"/>
        <v>0</v>
      </c>
      <c r="AW96" s="4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6"/>
      <c r="DM96" s="111">
        <f t="shared" si="80"/>
        <v>0</v>
      </c>
      <c r="DN96" s="4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6"/>
      <c r="GD96" s="111">
        <f t="shared" si="81"/>
        <v>0</v>
      </c>
      <c r="GE96" s="4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6"/>
      <c r="IU96" s="111">
        <f t="shared" si="82"/>
        <v>0</v>
      </c>
      <c r="IV96" s="4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6"/>
      <c r="LL96" s="111">
        <f t="shared" si="83"/>
        <v>0</v>
      </c>
      <c r="LM96" s="4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6"/>
      <c r="OC96" s="111">
        <f t="shared" si="84"/>
        <v>0</v>
      </c>
      <c r="OD96" s="4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6"/>
      <c r="QT96" s="111">
        <f t="shared" si="85"/>
        <v>0</v>
      </c>
      <c r="QU96" s="4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6"/>
      <c r="TK96" s="111">
        <f t="shared" si="86"/>
        <v>0</v>
      </c>
      <c r="TL96" s="4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6"/>
    </row>
    <row r="97" spans="1:599" ht="14.25" customHeight="1" x14ac:dyDescent="0.3">
      <c r="A97" s="41"/>
      <c r="B97" s="39"/>
      <c r="C97" s="40"/>
      <c r="D97" s="40"/>
      <c r="E97" s="81"/>
      <c r="F97" s="81"/>
      <c r="G97" s="81"/>
      <c r="H97" s="81"/>
      <c r="I97" s="81"/>
      <c r="J97" s="81"/>
      <c r="K97" s="81"/>
      <c r="L97" s="81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89" t="str">
        <f t="shared" si="64"/>
        <v/>
      </c>
      <c r="Z97" s="89" t="str">
        <f t="shared" si="65"/>
        <v/>
      </c>
      <c r="AA97" s="89">
        <f t="shared" si="66"/>
        <v>0</v>
      </c>
      <c r="AB97" s="89">
        <f t="shared" si="67"/>
        <v>0</v>
      </c>
      <c r="AC97" s="90">
        <f t="shared" si="68"/>
        <v>0</v>
      </c>
      <c r="AD97" s="91">
        <f t="shared" si="69"/>
        <v>0</v>
      </c>
      <c r="AE97" s="93">
        <f t="shared" si="70"/>
        <v>0</v>
      </c>
      <c r="AF97" s="93">
        <f t="shared" si="71"/>
        <v>0</v>
      </c>
      <c r="AG97" s="93">
        <f t="shared" si="72"/>
        <v>0</v>
      </c>
      <c r="AH97" s="93">
        <f t="shared" si="73"/>
        <v>0</v>
      </c>
      <c r="AI97" s="93">
        <f t="shared" si="74"/>
        <v>0</v>
      </c>
      <c r="AJ97" s="93">
        <f t="shared" si="75"/>
        <v>0</v>
      </c>
      <c r="AK97" s="93">
        <f t="shared" si="76"/>
        <v>0</v>
      </c>
      <c r="AL97" s="93">
        <f t="shared" si="77"/>
        <v>0</v>
      </c>
      <c r="AM97" s="92">
        <f t="shared" si="78"/>
        <v>0</v>
      </c>
      <c r="AN97" s="1" t="str">
        <f t="shared" si="33"/>
        <v xml:space="preserve"> </v>
      </c>
      <c r="AO97" s="1" t="str">
        <f t="shared" si="34"/>
        <v xml:space="preserve"> </v>
      </c>
      <c r="AP97" s="1" t="str">
        <f t="shared" si="35"/>
        <v xml:space="preserve"> </v>
      </c>
      <c r="AQ97" s="1" t="str">
        <f t="shared" si="87"/>
        <v xml:space="preserve"> </v>
      </c>
      <c r="AR97" s="1" t="str">
        <f t="shared" si="37"/>
        <v xml:space="preserve"> </v>
      </c>
      <c r="AS97" s="1" t="str">
        <f t="shared" si="38"/>
        <v xml:space="preserve"> </v>
      </c>
      <c r="AT97" s="1" t="str">
        <f t="shared" si="39"/>
        <v xml:space="preserve"> </v>
      </c>
      <c r="AU97" s="103" t="str">
        <f t="shared" si="40"/>
        <v xml:space="preserve"> </v>
      </c>
      <c r="AV97" s="111">
        <f t="shared" si="79"/>
        <v>0</v>
      </c>
      <c r="AW97" s="4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6"/>
      <c r="DM97" s="111">
        <f t="shared" si="80"/>
        <v>0</v>
      </c>
      <c r="DN97" s="4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6"/>
      <c r="GD97" s="111">
        <f t="shared" si="81"/>
        <v>0</v>
      </c>
      <c r="GE97" s="4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6"/>
      <c r="IU97" s="111">
        <f t="shared" si="82"/>
        <v>0</v>
      </c>
      <c r="IV97" s="4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6"/>
      <c r="LL97" s="111">
        <f t="shared" si="83"/>
        <v>0</v>
      </c>
      <c r="LM97" s="4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6"/>
      <c r="OC97" s="111">
        <f t="shared" si="84"/>
        <v>0</v>
      </c>
      <c r="OD97" s="4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6"/>
      <c r="QT97" s="111">
        <f t="shared" si="85"/>
        <v>0</v>
      </c>
      <c r="QU97" s="4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6"/>
      <c r="TK97" s="111">
        <f t="shared" si="86"/>
        <v>0</v>
      </c>
      <c r="TL97" s="4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6"/>
    </row>
    <row r="98" spans="1:599" ht="14.25" customHeight="1" x14ac:dyDescent="0.3">
      <c r="A98" s="85"/>
      <c r="B98" s="87"/>
      <c r="C98" s="87"/>
      <c r="D98" s="86"/>
      <c r="E98" s="81"/>
      <c r="F98" s="81"/>
      <c r="G98" s="81"/>
      <c r="H98" s="81"/>
      <c r="I98" s="81"/>
      <c r="J98" s="81"/>
      <c r="K98" s="81"/>
      <c r="L98" s="81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89" t="str">
        <f t="shared" si="64"/>
        <v/>
      </c>
      <c r="Z98" s="89" t="str">
        <f t="shared" si="65"/>
        <v/>
      </c>
      <c r="AA98" s="89">
        <f t="shared" si="66"/>
        <v>0</v>
      </c>
      <c r="AB98" s="89">
        <f t="shared" si="67"/>
        <v>0</v>
      </c>
      <c r="AC98" s="90">
        <f t="shared" si="68"/>
        <v>0</v>
      </c>
      <c r="AD98" s="91">
        <f t="shared" si="69"/>
        <v>0</v>
      </c>
      <c r="AE98" s="93">
        <f t="shared" si="70"/>
        <v>0</v>
      </c>
      <c r="AF98" s="93">
        <f t="shared" si="71"/>
        <v>0</v>
      </c>
      <c r="AG98" s="93">
        <f t="shared" si="72"/>
        <v>0</v>
      </c>
      <c r="AH98" s="93">
        <f t="shared" si="73"/>
        <v>0</v>
      </c>
      <c r="AI98" s="93">
        <f t="shared" si="74"/>
        <v>0</v>
      </c>
      <c r="AJ98" s="93">
        <f t="shared" si="75"/>
        <v>0</v>
      </c>
      <c r="AK98" s="93">
        <f t="shared" si="76"/>
        <v>0</v>
      </c>
      <c r="AL98" s="93">
        <f t="shared" si="77"/>
        <v>0</v>
      </c>
      <c r="AM98" s="92">
        <f t="shared" si="78"/>
        <v>0</v>
      </c>
      <c r="AN98" s="1" t="str">
        <f t="shared" si="33"/>
        <v xml:space="preserve"> </v>
      </c>
      <c r="AO98" s="1" t="str">
        <f t="shared" si="34"/>
        <v xml:space="preserve"> </v>
      </c>
      <c r="AP98" s="1" t="str">
        <f t="shared" si="35"/>
        <v xml:space="preserve"> </v>
      </c>
      <c r="AQ98" s="1" t="str">
        <f t="shared" si="87"/>
        <v xml:space="preserve"> </v>
      </c>
      <c r="AR98" s="1" t="str">
        <f t="shared" si="37"/>
        <v xml:space="preserve"> </v>
      </c>
      <c r="AS98" s="1" t="str">
        <f t="shared" si="38"/>
        <v xml:space="preserve"> </v>
      </c>
      <c r="AT98" s="1" t="str">
        <f t="shared" si="39"/>
        <v xml:space="preserve"> </v>
      </c>
      <c r="AU98" s="103" t="str">
        <f t="shared" si="40"/>
        <v xml:space="preserve"> </v>
      </c>
      <c r="AV98" s="111">
        <f t="shared" si="79"/>
        <v>0</v>
      </c>
      <c r="AW98" s="4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6"/>
      <c r="DM98" s="111">
        <f t="shared" si="80"/>
        <v>0</v>
      </c>
      <c r="DN98" s="4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6"/>
      <c r="GD98" s="111">
        <f t="shared" si="81"/>
        <v>0</v>
      </c>
      <c r="GE98" s="4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6"/>
      <c r="IU98" s="111">
        <f t="shared" si="82"/>
        <v>0</v>
      </c>
      <c r="IV98" s="4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6"/>
      <c r="LL98" s="111">
        <f t="shared" si="83"/>
        <v>0</v>
      </c>
      <c r="LM98" s="4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6"/>
      <c r="OC98" s="111">
        <f t="shared" si="84"/>
        <v>0</v>
      </c>
      <c r="OD98" s="4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6"/>
      <c r="QT98" s="111">
        <f t="shared" si="85"/>
        <v>0</v>
      </c>
      <c r="QU98" s="4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6"/>
      <c r="TK98" s="111">
        <f t="shared" si="86"/>
        <v>0</v>
      </c>
      <c r="TL98" s="4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6"/>
    </row>
    <row r="99" spans="1:599" ht="14.25" customHeight="1" x14ac:dyDescent="0.3">
      <c r="A99" s="85"/>
      <c r="B99" s="87"/>
      <c r="C99" s="87"/>
      <c r="D99" s="86"/>
      <c r="E99" s="81"/>
      <c r="F99" s="81"/>
      <c r="G99" s="81"/>
      <c r="H99" s="81"/>
      <c r="I99" s="81"/>
      <c r="J99" s="81"/>
      <c r="K99" s="81"/>
      <c r="L99" s="81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89" t="str">
        <f t="shared" si="64"/>
        <v/>
      </c>
      <c r="Z99" s="89" t="str">
        <f t="shared" si="65"/>
        <v/>
      </c>
      <c r="AA99" s="89">
        <f t="shared" si="66"/>
        <v>0</v>
      </c>
      <c r="AB99" s="89">
        <f t="shared" si="67"/>
        <v>0</v>
      </c>
      <c r="AC99" s="90">
        <f t="shared" si="68"/>
        <v>0</v>
      </c>
      <c r="AD99" s="91">
        <f t="shared" si="69"/>
        <v>0</v>
      </c>
      <c r="AE99" s="93">
        <f t="shared" si="70"/>
        <v>0</v>
      </c>
      <c r="AF99" s="93">
        <f t="shared" si="71"/>
        <v>0</v>
      </c>
      <c r="AG99" s="93">
        <f t="shared" si="72"/>
        <v>0</v>
      </c>
      <c r="AH99" s="93">
        <f t="shared" si="73"/>
        <v>0</v>
      </c>
      <c r="AI99" s="93">
        <f t="shared" si="74"/>
        <v>0</v>
      </c>
      <c r="AJ99" s="93">
        <f t="shared" si="75"/>
        <v>0</v>
      </c>
      <c r="AK99" s="93">
        <f t="shared" si="76"/>
        <v>0</v>
      </c>
      <c r="AL99" s="93">
        <f t="shared" si="77"/>
        <v>0</v>
      </c>
      <c r="AM99" s="92">
        <f t="shared" si="78"/>
        <v>0</v>
      </c>
      <c r="AN99" s="1" t="str">
        <f t="shared" si="33"/>
        <v xml:space="preserve"> </v>
      </c>
      <c r="AO99" s="1" t="str">
        <f t="shared" si="34"/>
        <v xml:space="preserve"> </v>
      </c>
      <c r="AP99" s="1" t="str">
        <f t="shared" si="35"/>
        <v xml:space="preserve"> </v>
      </c>
      <c r="AQ99" s="1" t="str">
        <f t="shared" si="87"/>
        <v xml:space="preserve"> </v>
      </c>
      <c r="AR99" s="1" t="str">
        <f t="shared" si="37"/>
        <v xml:space="preserve"> </v>
      </c>
      <c r="AS99" s="1" t="str">
        <f t="shared" si="38"/>
        <v xml:space="preserve"> </v>
      </c>
      <c r="AT99" s="1" t="str">
        <f t="shared" si="39"/>
        <v xml:space="preserve"> </v>
      </c>
      <c r="AU99" s="103" t="str">
        <f t="shared" si="40"/>
        <v xml:space="preserve"> </v>
      </c>
      <c r="AV99" s="111">
        <f t="shared" si="79"/>
        <v>0</v>
      </c>
      <c r="AW99" s="4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6"/>
      <c r="DM99" s="111">
        <f t="shared" si="80"/>
        <v>0</v>
      </c>
      <c r="DN99" s="4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6"/>
      <c r="GD99" s="111">
        <f t="shared" si="81"/>
        <v>0</v>
      </c>
      <c r="GE99" s="4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6"/>
      <c r="IU99" s="111">
        <f t="shared" si="82"/>
        <v>0</v>
      </c>
      <c r="IV99" s="4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6"/>
      <c r="LL99" s="111">
        <f t="shared" si="83"/>
        <v>0</v>
      </c>
      <c r="LM99" s="4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6"/>
      <c r="OC99" s="111">
        <f t="shared" si="84"/>
        <v>0</v>
      </c>
      <c r="OD99" s="4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6"/>
      <c r="QT99" s="111">
        <f t="shared" si="85"/>
        <v>0</v>
      </c>
      <c r="QU99" s="4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6"/>
      <c r="TK99" s="111">
        <f t="shared" si="86"/>
        <v>0</v>
      </c>
      <c r="TL99" s="4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6"/>
    </row>
    <row r="100" spans="1:599" ht="14.25" customHeight="1" x14ac:dyDescent="0.3">
      <c r="A100" s="85"/>
      <c r="B100" s="87"/>
      <c r="C100" s="87"/>
      <c r="D100" s="86"/>
      <c r="E100" s="81"/>
      <c r="F100" s="81"/>
      <c r="G100" s="81"/>
      <c r="H100" s="81"/>
      <c r="I100" s="81"/>
      <c r="J100" s="81"/>
      <c r="K100" s="81"/>
      <c r="L100" s="81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89" t="str">
        <f t="shared" si="64"/>
        <v/>
      </c>
      <c r="Z100" s="89" t="str">
        <f t="shared" si="65"/>
        <v/>
      </c>
      <c r="AA100" s="89">
        <f t="shared" si="66"/>
        <v>0</v>
      </c>
      <c r="AB100" s="89">
        <f t="shared" si="67"/>
        <v>0</v>
      </c>
      <c r="AC100" s="90">
        <f t="shared" si="68"/>
        <v>0</v>
      </c>
      <c r="AD100" s="91">
        <f t="shared" si="69"/>
        <v>0</v>
      </c>
      <c r="AE100" s="93">
        <f t="shared" si="70"/>
        <v>0</v>
      </c>
      <c r="AF100" s="93">
        <f t="shared" si="71"/>
        <v>0</v>
      </c>
      <c r="AG100" s="93">
        <f t="shared" si="72"/>
        <v>0</v>
      </c>
      <c r="AH100" s="93">
        <f t="shared" si="73"/>
        <v>0</v>
      </c>
      <c r="AI100" s="93">
        <f t="shared" si="74"/>
        <v>0</v>
      </c>
      <c r="AJ100" s="93">
        <f t="shared" si="75"/>
        <v>0</v>
      </c>
      <c r="AK100" s="93">
        <f t="shared" si="76"/>
        <v>0</v>
      </c>
      <c r="AL100" s="93">
        <f t="shared" si="77"/>
        <v>0</v>
      </c>
      <c r="AM100" s="92">
        <f t="shared" si="78"/>
        <v>0</v>
      </c>
      <c r="AN100" s="1" t="str">
        <f t="shared" si="33"/>
        <v xml:space="preserve"> </v>
      </c>
      <c r="AO100" s="1" t="str">
        <f t="shared" si="34"/>
        <v xml:space="preserve"> </v>
      </c>
      <c r="AP100" s="1" t="str">
        <f t="shared" si="35"/>
        <v xml:space="preserve"> </v>
      </c>
      <c r="AQ100" s="1" t="str">
        <f t="shared" si="87"/>
        <v xml:space="preserve"> </v>
      </c>
      <c r="AR100" s="1" t="str">
        <f t="shared" si="37"/>
        <v xml:space="preserve"> </v>
      </c>
      <c r="AS100" s="1" t="str">
        <f t="shared" si="38"/>
        <v xml:space="preserve"> </v>
      </c>
      <c r="AT100" s="1" t="str">
        <f t="shared" si="39"/>
        <v xml:space="preserve"> </v>
      </c>
      <c r="AU100" s="103" t="str">
        <f t="shared" si="40"/>
        <v xml:space="preserve"> </v>
      </c>
      <c r="AV100" s="111">
        <f t="shared" si="79"/>
        <v>0</v>
      </c>
      <c r="AW100" s="4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6"/>
      <c r="DM100" s="111">
        <f t="shared" si="80"/>
        <v>0</v>
      </c>
      <c r="DN100" s="4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6"/>
      <c r="GD100" s="111">
        <f t="shared" si="81"/>
        <v>0</v>
      </c>
      <c r="GE100" s="4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6"/>
      <c r="IU100" s="111">
        <f t="shared" si="82"/>
        <v>0</v>
      </c>
      <c r="IV100" s="4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6"/>
      <c r="LL100" s="111">
        <f t="shared" si="83"/>
        <v>0</v>
      </c>
      <c r="LM100" s="4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6"/>
      <c r="OC100" s="111">
        <f t="shared" si="84"/>
        <v>0</v>
      </c>
      <c r="OD100" s="4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6"/>
      <c r="QT100" s="111">
        <f t="shared" si="85"/>
        <v>0</v>
      </c>
      <c r="QU100" s="4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6"/>
      <c r="TK100" s="111">
        <f t="shared" si="86"/>
        <v>0</v>
      </c>
      <c r="TL100" s="4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6"/>
    </row>
    <row r="101" spans="1:599" ht="14.25" customHeight="1" x14ac:dyDescent="0.3">
      <c r="A101" s="85"/>
      <c r="B101" s="87"/>
      <c r="C101" s="87"/>
      <c r="D101" s="86"/>
      <c r="E101" s="81"/>
      <c r="F101" s="81"/>
      <c r="G101" s="81"/>
      <c r="H101" s="81"/>
      <c r="I101" s="81"/>
      <c r="J101" s="81"/>
      <c r="K101" s="81"/>
      <c r="L101" s="8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89" t="str">
        <f t="shared" si="64"/>
        <v/>
      </c>
      <c r="Z101" s="89" t="str">
        <f t="shared" si="65"/>
        <v/>
      </c>
      <c r="AA101" s="89">
        <f t="shared" si="66"/>
        <v>0</v>
      </c>
      <c r="AB101" s="89">
        <f t="shared" si="67"/>
        <v>0</v>
      </c>
      <c r="AC101" s="90">
        <f t="shared" si="68"/>
        <v>0</v>
      </c>
      <c r="AD101" s="91">
        <f t="shared" si="69"/>
        <v>0</v>
      </c>
      <c r="AE101" s="93">
        <f t="shared" si="70"/>
        <v>0</v>
      </c>
      <c r="AF101" s="93">
        <f t="shared" si="71"/>
        <v>0</v>
      </c>
      <c r="AG101" s="93">
        <f t="shared" si="72"/>
        <v>0</v>
      </c>
      <c r="AH101" s="93">
        <f t="shared" si="73"/>
        <v>0</v>
      </c>
      <c r="AI101" s="93">
        <f t="shared" si="74"/>
        <v>0</v>
      </c>
      <c r="AJ101" s="93">
        <f t="shared" si="75"/>
        <v>0</v>
      </c>
      <c r="AK101" s="93">
        <f t="shared" si="76"/>
        <v>0</v>
      </c>
      <c r="AL101" s="93">
        <f t="shared" si="77"/>
        <v>0</v>
      </c>
      <c r="AM101" s="92">
        <f t="shared" si="78"/>
        <v>0</v>
      </c>
      <c r="AN101" s="1" t="str">
        <f t="shared" ref="AN101:AN141" si="88">IF(E101&gt;0,E101*$AC101*$AB101/1000," ")</f>
        <v xml:space="preserve"> </v>
      </c>
      <c r="AO101" s="1" t="str">
        <f t="shared" ref="AO101:AO141" si="89">IF(F101&gt;0,F101*$AC101*$AA101/1000," ")</f>
        <v xml:space="preserve"> </v>
      </c>
      <c r="AP101" s="1" t="str">
        <f t="shared" ref="AP101:AP141" si="90">IF(G101&gt;0,G101*$AC101*$AA101/1000," ")</f>
        <v xml:space="preserve"> </v>
      </c>
      <c r="AQ101" s="1" t="str">
        <f t="shared" ref="AQ101:AQ124" si="91">IF(H101&gt;0,H101*$AC101*$AB101/1000," ")</f>
        <v xml:space="preserve"> </v>
      </c>
      <c r="AR101" s="1" t="str">
        <f t="shared" ref="AR101:AR141" si="92">IF(I101&gt;0,I101*$AC101*$AA101/1000," ")</f>
        <v xml:space="preserve"> </v>
      </c>
      <c r="AS101" s="1" t="str">
        <f t="shared" ref="AS101:AS141" si="93">IF(J101&gt;0,J101*$AC101*$AA101/1000," ")</f>
        <v xml:space="preserve"> </v>
      </c>
      <c r="AT101" s="1" t="str">
        <f t="shared" ref="AT101:AT141" si="94">IF(K101&gt;0,K101*$AC101*$AA101/1000," ")</f>
        <v xml:space="preserve"> </v>
      </c>
      <c r="AU101" s="103" t="str">
        <f t="shared" ref="AU101:AU141" si="95">IF(L101&gt;0,L101*$AC101*$AB101/1000," ")</f>
        <v xml:space="preserve"> </v>
      </c>
      <c r="AV101" s="111">
        <f t="shared" si="79"/>
        <v>0</v>
      </c>
      <c r="AW101" s="4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6"/>
      <c r="DM101" s="111">
        <f t="shared" si="80"/>
        <v>0</v>
      </c>
      <c r="DN101" s="4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6"/>
      <c r="GD101" s="111">
        <f t="shared" si="81"/>
        <v>0</v>
      </c>
      <c r="GE101" s="4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6"/>
      <c r="IU101" s="111">
        <f t="shared" si="82"/>
        <v>0</v>
      </c>
      <c r="IV101" s="4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6"/>
      <c r="LL101" s="111">
        <f t="shared" si="83"/>
        <v>0</v>
      </c>
      <c r="LM101" s="4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6"/>
      <c r="OC101" s="111">
        <f t="shared" si="84"/>
        <v>0</v>
      </c>
      <c r="OD101" s="4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6"/>
      <c r="QT101" s="111">
        <f t="shared" si="85"/>
        <v>0</v>
      </c>
      <c r="QU101" s="4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6"/>
      <c r="TK101" s="111">
        <f t="shared" si="86"/>
        <v>0</v>
      </c>
      <c r="TL101" s="4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6"/>
    </row>
    <row r="102" spans="1:599" ht="14.25" customHeight="1" x14ac:dyDescent="0.3">
      <c r="A102" s="41"/>
      <c r="B102" s="39"/>
      <c r="C102" s="40"/>
      <c r="D102" s="40"/>
      <c r="E102" s="81"/>
      <c r="F102" s="81"/>
      <c r="G102" s="81"/>
      <c r="H102" s="81"/>
      <c r="I102" s="81"/>
      <c r="J102" s="81"/>
      <c r="K102" s="81"/>
      <c r="L102" s="81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89" t="str">
        <f t="shared" si="64"/>
        <v/>
      </c>
      <c r="Z102" s="89" t="str">
        <f t="shared" si="65"/>
        <v/>
      </c>
      <c r="AA102" s="89">
        <f t="shared" si="66"/>
        <v>0</v>
      </c>
      <c r="AB102" s="89">
        <f t="shared" si="67"/>
        <v>0</v>
      </c>
      <c r="AC102" s="90">
        <f t="shared" si="68"/>
        <v>0</v>
      </c>
      <c r="AD102" s="91">
        <f t="shared" si="69"/>
        <v>0</v>
      </c>
      <c r="AE102" s="93">
        <f t="shared" si="70"/>
        <v>0</v>
      </c>
      <c r="AF102" s="93">
        <f t="shared" si="71"/>
        <v>0</v>
      </c>
      <c r="AG102" s="93">
        <f t="shared" si="72"/>
        <v>0</v>
      </c>
      <c r="AH102" s="93">
        <f t="shared" si="73"/>
        <v>0</v>
      </c>
      <c r="AI102" s="93">
        <f t="shared" si="74"/>
        <v>0</v>
      </c>
      <c r="AJ102" s="93">
        <f t="shared" si="75"/>
        <v>0</v>
      </c>
      <c r="AK102" s="93">
        <f t="shared" si="76"/>
        <v>0</v>
      </c>
      <c r="AL102" s="93">
        <f t="shared" si="77"/>
        <v>0</v>
      </c>
      <c r="AM102" s="92">
        <f t="shared" si="78"/>
        <v>0</v>
      </c>
      <c r="AN102" s="1" t="str">
        <f t="shared" si="88"/>
        <v xml:space="preserve"> </v>
      </c>
      <c r="AO102" s="1" t="str">
        <f t="shared" si="89"/>
        <v xml:space="preserve"> </v>
      </c>
      <c r="AP102" s="1" t="str">
        <f t="shared" si="90"/>
        <v xml:space="preserve"> </v>
      </c>
      <c r="AQ102" s="1" t="str">
        <f t="shared" si="91"/>
        <v xml:space="preserve"> </v>
      </c>
      <c r="AR102" s="1" t="str">
        <f t="shared" si="92"/>
        <v xml:space="preserve"> </v>
      </c>
      <c r="AS102" s="1" t="str">
        <f t="shared" si="93"/>
        <v xml:space="preserve"> </v>
      </c>
      <c r="AT102" s="1" t="str">
        <f t="shared" si="94"/>
        <v xml:space="preserve"> </v>
      </c>
      <c r="AU102" s="103" t="str">
        <f t="shared" si="95"/>
        <v xml:space="preserve"> </v>
      </c>
      <c r="AV102" s="111">
        <f t="shared" si="79"/>
        <v>0</v>
      </c>
      <c r="AW102" s="4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6"/>
      <c r="DM102" s="111">
        <f t="shared" si="80"/>
        <v>0</v>
      </c>
      <c r="DN102" s="4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6"/>
      <c r="GD102" s="111">
        <f t="shared" si="81"/>
        <v>0</v>
      </c>
      <c r="GE102" s="4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6"/>
      <c r="IU102" s="111">
        <f t="shared" si="82"/>
        <v>0</v>
      </c>
      <c r="IV102" s="4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6"/>
      <c r="LL102" s="111">
        <f t="shared" si="83"/>
        <v>0</v>
      </c>
      <c r="LM102" s="4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6"/>
      <c r="OC102" s="111">
        <f t="shared" si="84"/>
        <v>0</v>
      </c>
      <c r="OD102" s="4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6"/>
      <c r="QT102" s="111">
        <f t="shared" si="85"/>
        <v>0</v>
      </c>
      <c r="QU102" s="4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6"/>
      <c r="TK102" s="111">
        <f t="shared" si="86"/>
        <v>0</v>
      </c>
      <c r="TL102" s="4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6"/>
    </row>
    <row r="103" spans="1:599" ht="14.25" customHeight="1" x14ac:dyDescent="0.3">
      <c r="A103" s="85"/>
      <c r="B103" s="87"/>
      <c r="C103" s="87"/>
      <c r="D103" s="86"/>
      <c r="E103" s="81"/>
      <c r="F103" s="81"/>
      <c r="G103" s="81"/>
      <c r="H103" s="81"/>
      <c r="I103" s="81"/>
      <c r="J103" s="81"/>
      <c r="K103" s="81"/>
      <c r="L103" s="81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89" t="str">
        <f t="shared" si="64"/>
        <v/>
      </c>
      <c r="Z103" s="89" t="str">
        <f t="shared" si="65"/>
        <v/>
      </c>
      <c r="AA103" s="89">
        <f t="shared" si="66"/>
        <v>0</v>
      </c>
      <c r="AB103" s="89">
        <f t="shared" si="67"/>
        <v>0</v>
      </c>
      <c r="AC103" s="90">
        <f t="shared" si="68"/>
        <v>0</v>
      </c>
      <c r="AD103" s="91">
        <f t="shared" si="69"/>
        <v>0</v>
      </c>
      <c r="AE103" s="93">
        <f t="shared" si="70"/>
        <v>0</v>
      </c>
      <c r="AF103" s="93">
        <f t="shared" si="71"/>
        <v>0</v>
      </c>
      <c r="AG103" s="93">
        <f t="shared" si="72"/>
        <v>0</v>
      </c>
      <c r="AH103" s="93">
        <f t="shared" si="73"/>
        <v>0</v>
      </c>
      <c r="AI103" s="93">
        <f t="shared" si="74"/>
        <v>0</v>
      </c>
      <c r="AJ103" s="93">
        <f t="shared" si="75"/>
        <v>0</v>
      </c>
      <c r="AK103" s="93">
        <f t="shared" si="76"/>
        <v>0</v>
      </c>
      <c r="AL103" s="93">
        <f t="shared" si="77"/>
        <v>0</v>
      </c>
      <c r="AM103" s="92">
        <f t="shared" si="78"/>
        <v>0</v>
      </c>
      <c r="AN103" s="1" t="str">
        <f t="shared" si="88"/>
        <v xml:space="preserve"> </v>
      </c>
      <c r="AO103" s="1" t="str">
        <f t="shared" si="89"/>
        <v xml:space="preserve"> </v>
      </c>
      <c r="AP103" s="1" t="str">
        <f t="shared" si="90"/>
        <v xml:space="preserve"> </v>
      </c>
      <c r="AQ103" s="1" t="str">
        <f t="shared" si="91"/>
        <v xml:space="preserve"> </v>
      </c>
      <c r="AR103" s="1" t="str">
        <f t="shared" si="92"/>
        <v xml:space="preserve"> </v>
      </c>
      <c r="AS103" s="1" t="str">
        <f t="shared" si="93"/>
        <v xml:space="preserve"> </v>
      </c>
      <c r="AT103" s="1" t="str">
        <f t="shared" si="94"/>
        <v xml:space="preserve"> </v>
      </c>
      <c r="AU103" s="103" t="str">
        <f t="shared" si="95"/>
        <v xml:space="preserve"> </v>
      </c>
      <c r="AV103" s="111">
        <f t="shared" si="79"/>
        <v>0</v>
      </c>
      <c r="AW103" s="4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6"/>
      <c r="DM103" s="111">
        <f t="shared" si="80"/>
        <v>0</v>
      </c>
      <c r="DN103" s="4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6"/>
      <c r="GD103" s="111">
        <f t="shared" si="81"/>
        <v>0</v>
      </c>
      <c r="GE103" s="4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6"/>
      <c r="IU103" s="111">
        <f t="shared" si="82"/>
        <v>0</v>
      </c>
      <c r="IV103" s="4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6"/>
      <c r="LL103" s="111">
        <f t="shared" si="83"/>
        <v>0</v>
      </c>
      <c r="LM103" s="4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6"/>
      <c r="OC103" s="111">
        <f t="shared" si="84"/>
        <v>0</v>
      </c>
      <c r="OD103" s="4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6"/>
      <c r="QT103" s="111">
        <f t="shared" si="85"/>
        <v>0</v>
      </c>
      <c r="QU103" s="4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6"/>
      <c r="TK103" s="111">
        <f t="shared" si="86"/>
        <v>0</v>
      </c>
      <c r="TL103" s="4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6"/>
    </row>
    <row r="104" spans="1:599" ht="14.25" customHeight="1" x14ac:dyDescent="0.3">
      <c r="A104" s="85"/>
      <c r="B104" s="87"/>
      <c r="C104" s="87"/>
      <c r="D104" s="86"/>
      <c r="E104" s="81"/>
      <c r="F104" s="81"/>
      <c r="G104" s="81"/>
      <c r="H104" s="81"/>
      <c r="I104" s="81"/>
      <c r="J104" s="81"/>
      <c r="K104" s="81"/>
      <c r="L104" s="81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89" t="str">
        <f t="shared" si="64"/>
        <v/>
      </c>
      <c r="Z104" s="89" t="str">
        <f t="shared" si="65"/>
        <v/>
      </c>
      <c r="AA104" s="89">
        <f t="shared" si="66"/>
        <v>0</v>
      </c>
      <c r="AB104" s="89">
        <f t="shared" si="67"/>
        <v>0</v>
      </c>
      <c r="AC104" s="90">
        <f t="shared" si="68"/>
        <v>0</v>
      </c>
      <c r="AD104" s="91">
        <f t="shared" si="69"/>
        <v>0</v>
      </c>
      <c r="AE104" s="93">
        <f t="shared" si="70"/>
        <v>0</v>
      </c>
      <c r="AF104" s="93">
        <f t="shared" si="71"/>
        <v>0</v>
      </c>
      <c r="AG104" s="93">
        <f t="shared" si="72"/>
        <v>0</v>
      </c>
      <c r="AH104" s="93">
        <f t="shared" si="73"/>
        <v>0</v>
      </c>
      <c r="AI104" s="93">
        <f t="shared" si="74"/>
        <v>0</v>
      </c>
      <c r="AJ104" s="93">
        <f t="shared" si="75"/>
        <v>0</v>
      </c>
      <c r="AK104" s="93">
        <f t="shared" si="76"/>
        <v>0</v>
      </c>
      <c r="AL104" s="93">
        <f t="shared" si="77"/>
        <v>0</v>
      </c>
      <c r="AM104" s="92">
        <f t="shared" si="78"/>
        <v>0</v>
      </c>
      <c r="AN104" s="1" t="str">
        <f t="shared" si="88"/>
        <v xml:space="preserve"> </v>
      </c>
      <c r="AO104" s="1" t="str">
        <f t="shared" si="89"/>
        <v xml:space="preserve"> </v>
      </c>
      <c r="AP104" s="1" t="str">
        <f t="shared" si="90"/>
        <v xml:space="preserve"> </v>
      </c>
      <c r="AQ104" s="1" t="str">
        <f t="shared" si="91"/>
        <v xml:space="preserve"> </v>
      </c>
      <c r="AR104" s="1" t="str">
        <f t="shared" si="92"/>
        <v xml:space="preserve"> </v>
      </c>
      <c r="AS104" s="1" t="str">
        <f t="shared" si="93"/>
        <v xml:space="preserve"> </v>
      </c>
      <c r="AT104" s="1" t="str">
        <f t="shared" si="94"/>
        <v xml:space="preserve"> </v>
      </c>
      <c r="AU104" s="103" t="str">
        <f t="shared" si="95"/>
        <v xml:space="preserve"> </v>
      </c>
      <c r="AV104" s="111">
        <f t="shared" si="79"/>
        <v>0</v>
      </c>
      <c r="AW104" s="4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6"/>
      <c r="DM104" s="111">
        <f t="shared" si="80"/>
        <v>0</v>
      </c>
      <c r="DN104" s="4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6"/>
      <c r="GD104" s="111">
        <f t="shared" si="81"/>
        <v>0</v>
      </c>
      <c r="GE104" s="4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6"/>
      <c r="IU104" s="111">
        <f t="shared" si="82"/>
        <v>0</v>
      </c>
      <c r="IV104" s="4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6"/>
      <c r="LL104" s="111">
        <f t="shared" si="83"/>
        <v>0</v>
      </c>
      <c r="LM104" s="4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6"/>
      <c r="OC104" s="111">
        <f t="shared" si="84"/>
        <v>0</v>
      </c>
      <c r="OD104" s="4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6"/>
      <c r="QT104" s="111">
        <f t="shared" si="85"/>
        <v>0</v>
      </c>
      <c r="QU104" s="4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6"/>
      <c r="TK104" s="111">
        <f t="shared" si="86"/>
        <v>0</v>
      </c>
      <c r="TL104" s="4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6"/>
    </row>
    <row r="105" spans="1:599" ht="14.25" customHeight="1" x14ac:dyDescent="0.3">
      <c r="A105" s="85"/>
      <c r="B105" s="87"/>
      <c r="C105" s="87"/>
      <c r="D105" s="86"/>
      <c r="E105" s="81"/>
      <c r="F105" s="81"/>
      <c r="G105" s="81"/>
      <c r="H105" s="81"/>
      <c r="I105" s="81"/>
      <c r="J105" s="81"/>
      <c r="K105" s="81"/>
      <c r="L105" s="81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89" t="str">
        <f t="shared" si="64"/>
        <v/>
      </c>
      <c r="Z105" s="89" t="str">
        <f t="shared" si="65"/>
        <v/>
      </c>
      <c r="AA105" s="89">
        <f t="shared" si="66"/>
        <v>0</v>
      </c>
      <c r="AB105" s="89">
        <f t="shared" si="67"/>
        <v>0</v>
      </c>
      <c r="AC105" s="90">
        <f t="shared" si="68"/>
        <v>0</v>
      </c>
      <c r="AD105" s="91">
        <f t="shared" si="69"/>
        <v>0</v>
      </c>
      <c r="AE105" s="93">
        <f t="shared" si="70"/>
        <v>0</v>
      </c>
      <c r="AF105" s="93">
        <f t="shared" si="71"/>
        <v>0</v>
      </c>
      <c r="AG105" s="93">
        <f t="shared" si="72"/>
        <v>0</v>
      </c>
      <c r="AH105" s="93">
        <f t="shared" si="73"/>
        <v>0</v>
      </c>
      <c r="AI105" s="93">
        <f t="shared" si="74"/>
        <v>0</v>
      </c>
      <c r="AJ105" s="93">
        <f t="shared" si="75"/>
        <v>0</v>
      </c>
      <c r="AK105" s="93">
        <f t="shared" si="76"/>
        <v>0</v>
      </c>
      <c r="AL105" s="93">
        <f t="shared" si="77"/>
        <v>0</v>
      </c>
      <c r="AM105" s="92">
        <f t="shared" si="78"/>
        <v>0</v>
      </c>
      <c r="AN105" s="1" t="str">
        <f t="shared" si="88"/>
        <v xml:space="preserve"> </v>
      </c>
      <c r="AO105" s="1" t="str">
        <f t="shared" si="89"/>
        <v xml:space="preserve"> </v>
      </c>
      <c r="AP105" s="1" t="str">
        <f t="shared" si="90"/>
        <v xml:space="preserve"> </v>
      </c>
      <c r="AQ105" s="1" t="str">
        <f t="shared" si="91"/>
        <v xml:space="preserve"> </v>
      </c>
      <c r="AR105" s="1" t="str">
        <f t="shared" si="92"/>
        <v xml:space="preserve"> </v>
      </c>
      <c r="AS105" s="1" t="str">
        <f t="shared" si="93"/>
        <v xml:space="preserve"> </v>
      </c>
      <c r="AT105" s="1" t="str">
        <f t="shared" si="94"/>
        <v xml:space="preserve"> </v>
      </c>
      <c r="AU105" s="103" t="str">
        <f t="shared" si="95"/>
        <v xml:space="preserve"> </v>
      </c>
      <c r="AV105" s="111">
        <f t="shared" si="79"/>
        <v>0</v>
      </c>
      <c r="AW105" s="4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6"/>
      <c r="DM105" s="111">
        <f t="shared" si="80"/>
        <v>0</v>
      </c>
      <c r="DN105" s="4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6"/>
      <c r="GD105" s="111">
        <f t="shared" si="81"/>
        <v>0</v>
      </c>
      <c r="GE105" s="4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6"/>
      <c r="IU105" s="111">
        <f t="shared" si="82"/>
        <v>0</v>
      </c>
      <c r="IV105" s="4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6"/>
      <c r="LL105" s="111">
        <f t="shared" si="83"/>
        <v>0</v>
      </c>
      <c r="LM105" s="4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6"/>
      <c r="OC105" s="111">
        <f t="shared" si="84"/>
        <v>0</v>
      </c>
      <c r="OD105" s="4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6"/>
      <c r="QT105" s="111">
        <f t="shared" si="85"/>
        <v>0</v>
      </c>
      <c r="QU105" s="4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6"/>
      <c r="TK105" s="111">
        <f t="shared" si="86"/>
        <v>0</v>
      </c>
      <c r="TL105" s="4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6"/>
    </row>
    <row r="106" spans="1:599" ht="14.25" customHeight="1" x14ac:dyDescent="0.3">
      <c r="A106" s="85"/>
      <c r="B106" s="87"/>
      <c r="C106" s="87"/>
      <c r="D106" s="86"/>
      <c r="E106" s="81"/>
      <c r="F106" s="81"/>
      <c r="G106" s="81"/>
      <c r="H106" s="81"/>
      <c r="I106" s="81"/>
      <c r="J106" s="81"/>
      <c r="K106" s="81"/>
      <c r="L106" s="81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89" t="str">
        <f t="shared" si="64"/>
        <v/>
      </c>
      <c r="Z106" s="89" t="str">
        <f t="shared" si="65"/>
        <v/>
      </c>
      <c r="AA106" s="89">
        <f t="shared" si="66"/>
        <v>0</v>
      </c>
      <c r="AB106" s="89">
        <f t="shared" si="67"/>
        <v>0</v>
      </c>
      <c r="AC106" s="90">
        <f t="shared" si="68"/>
        <v>0</v>
      </c>
      <c r="AD106" s="91">
        <f t="shared" si="69"/>
        <v>0</v>
      </c>
      <c r="AE106" s="93">
        <f t="shared" si="70"/>
        <v>0</v>
      </c>
      <c r="AF106" s="93">
        <f t="shared" si="71"/>
        <v>0</v>
      </c>
      <c r="AG106" s="93">
        <f t="shared" si="72"/>
        <v>0</v>
      </c>
      <c r="AH106" s="93">
        <f t="shared" si="73"/>
        <v>0</v>
      </c>
      <c r="AI106" s="93">
        <f t="shared" si="74"/>
        <v>0</v>
      </c>
      <c r="AJ106" s="93">
        <f t="shared" si="75"/>
        <v>0</v>
      </c>
      <c r="AK106" s="93">
        <f t="shared" si="76"/>
        <v>0</v>
      </c>
      <c r="AL106" s="93">
        <f t="shared" si="77"/>
        <v>0</v>
      </c>
      <c r="AM106" s="92">
        <f t="shared" si="78"/>
        <v>0</v>
      </c>
      <c r="AN106" s="1" t="str">
        <f t="shared" si="88"/>
        <v xml:space="preserve"> </v>
      </c>
      <c r="AO106" s="1" t="str">
        <f t="shared" si="89"/>
        <v xml:space="preserve"> </v>
      </c>
      <c r="AP106" s="1" t="str">
        <f t="shared" si="90"/>
        <v xml:space="preserve"> </v>
      </c>
      <c r="AQ106" s="1" t="str">
        <f t="shared" si="91"/>
        <v xml:space="preserve"> </v>
      </c>
      <c r="AR106" s="1" t="str">
        <f t="shared" si="92"/>
        <v xml:space="preserve"> </v>
      </c>
      <c r="AS106" s="1" t="str">
        <f t="shared" si="93"/>
        <v xml:space="preserve"> </v>
      </c>
      <c r="AT106" s="1" t="str">
        <f t="shared" si="94"/>
        <v xml:space="preserve"> </v>
      </c>
      <c r="AU106" s="103" t="str">
        <f t="shared" si="95"/>
        <v xml:space="preserve"> </v>
      </c>
      <c r="AV106" s="111">
        <f t="shared" si="79"/>
        <v>0</v>
      </c>
      <c r="AW106" s="4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6"/>
      <c r="DM106" s="111">
        <f t="shared" si="80"/>
        <v>0</v>
      </c>
      <c r="DN106" s="4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6"/>
      <c r="GD106" s="111">
        <f t="shared" si="81"/>
        <v>0</v>
      </c>
      <c r="GE106" s="4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6"/>
      <c r="IU106" s="111">
        <f t="shared" si="82"/>
        <v>0</v>
      </c>
      <c r="IV106" s="4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6"/>
      <c r="LL106" s="111">
        <f t="shared" si="83"/>
        <v>0</v>
      </c>
      <c r="LM106" s="4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6"/>
      <c r="OC106" s="111">
        <f t="shared" si="84"/>
        <v>0</v>
      </c>
      <c r="OD106" s="4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6"/>
      <c r="QT106" s="111">
        <f t="shared" si="85"/>
        <v>0</v>
      </c>
      <c r="QU106" s="4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6"/>
      <c r="TK106" s="111">
        <f t="shared" si="86"/>
        <v>0</v>
      </c>
      <c r="TL106" s="4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6"/>
    </row>
    <row r="107" spans="1:599" ht="14.25" customHeight="1" x14ac:dyDescent="0.3">
      <c r="A107" s="41"/>
      <c r="B107" s="39"/>
      <c r="C107" s="40"/>
      <c r="D107" s="40"/>
      <c r="E107" s="81"/>
      <c r="F107" s="81"/>
      <c r="G107" s="81"/>
      <c r="H107" s="81"/>
      <c r="I107" s="81"/>
      <c r="J107" s="81"/>
      <c r="K107" s="81"/>
      <c r="L107" s="81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89" t="str">
        <f t="shared" si="64"/>
        <v/>
      </c>
      <c r="Z107" s="89" t="str">
        <f t="shared" si="65"/>
        <v/>
      </c>
      <c r="AA107" s="89">
        <f t="shared" si="66"/>
        <v>0</v>
      </c>
      <c r="AB107" s="89">
        <f t="shared" si="67"/>
        <v>0</v>
      </c>
      <c r="AC107" s="90">
        <f t="shared" si="68"/>
        <v>0</v>
      </c>
      <c r="AD107" s="91">
        <f t="shared" si="69"/>
        <v>0</v>
      </c>
      <c r="AE107" s="93">
        <f t="shared" si="70"/>
        <v>0</v>
      </c>
      <c r="AF107" s="93">
        <f t="shared" si="71"/>
        <v>0</v>
      </c>
      <c r="AG107" s="93">
        <f t="shared" si="72"/>
        <v>0</v>
      </c>
      <c r="AH107" s="93">
        <f t="shared" si="73"/>
        <v>0</v>
      </c>
      <c r="AI107" s="93">
        <f t="shared" si="74"/>
        <v>0</v>
      </c>
      <c r="AJ107" s="93">
        <f t="shared" si="75"/>
        <v>0</v>
      </c>
      <c r="AK107" s="93">
        <f t="shared" si="76"/>
        <v>0</v>
      </c>
      <c r="AL107" s="93">
        <f t="shared" si="77"/>
        <v>0</v>
      </c>
      <c r="AM107" s="92">
        <f t="shared" si="78"/>
        <v>0</v>
      </c>
      <c r="AN107" s="1" t="str">
        <f t="shared" si="88"/>
        <v xml:space="preserve"> </v>
      </c>
      <c r="AO107" s="1" t="str">
        <f t="shared" si="89"/>
        <v xml:space="preserve"> </v>
      </c>
      <c r="AP107" s="1" t="str">
        <f t="shared" si="90"/>
        <v xml:space="preserve"> </v>
      </c>
      <c r="AQ107" s="1" t="str">
        <f t="shared" si="91"/>
        <v xml:space="preserve"> </v>
      </c>
      <c r="AR107" s="1" t="str">
        <f t="shared" si="92"/>
        <v xml:space="preserve"> </v>
      </c>
      <c r="AS107" s="1" t="str">
        <f t="shared" si="93"/>
        <v xml:space="preserve"> </v>
      </c>
      <c r="AT107" s="1" t="str">
        <f t="shared" si="94"/>
        <v xml:space="preserve"> </v>
      </c>
      <c r="AU107" s="103" t="str">
        <f t="shared" si="95"/>
        <v xml:space="preserve"> </v>
      </c>
      <c r="AV107" s="111">
        <f t="shared" si="79"/>
        <v>0</v>
      </c>
      <c r="AW107" s="4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6"/>
      <c r="DM107" s="111">
        <f t="shared" si="80"/>
        <v>0</v>
      </c>
      <c r="DN107" s="4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6"/>
      <c r="GD107" s="111">
        <f t="shared" si="81"/>
        <v>0</v>
      </c>
      <c r="GE107" s="4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6"/>
      <c r="IU107" s="111">
        <f t="shared" si="82"/>
        <v>0</v>
      </c>
      <c r="IV107" s="4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6"/>
      <c r="LL107" s="111">
        <f t="shared" si="83"/>
        <v>0</v>
      </c>
      <c r="LM107" s="4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6"/>
      <c r="OC107" s="111">
        <f t="shared" si="84"/>
        <v>0</v>
      </c>
      <c r="OD107" s="4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6"/>
      <c r="QT107" s="111">
        <f t="shared" si="85"/>
        <v>0</v>
      </c>
      <c r="QU107" s="4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6"/>
      <c r="TK107" s="111">
        <f t="shared" si="86"/>
        <v>0</v>
      </c>
      <c r="TL107" s="4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6"/>
    </row>
    <row r="108" spans="1:599" ht="14.25" customHeight="1" x14ac:dyDescent="0.3">
      <c r="A108" s="85"/>
      <c r="B108" s="87"/>
      <c r="C108" s="87"/>
      <c r="D108" s="86"/>
      <c r="E108" s="81"/>
      <c r="F108" s="81"/>
      <c r="G108" s="81"/>
      <c r="H108" s="81"/>
      <c r="I108" s="81"/>
      <c r="J108" s="81"/>
      <c r="K108" s="81"/>
      <c r="L108" s="81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89" t="str">
        <f t="shared" si="64"/>
        <v/>
      </c>
      <c r="Z108" s="89" t="str">
        <f t="shared" si="65"/>
        <v/>
      </c>
      <c r="AA108" s="89">
        <f t="shared" si="66"/>
        <v>0</v>
      </c>
      <c r="AB108" s="89">
        <f t="shared" si="67"/>
        <v>0</v>
      </c>
      <c r="AC108" s="90">
        <f t="shared" si="68"/>
        <v>0</v>
      </c>
      <c r="AD108" s="91">
        <f t="shared" si="69"/>
        <v>0</v>
      </c>
      <c r="AE108" s="93">
        <f t="shared" si="70"/>
        <v>0</v>
      </c>
      <c r="AF108" s="93">
        <f t="shared" si="71"/>
        <v>0</v>
      </c>
      <c r="AG108" s="93">
        <f t="shared" si="72"/>
        <v>0</v>
      </c>
      <c r="AH108" s="93">
        <f t="shared" si="73"/>
        <v>0</v>
      </c>
      <c r="AI108" s="93">
        <f t="shared" si="74"/>
        <v>0</v>
      </c>
      <c r="AJ108" s="93">
        <f t="shared" si="75"/>
        <v>0</v>
      </c>
      <c r="AK108" s="93">
        <f t="shared" si="76"/>
        <v>0</v>
      </c>
      <c r="AL108" s="93">
        <f t="shared" si="77"/>
        <v>0</v>
      </c>
      <c r="AM108" s="92">
        <f t="shared" si="78"/>
        <v>0</v>
      </c>
      <c r="AN108" s="1" t="str">
        <f t="shared" si="88"/>
        <v xml:space="preserve"> </v>
      </c>
      <c r="AO108" s="1" t="str">
        <f t="shared" si="89"/>
        <v xml:space="preserve"> </v>
      </c>
      <c r="AP108" s="1" t="str">
        <f t="shared" si="90"/>
        <v xml:space="preserve"> </v>
      </c>
      <c r="AQ108" s="1" t="str">
        <f t="shared" si="91"/>
        <v xml:space="preserve"> </v>
      </c>
      <c r="AR108" s="1" t="str">
        <f t="shared" si="92"/>
        <v xml:space="preserve"> </v>
      </c>
      <c r="AS108" s="1" t="str">
        <f t="shared" si="93"/>
        <v xml:space="preserve"> </v>
      </c>
      <c r="AT108" s="1" t="str">
        <f t="shared" si="94"/>
        <v xml:space="preserve"> </v>
      </c>
      <c r="AU108" s="103" t="str">
        <f t="shared" si="95"/>
        <v xml:space="preserve"> </v>
      </c>
      <c r="AV108" s="111">
        <f t="shared" si="79"/>
        <v>0</v>
      </c>
      <c r="AW108" s="4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6"/>
      <c r="DM108" s="111">
        <f t="shared" si="80"/>
        <v>0</v>
      </c>
      <c r="DN108" s="4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6"/>
      <c r="GD108" s="111">
        <f t="shared" si="81"/>
        <v>0</v>
      </c>
      <c r="GE108" s="4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6"/>
      <c r="IU108" s="111">
        <f t="shared" si="82"/>
        <v>0</v>
      </c>
      <c r="IV108" s="4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6"/>
      <c r="LL108" s="111">
        <f t="shared" si="83"/>
        <v>0</v>
      </c>
      <c r="LM108" s="4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6"/>
      <c r="OC108" s="111">
        <f t="shared" si="84"/>
        <v>0</v>
      </c>
      <c r="OD108" s="4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6"/>
      <c r="QT108" s="111">
        <f t="shared" si="85"/>
        <v>0</v>
      </c>
      <c r="QU108" s="4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6"/>
      <c r="TK108" s="111">
        <f t="shared" si="86"/>
        <v>0</v>
      </c>
      <c r="TL108" s="4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6"/>
    </row>
    <row r="109" spans="1:599" ht="14.25" customHeight="1" x14ac:dyDescent="0.3">
      <c r="A109" s="85"/>
      <c r="B109" s="87"/>
      <c r="C109" s="87"/>
      <c r="D109" s="86"/>
      <c r="E109" s="81"/>
      <c r="F109" s="81"/>
      <c r="G109" s="81"/>
      <c r="H109" s="81"/>
      <c r="I109" s="81"/>
      <c r="J109" s="81"/>
      <c r="K109" s="81"/>
      <c r="L109" s="81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89" t="str">
        <f t="shared" si="64"/>
        <v/>
      </c>
      <c r="Z109" s="89" t="str">
        <f t="shared" si="65"/>
        <v/>
      </c>
      <c r="AA109" s="89">
        <f t="shared" si="66"/>
        <v>0</v>
      </c>
      <c r="AB109" s="89">
        <f t="shared" si="67"/>
        <v>0</v>
      </c>
      <c r="AC109" s="90">
        <f t="shared" si="68"/>
        <v>0</v>
      </c>
      <c r="AD109" s="91">
        <f t="shared" si="69"/>
        <v>0</v>
      </c>
      <c r="AE109" s="93">
        <f t="shared" si="70"/>
        <v>0</v>
      </c>
      <c r="AF109" s="93">
        <f t="shared" si="71"/>
        <v>0</v>
      </c>
      <c r="AG109" s="93">
        <f t="shared" si="72"/>
        <v>0</v>
      </c>
      <c r="AH109" s="93">
        <f t="shared" si="73"/>
        <v>0</v>
      </c>
      <c r="AI109" s="93">
        <f t="shared" si="74"/>
        <v>0</v>
      </c>
      <c r="AJ109" s="93">
        <f t="shared" si="75"/>
        <v>0</v>
      </c>
      <c r="AK109" s="93">
        <f t="shared" si="76"/>
        <v>0</v>
      </c>
      <c r="AL109" s="93">
        <f t="shared" si="77"/>
        <v>0</v>
      </c>
      <c r="AM109" s="92">
        <f t="shared" si="78"/>
        <v>0</v>
      </c>
      <c r="AN109" s="1" t="str">
        <f t="shared" si="88"/>
        <v xml:space="preserve"> </v>
      </c>
      <c r="AO109" s="1" t="str">
        <f t="shared" si="89"/>
        <v xml:space="preserve"> </v>
      </c>
      <c r="AP109" s="1" t="str">
        <f t="shared" si="90"/>
        <v xml:space="preserve"> </v>
      </c>
      <c r="AQ109" s="1" t="str">
        <f t="shared" si="91"/>
        <v xml:space="preserve"> </v>
      </c>
      <c r="AR109" s="1" t="str">
        <f t="shared" si="92"/>
        <v xml:space="preserve"> </v>
      </c>
      <c r="AS109" s="1" t="str">
        <f t="shared" si="93"/>
        <v xml:space="preserve"> </v>
      </c>
      <c r="AT109" s="1" t="str">
        <f t="shared" si="94"/>
        <v xml:space="preserve"> </v>
      </c>
      <c r="AU109" s="103" t="str">
        <f t="shared" si="95"/>
        <v xml:space="preserve"> </v>
      </c>
      <c r="AV109" s="111">
        <f t="shared" si="79"/>
        <v>0</v>
      </c>
      <c r="AW109" s="4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6"/>
      <c r="DM109" s="111">
        <f t="shared" si="80"/>
        <v>0</v>
      </c>
      <c r="DN109" s="4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6"/>
      <c r="GD109" s="111">
        <f t="shared" si="81"/>
        <v>0</v>
      </c>
      <c r="GE109" s="4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6"/>
      <c r="IU109" s="111">
        <f t="shared" si="82"/>
        <v>0</v>
      </c>
      <c r="IV109" s="4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6"/>
      <c r="LL109" s="111">
        <f t="shared" si="83"/>
        <v>0</v>
      </c>
      <c r="LM109" s="4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6"/>
      <c r="OC109" s="111">
        <f t="shared" si="84"/>
        <v>0</v>
      </c>
      <c r="OD109" s="4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6"/>
      <c r="QT109" s="111">
        <f t="shared" si="85"/>
        <v>0</v>
      </c>
      <c r="QU109" s="4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6"/>
      <c r="TK109" s="111">
        <f t="shared" si="86"/>
        <v>0</v>
      </c>
      <c r="TL109" s="4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6"/>
    </row>
    <row r="110" spans="1:599" ht="14.25" customHeight="1" x14ac:dyDescent="0.3">
      <c r="A110" s="85"/>
      <c r="B110" s="87"/>
      <c r="C110" s="87"/>
      <c r="D110" s="86"/>
      <c r="E110" s="81"/>
      <c r="F110" s="81"/>
      <c r="G110" s="81"/>
      <c r="H110" s="81"/>
      <c r="I110" s="81"/>
      <c r="J110" s="81"/>
      <c r="K110" s="81"/>
      <c r="L110" s="81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89" t="str">
        <f t="shared" si="64"/>
        <v/>
      </c>
      <c r="Z110" s="89" t="str">
        <f t="shared" si="65"/>
        <v/>
      </c>
      <c r="AA110" s="89">
        <f t="shared" si="66"/>
        <v>0</v>
      </c>
      <c r="AB110" s="89">
        <f t="shared" si="67"/>
        <v>0</v>
      </c>
      <c r="AC110" s="90">
        <f t="shared" si="68"/>
        <v>0</v>
      </c>
      <c r="AD110" s="91">
        <f t="shared" si="69"/>
        <v>0</v>
      </c>
      <c r="AE110" s="93">
        <f t="shared" si="70"/>
        <v>0</v>
      </c>
      <c r="AF110" s="93">
        <f t="shared" si="71"/>
        <v>0</v>
      </c>
      <c r="AG110" s="93">
        <f t="shared" si="72"/>
        <v>0</v>
      </c>
      <c r="AH110" s="93">
        <f t="shared" si="73"/>
        <v>0</v>
      </c>
      <c r="AI110" s="93">
        <f t="shared" si="74"/>
        <v>0</v>
      </c>
      <c r="AJ110" s="93">
        <f t="shared" si="75"/>
        <v>0</v>
      </c>
      <c r="AK110" s="93">
        <f t="shared" si="76"/>
        <v>0</v>
      </c>
      <c r="AL110" s="93">
        <f t="shared" si="77"/>
        <v>0</v>
      </c>
      <c r="AM110" s="92">
        <f t="shared" si="78"/>
        <v>0</v>
      </c>
      <c r="AN110" s="1" t="str">
        <f t="shared" si="88"/>
        <v xml:space="preserve"> </v>
      </c>
      <c r="AO110" s="1" t="str">
        <f t="shared" si="89"/>
        <v xml:space="preserve"> </v>
      </c>
      <c r="AP110" s="1" t="str">
        <f t="shared" si="90"/>
        <v xml:space="preserve"> </v>
      </c>
      <c r="AQ110" s="1" t="str">
        <f t="shared" si="91"/>
        <v xml:space="preserve"> </v>
      </c>
      <c r="AR110" s="1" t="str">
        <f t="shared" si="92"/>
        <v xml:space="preserve"> </v>
      </c>
      <c r="AS110" s="1" t="str">
        <f t="shared" si="93"/>
        <v xml:space="preserve"> </v>
      </c>
      <c r="AT110" s="1" t="str">
        <f t="shared" si="94"/>
        <v xml:space="preserve"> </v>
      </c>
      <c r="AU110" s="103" t="str">
        <f t="shared" si="95"/>
        <v xml:space="preserve"> </v>
      </c>
      <c r="AV110" s="111">
        <f t="shared" si="79"/>
        <v>0</v>
      </c>
      <c r="AW110" s="4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6"/>
      <c r="DM110" s="111">
        <f t="shared" si="80"/>
        <v>0</v>
      </c>
      <c r="DN110" s="4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6"/>
      <c r="GD110" s="111">
        <f t="shared" si="81"/>
        <v>0</v>
      </c>
      <c r="GE110" s="4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6"/>
      <c r="IU110" s="111">
        <f t="shared" si="82"/>
        <v>0</v>
      </c>
      <c r="IV110" s="4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6"/>
      <c r="LL110" s="111">
        <f t="shared" si="83"/>
        <v>0</v>
      </c>
      <c r="LM110" s="4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6"/>
      <c r="OC110" s="111">
        <f t="shared" si="84"/>
        <v>0</v>
      </c>
      <c r="OD110" s="4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6"/>
      <c r="QT110" s="111">
        <f t="shared" si="85"/>
        <v>0</v>
      </c>
      <c r="QU110" s="4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6"/>
      <c r="TK110" s="111">
        <f t="shared" si="86"/>
        <v>0</v>
      </c>
      <c r="TL110" s="4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6"/>
    </row>
    <row r="111" spans="1:599" ht="14.25" customHeight="1" x14ac:dyDescent="0.3">
      <c r="A111" s="85"/>
      <c r="B111" s="87"/>
      <c r="C111" s="87"/>
      <c r="D111" s="86"/>
      <c r="E111" s="81"/>
      <c r="F111" s="81"/>
      <c r="G111" s="81"/>
      <c r="H111" s="81"/>
      <c r="I111" s="81"/>
      <c r="J111" s="81"/>
      <c r="K111" s="81"/>
      <c r="L111" s="8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89" t="str">
        <f t="shared" si="64"/>
        <v/>
      </c>
      <c r="Z111" s="89" t="str">
        <f t="shared" si="65"/>
        <v/>
      </c>
      <c r="AA111" s="89">
        <f t="shared" si="66"/>
        <v>0</v>
      </c>
      <c r="AB111" s="89">
        <f t="shared" si="67"/>
        <v>0</v>
      </c>
      <c r="AC111" s="90">
        <f t="shared" si="68"/>
        <v>0</v>
      </c>
      <c r="AD111" s="91">
        <f t="shared" si="69"/>
        <v>0</v>
      </c>
      <c r="AE111" s="93">
        <f t="shared" si="70"/>
        <v>0</v>
      </c>
      <c r="AF111" s="93">
        <f t="shared" si="71"/>
        <v>0</v>
      </c>
      <c r="AG111" s="93">
        <f t="shared" si="72"/>
        <v>0</v>
      </c>
      <c r="AH111" s="93">
        <f t="shared" si="73"/>
        <v>0</v>
      </c>
      <c r="AI111" s="93">
        <f t="shared" si="74"/>
        <v>0</v>
      </c>
      <c r="AJ111" s="93">
        <f t="shared" si="75"/>
        <v>0</v>
      </c>
      <c r="AK111" s="93">
        <f t="shared" si="76"/>
        <v>0</v>
      </c>
      <c r="AL111" s="93">
        <f t="shared" si="77"/>
        <v>0</v>
      </c>
      <c r="AM111" s="92">
        <f t="shared" si="78"/>
        <v>0</v>
      </c>
      <c r="AN111" s="1" t="str">
        <f t="shared" si="88"/>
        <v xml:space="preserve"> </v>
      </c>
      <c r="AO111" s="1" t="str">
        <f t="shared" si="89"/>
        <v xml:space="preserve"> </v>
      </c>
      <c r="AP111" s="1" t="str">
        <f t="shared" si="90"/>
        <v xml:space="preserve"> </v>
      </c>
      <c r="AQ111" s="1" t="str">
        <f t="shared" si="91"/>
        <v xml:space="preserve"> </v>
      </c>
      <c r="AR111" s="1" t="str">
        <f t="shared" si="92"/>
        <v xml:space="preserve"> </v>
      </c>
      <c r="AS111" s="1" t="str">
        <f t="shared" si="93"/>
        <v xml:space="preserve"> </v>
      </c>
      <c r="AT111" s="1" t="str">
        <f t="shared" si="94"/>
        <v xml:space="preserve"> </v>
      </c>
      <c r="AU111" s="103" t="str">
        <f t="shared" si="95"/>
        <v xml:space="preserve"> </v>
      </c>
      <c r="AV111" s="111">
        <f t="shared" si="79"/>
        <v>0</v>
      </c>
      <c r="AW111" s="4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6"/>
      <c r="DM111" s="111">
        <f t="shared" si="80"/>
        <v>0</v>
      </c>
      <c r="DN111" s="4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6"/>
      <c r="GD111" s="111">
        <f t="shared" si="81"/>
        <v>0</v>
      </c>
      <c r="GE111" s="4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6"/>
      <c r="IU111" s="111">
        <f t="shared" si="82"/>
        <v>0</v>
      </c>
      <c r="IV111" s="4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6"/>
      <c r="LL111" s="111">
        <f t="shared" si="83"/>
        <v>0</v>
      </c>
      <c r="LM111" s="4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6"/>
      <c r="OC111" s="111">
        <f t="shared" si="84"/>
        <v>0</v>
      </c>
      <c r="OD111" s="4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6"/>
      <c r="QT111" s="111">
        <f t="shared" si="85"/>
        <v>0</v>
      </c>
      <c r="QU111" s="4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6"/>
      <c r="TK111" s="111">
        <f t="shared" si="86"/>
        <v>0</v>
      </c>
      <c r="TL111" s="4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6"/>
    </row>
    <row r="112" spans="1:599" ht="14.25" customHeight="1" x14ac:dyDescent="0.3">
      <c r="A112" s="41"/>
      <c r="B112" s="39"/>
      <c r="C112" s="40"/>
      <c r="D112" s="40"/>
      <c r="E112" s="81"/>
      <c r="F112" s="81"/>
      <c r="G112" s="81"/>
      <c r="H112" s="81"/>
      <c r="I112" s="81"/>
      <c r="J112" s="81"/>
      <c r="K112" s="81"/>
      <c r="L112" s="81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89" t="str">
        <f t="shared" si="64"/>
        <v/>
      </c>
      <c r="Z112" s="89" t="str">
        <f t="shared" si="65"/>
        <v/>
      </c>
      <c r="AA112" s="89">
        <f t="shared" si="66"/>
        <v>0</v>
      </c>
      <c r="AB112" s="89">
        <f t="shared" si="67"/>
        <v>0</v>
      </c>
      <c r="AC112" s="90">
        <f t="shared" si="68"/>
        <v>0</v>
      </c>
      <c r="AD112" s="91">
        <f t="shared" si="69"/>
        <v>0</v>
      </c>
      <c r="AE112" s="93">
        <f t="shared" si="70"/>
        <v>0</v>
      </c>
      <c r="AF112" s="93">
        <f t="shared" si="71"/>
        <v>0</v>
      </c>
      <c r="AG112" s="93">
        <f t="shared" si="72"/>
        <v>0</v>
      </c>
      <c r="AH112" s="93">
        <f t="shared" si="73"/>
        <v>0</v>
      </c>
      <c r="AI112" s="93">
        <f t="shared" si="74"/>
        <v>0</v>
      </c>
      <c r="AJ112" s="93">
        <f t="shared" si="75"/>
        <v>0</v>
      </c>
      <c r="AK112" s="93">
        <f t="shared" si="76"/>
        <v>0</v>
      </c>
      <c r="AL112" s="93">
        <f t="shared" si="77"/>
        <v>0</v>
      </c>
      <c r="AM112" s="92">
        <f t="shared" si="78"/>
        <v>0</v>
      </c>
      <c r="AN112" s="1" t="str">
        <f t="shared" si="88"/>
        <v xml:space="preserve"> </v>
      </c>
      <c r="AO112" s="1" t="str">
        <f t="shared" si="89"/>
        <v xml:space="preserve"> </v>
      </c>
      <c r="AP112" s="1" t="str">
        <f t="shared" si="90"/>
        <v xml:space="preserve"> </v>
      </c>
      <c r="AQ112" s="1" t="str">
        <f t="shared" si="91"/>
        <v xml:space="preserve"> </v>
      </c>
      <c r="AR112" s="1" t="str">
        <f t="shared" si="92"/>
        <v xml:space="preserve"> </v>
      </c>
      <c r="AS112" s="1" t="str">
        <f t="shared" si="93"/>
        <v xml:space="preserve"> </v>
      </c>
      <c r="AT112" s="1" t="str">
        <f t="shared" si="94"/>
        <v xml:space="preserve"> </v>
      </c>
      <c r="AU112" s="103" t="str">
        <f t="shared" si="95"/>
        <v xml:space="preserve"> </v>
      </c>
      <c r="AV112" s="111">
        <f t="shared" si="79"/>
        <v>0</v>
      </c>
      <c r="AW112" s="4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6"/>
      <c r="DM112" s="111">
        <f t="shared" si="80"/>
        <v>0</v>
      </c>
      <c r="DN112" s="4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6"/>
      <c r="GD112" s="111">
        <f t="shared" si="81"/>
        <v>0</v>
      </c>
      <c r="GE112" s="4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6"/>
      <c r="IU112" s="111">
        <f t="shared" si="82"/>
        <v>0</v>
      </c>
      <c r="IV112" s="4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6"/>
      <c r="LL112" s="111">
        <f t="shared" si="83"/>
        <v>0</v>
      </c>
      <c r="LM112" s="4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6"/>
      <c r="OC112" s="111">
        <f t="shared" si="84"/>
        <v>0</v>
      </c>
      <c r="OD112" s="4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6"/>
      <c r="QT112" s="111">
        <f t="shared" si="85"/>
        <v>0</v>
      </c>
      <c r="QU112" s="4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6"/>
      <c r="TK112" s="111">
        <f t="shared" si="86"/>
        <v>0</v>
      </c>
      <c r="TL112" s="4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6"/>
    </row>
    <row r="113" spans="1:599" s="84" customFormat="1" ht="14.25" customHeight="1" x14ac:dyDescent="0.3">
      <c r="A113" s="41"/>
      <c r="B113" s="39"/>
      <c r="C113" s="40"/>
      <c r="D113" s="40"/>
      <c r="E113" s="2"/>
      <c r="F113" s="2"/>
      <c r="G113" s="2"/>
      <c r="H113" s="2"/>
      <c r="I113" s="2"/>
      <c r="J113" s="2"/>
      <c r="K113" s="2"/>
      <c r="L113" s="2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89" t="str">
        <f t="shared" si="64"/>
        <v/>
      </c>
      <c r="Z113" s="89" t="str">
        <f t="shared" si="65"/>
        <v/>
      </c>
      <c r="AA113" s="89">
        <f t="shared" si="66"/>
        <v>0</v>
      </c>
      <c r="AB113" s="89">
        <f t="shared" si="67"/>
        <v>0</v>
      </c>
      <c r="AC113" s="90">
        <f t="shared" si="68"/>
        <v>0</v>
      </c>
      <c r="AD113" s="91">
        <f t="shared" si="69"/>
        <v>0</v>
      </c>
      <c r="AE113" s="93">
        <f t="shared" si="70"/>
        <v>0</v>
      </c>
      <c r="AF113" s="93">
        <f t="shared" si="71"/>
        <v>0</v>
      </c>
      <c r="AG113" s="93">
        <f t="shared" si="72"/>
        <v>0</v>
      </c>
      <c r="AH113" s="93">
        <f t="shared" si="73"/>
        <v>0</v>
      </c>
      <c r="AI113" s="93">
        <f t="shared" si="74"/>
        <v>0</v>
      </c>
      <c r="AJ113" s="93">
        <f t="shared" si="75"/>
        <v>0</v>
      </c>
      <c r="AK113" s="93">
        <f t="shared" si="76"/>
        <v>0</v>
      </c>
      <c r="AL113" s="93">
        <f t="shared" si="77"/>
        <v>0</v>
      </c>
      <c r="AM113" s="92">
        <f t="shared" si="78"/>
        <v>0</v>
      </c>
      <c r="AN113" s="1" t="str">
        <f t="shared" si="88"/>
        <v xml:space="preserve"> </v>
      </c>
      <c r="AO113" s="1" t="str">
        <f t="shared" si="89"/>
        <v xml:space="preserve"> </v>
      </c>
      <c r="AP113" s="1" t="str">
        <f t="shared" si="90"/>
        <v xml:space="preserve"> </v>
      </c>
      <c r="AQ113" s="1" t="str">
        <f t="shared" si="91"/>
        <v xml:space="preserve"> </v>
      </c>
      <c r="AR113" s="1" t="str">
        <f t="shared" si="92"/>
        <v xml:space="preserve"> </v>
      </c>
      <c r="AS113" s="1" t="str">
        <f t="shared" si="93"/>
        <v xml:space="preserve"> </v>
      </c>
      <c r="AT113" s="1" t="str">
        <f t="shared" si="94"/>
        <v xml:space="preserve"> </v>
      </c>
      <c r="AU113" s="103" t="str">
        <f t="shared" si="95"/>
        <v xml:space="preserve"> </v>
      </c>
      <c r="AV113" s="111">
        <f t="shared" si="79"/>
        <v>0</v>
      </c>
      <c r="AW113" s="4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6"/>
      <c r="DM113" s="111">
        <f t="shared" si="80"/>
        <v>0</v>
      </c>
      <c r="DN113" s="4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6"/>
      <c r="GD113" s="111">
        <f t="shared" si="81"/>
        <v>0</v>
      </c>
      <c r="GE113" s="4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6"/>
      <c r="IU113" s="111">
        <f t="shared" si="82"/>
        <v>0</v>
      </c>
      <c r="IV113" s="4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6"/>
      <c r="LL113" s="111">
        <f t="shared" si="83"/>
        <v>0</v>
      </c>
      <c r="LM113" s="4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6"/>
      <c r="OC113" s="111">
        <f t="shared" si="84"/>
        <v>0</v>
      </c>
      <c r="OD113" s="4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6"/>
      <c r="QT113" s="111">
        <f t="shared" si="85"/>
        <v>0</v>
      </c>
      <c r="QU113" s="4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6"/>
      <c r="TK113" s="111">
        <f t="shared" si="86"/>
        <v>0</v>
      </c>
      <c r="TL113" s="4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6"/>
    </row>
    <row r="114" spans="1:599" ht="14.25" customHeight="1" x14ac:dyDescent="0.3">
      <c r="A114" s="41"/>
      <c r="B114" s="39"/>
      <c r="C114" s="40"/>
      <c r="D114" s="40"/>
      <c r="E114" s="81"/>
      <c r="F114" s="81"/>
      <c r="G114" s="81"/>
      <c r="H114" s="81"/>
      <c r="I114" s="81"/>
      <c r="J114" s="81"/>
      <c r="K114" s="81"/>
      <c r="L114" s="81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89" t="str">
        <f t="shared" si="64"/>
        <v/>
      </c>
      <c r="Z114" s="89" t="str">
        <f t="shared" si="65"/>
        <v/>
      </c>
      <c r="AA114" s="89">
        <f t="shared" si="66"/>
        <v>0</v>
      </c>
      <c r="AB114" s="89">
        <f t="shared" si="67"/>
        <v>0</v>
      </c>
      <c r="AC114" s="90">
        <f t="shared" si="68"/>
        <v>0</v>
      </c>
      <c r="AD114" s="91">
        <f t="shared" si="69"/>
        <v>0</v>
      </c>
      <c r="AE114" s="93">
        <f t="shared" si="70"/>
        <v>0</v>
      </c>
      <c r="AF114" s="93">
        <f t="shared" si="71"/>
        <v>0</v>
      </c>
      <c r="AG114" s="93">
        <f t="shared" si="72"/>
        <v>0</v>
      </c>
      <c r="AH114" s="93">
        <f t="shared" si="73"/>
        <v>0</v>
      </c>
      <c r="AI114" s="93">
        <f t="shared" si="74"/>
        <v>0</v>
      </c>
      <c r="AJ114" s="93">
        <f t="shared" si="75"/>
        <v>0</v>
      </c>
      <c r="AK114" s="93">
        <f t="shared" si="76"/>
        <v>0</v>
      </c>
      <c r="AL114" s="93">
        <f t="shared" si="77"/>
        <v>0</v>
      </c>
      <c r="AM114" s="92">
        <f t="shared" si="78"/>
        <v>0</v>
      </c>
      <c r="AN114" s="1" t="str">
        <f t="shared" si="88"/>
        <v xml:space="preserve"> </v>
      </c>
      <c r="AO114" s="1" t="str">
        <f t="shared" si="89"/>
        <v xml:space="preserve"> </v>
      </c>
      <c r="AP114" s="1" t="str">
        <f t="shared" si="90"/>
        <v xml:space="preserve"> </v>
      </c>
      <c r="AQ114" s="1" t="str">
        <f t="shared" si="91"/>
        <v xml:space="preserve"> </v>
      </c>
      <c r="AR114" s="1" t="str">
        <f t="shared" si="92"/>
        <v xml:space="preserve"> </v>
      </c>
      <c r="AS114" s="1" t="str">
        <f t="shared" si="93"/>
        <v xml:space="preserve"> </v>
      </c>
      <c r="AT114" s="1" t="str">
        <f t="shared" si="94"/>
        <v xml:space="preserve"> </v>
      </c>
      <c r="AU114" s="103" t="str">
        <f t="shared" si="95"/>
        <v xml:space="preserve"> </v>
      </c>
      <c r="AV114" s="111">
        <f t="shared" si="79"/>
        <v>0</v>
      </c>
      <c r="AW114" s="4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6"/>
      <c r="DM114" s="111">
        <f t="shared" si="80"/>
        <v>0</v>
      </c>
      <c r="DN114" s="4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6"/>
      <c r="GD114" s="111">
        <f t="shared" si="81"/>
        <v>0</v>
      </c>
      <c r="GE114" s="4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6"/>
      <c r="IU114" s="111">
        <f t="shared" si="82"/>
        <v>0</v>
      </c>
      <c r="IV114" s="4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6"/>
      <c r="LL114" s="111">
        <f t="shared" si="83"/>
        <v>0</v>
      </c>
      <c r="LM114" s="4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6"/>
      <c r="OC114" s="111">
        <f t="shared" si="84"/>
        <v>0</v>
      </c>
      <c r="OD114" s="4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6"/>
      <c r="QT114" s="111">
        <f t="shared" si="85"/>
        <v>0</v>
      </c>
      <c r="QU114" s="4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6"/>
      <c r="TK114" s="111">
        <f t="shared" si="86"/>
        <v>0</v>
      </c>
      <c r="TL114" s="4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6"/>
    </row>
    <row r="115" spans="1:599" ht="14.25" customHeight="1" x14ac:dyDescent="0.3">
      <c r="A115" s="85"/>
      <c r="B115" s="87"/>
      <c r="C115" s="87"/>
      <c r="D115" s="86"/>
      <c r="E115" s="81"/>
      <c r="F115" s="81"/>
      <c r="G115" s="81"/>
      <c r="H115" s="81"/>
      <c r="I115" s="81"/>
      <c r="J115" s="81"/>
      <c r="K115" s="81"/>
      <c r="L115" s="81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89" t="str">
        <f t="shared" si="64"/>
        <v/>
      </c>
      <c r="Z115" s="89" t="str">
        <f t="shared" si="65"/>
        <v/>
      </c>
      <c r="AA115" s="89">
        <f t="shared" si="66"/>
        <v>0</v>
      </c>
      <c r="AB115" s="89">
        <f t="shared" si="67"/>
        <v>0</v>
      </c>
      <c r="AC115" s="90">
        <f t="shared" si="68"/>
        <v>0</v>
      </c>
      <c r="AD115" s="91">
        <f t="shared" si="69"/>
        <v>0</v>
      </c>
      <c r="AE115" s="93">
        <f t="shared" si="70"/>
        <v>0</v>
      </c>
      <c r="AF115" s="93">
        <f t="shared" si="71"/>
        <v>0</v>
      </c>
      <c r="AG115" s="93">
        <f t="shared" si="72"/>
        <v>0</v>
      </c>
      <c r="AH115" s="93">
        <f t="shared" si="73"/>
        <v>0</v>
      </c>
      <c r="AI115" s="93">
        <f t="shared" si="74"/>
        <v>0</v>
      </c>
      <c r="AJ115" s="93">
        <f t="shared" si="75"/>
        <v>0</v>
      </c>
      <c r="AK115" s="93">
        <f t="shared" si="76"/>
        <v>0</v>
      </c>
      <c r="AL115" s="93">
        <f t="shared" si="77"/>
        <v>0</v>
      </c>
      <c r="AM115" s="92">
        <f t="shared" si="78"/>
        <v>0</v>
      </c>
      <c r="AN115" s="1" t="str">
        <f t="shared" si="88"/>
        <v xml:space="preserve"> </v>
      </c>
      <c r="AO115" s="1" t="str">
        <f t="shared" si="89"/>
        <v xml:space="preserve"> </v>
      </c>
      <c r="AP115" s="1" t="str">
        <f t="shared" si="90"/>
        <v xml:space="preserve"> </v>
      </c>
      <c r="AQ115" s="1" t="str">
        <f t="shared" si="91"/>
        <v xml:space="preserve"> </v>
      </c>
      <c r="AR115" s="1" t="str">
        <f t="shared" si="92"/>
        <v xml:space="preserve"> </v>
      </c>
      <c r="AS115" s="1" t="str">
        <f t="shared" si="93"/>
        <v xml:space="preserve"> </v>
      </c>
      <c r="AT115" s="1" t="str">
        <f t="shared" si="94"/>
        <v xml:space="preserve"> </v>
      </c>
      <c r="AU115" s="103" t="str">
        <f t="shared" si="95"/>
        <v xml:space="preserve"> </v>
      </c>
      <c r="AV115" s="111">
        <f t="shared" si="79"/>
        <v>0</v>
      </c>
      <c r="AW115" s="4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6"/>
      <c r="DM115" s="111">
        <f t="shared" si="80"/>
        <v>0</v>
      </c>
      <c r="DN115" s="4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6"/>
      <c r="GD115" s="111">
        <f t="shared" si="81"/>
        <v>0</v>
      </c>
      <c r="GE115" s="4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6"/>
      <c r="IU115" s="111">
        <f t="shared" si="82"/>
        <v>0</v>
      </c>
      <c r="IV115" s="4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6"/>
      <c r="LL115" s="111">
        <f t="shared" si="83"/>
        <v>0</v>
      </c>
      <c r="LM115" s="4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6"/>
      <c r="OC115" s="111">
        <f t="shared" si="84"/>
        <v>0</v>
      </c>
      <c r="OD115" s="4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6"/>
      <c r="QT115" s="111">
        <f t="shared" si="85"/>
        <v>0</v>
      </c>
      <c r="QU115" s="4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6"/>
      <c r="TK115" s="111">
        <f t="shared" si="86"/>
        <v>0</v>
      </c>
      <c r="TL115" s="4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6"/>
    </row>
    <row r="116" spans="1:599" ht="14.25" customHeight="1" x14ac:dyDescent="0.3">
      <c r="A116" s="85"/>
      <c r="B116" s="87"/>
      <c r="C116" s="87"/>
      <c r="D116" s="86"/>
      <c r="E116" s="81"/>
      <c r="F116" s="81"/>
      <c r="G116" s="81"/>
      <c r="H116" s="81"/>
      <c r="I116" s="81"/>
      <c r="J116" s="81"/>
      <c r="K116" s="81"/>
      <c r="L116" s="81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89" t="str">
        <f t="shared" si="64"/>
        <v/>
      </c>
      <c r="Z116" s="89" t="str">
        <f t="shared" si="65"/>
        <v/>
      </c>
      <c r="AA116" s="89">
        <f t="shared" si="66"/>
        <v>0</v>
      </c>
      <c r="AB116" s="89">
        <f t="shared" si="67"/>
        <v>0</v>
      </c>
      <c r="AC116" s="90">
        <f t="shared" si="68"/>
        <v>0</v>
      </c>
      <c r="AD116" s="91">
        <f t="shared" si="69"/>
        <v>0</v>
      </c>
      <c r="AE116" s="93">
        <f t="shared" si="70"/>
        <v>0</v>
      </c>
      <c r="AF116" s="93">
        <f t="shared" si="71"/>
        <v>0</v>
      </c>
      <c r="AG116" s="93">
        <f t="shared" si="72"/>
        <v>0</v>
      </c>
      <c r="AH116" s="93">
        <f t="shared" si="73"/>
        <v>0</v>
      </c>
      <c r="AI116" s="93">
        <f t="shared" si="74"/>
        <v>0</v>
      </c>
      <c r="AJ116" s="93">
        <f t="shared" si="75"/>
        <v>0</v>
      </c>
      <c r="AK116" s="93">
        <f t="shared" si="76"/>
        <v>0</v>
      </c>
      <c r="AL116" s="93">
        <f t="shared" si="77"/>
        <v>0</v>
      </c>
      <c r="AM116" s="92">
        <f t="shared" si="78"/>
        <v>0</v>
      </c>
      <c r="AN116" s="70" t="str">
        <f t="shared" si="88"/>
        <v xml:space="preserve"> </v>
      </c>
      <c r="AO116" s="70" t="str">
        <f t="shared" si="89"/>
        <v xml:space="preserve"> </v>
      </c>
      <c r="AP116" s="70" t="str">
        <f t="shared" si="90"/>
        <v xml:space="preserve"> </v>
      </c>
      <c r="AQ116" s="70" t="str">
        <f t="shared" si="91"/>
        <v xml:space="preserve"> </v>
      </c>
      <c r="AR116" s="70" t="str">
        <f t="shared" si="92"/>
        <v xml:space="preserve"> </v>
      </c>
      <c r="AS116" s="70" t="str">
        <f t="shared" si="93"/>
        <v xml:space="preserve"> </v>
      </c>
      <c r="AT116" s="70" t="str">
        <f t="shared" si="94"/>
        <v xml:space="preserve"> </v>
      </c>
      <c r="AU116" s="105" t="str">
        <f t="shared" si="95"/>
        <v xml:space="preserve"> </v>
      </c>
      <c r="AV116" s="111">
        <f t="shared" si="79"/>
        <v>0</v>
      </c>
      <c r="AW116" s="4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6"/>
      <c r="DM116" s="111">
        <f t="shared" si="80"/>
        <v>0</v>
      </c>
      <c r="DN116" s="71"/>
      <c r="DO116" s="72"/>
      <c r="DP116" s="72"/>
      <c r="DQ116" s="72"/>
      <c r="DR116" s="72"/>
      <c r="DS116" s="72"/>
      <c r="DT116" s="72"/>
      <c r="DU116" s="72"/>
      <c r="DV116" s="72"/>
      <c r="DW116" s="72"/>
      <c r="DX116" s="72"/>
      <c r="DY116" s="72"/>
      <c r="DZ116" s="72"/>
      <c r="EA116" s="72"/>
      <c r="EB116" s="72"/>
      <c r="EC116" s="72"/>
      <c r="ED116" s="72"/>
      <c r="EE116" s="72"/>
      <c r="EF116" s="72"/>
      <c r="EG116" s="72"/>
      <c r="EH116" s="72"/>
      <c r="EI116" s="72"/>
      <c r="EJ116" s="72"/>
      <c r="EK116" s="72"/>
      <c r="EL116" s="72"/>
      <c r="EM116" s="72"/>
      <c r="EN116" s="72"/>
      <c r="EO116" s="72"/>
      <c r="EP116" s="72"/>
      <c r="EQ116" s="72"/>
      <c r="ER116" s="72"/>
      <c r="ES116" s="72"/>
      <c r="ET116" s="72"/>
      <c r="EU116" s="72"/>
      <c r="EV116" s="72"/>
      <c r="EW116" s="72"/>
      <c r="EX116" s="72"/>
      <c r="EY116" s="72"/>
      <c r="EZ116" s="72"/>
      <c r="FA116" s="72"/>
      <c r="FB116" s="72"/>
      <c r="FC116" s="72"/>
      <c r="FD116" s="72"/>
      <c r="FE116" s="72"/>
      <c r="FF116" s="72"/>
      <c r="FG116" s="72"/>
      <c r="FH116" s="72"/>
      <c r="FI116" s="72"/>
      <c r="FJ116" s="72"/>
      <c r="FK116" s="72"/>
      <c r="FL116" s="72"/>
      <c r="FM116" s="72"/>
      <c r="FN116" s="72"/>
      <c r="FO116" s="72"/>
      <c r="FP116" s="72"/>
      <c r="FQ116" s="72"/>
      <c r="FR116" s="72"/>
      <c r="FS116" s="72"/>
      <c r="FT116" s="72"/>
      <c r="FU116" s="72"/>
      <c r="FV116" s="72"/>
      <c r="FW116" s="72"/>
      <c r="FX116" s="72"/>
      <c r="FY116" s="72"/>
      <c r="FZ116" s="72"/>
      <c r="GA116" s="72"/>
      <c r="GB116" s="72"/>
      <c r="GC116" s="73"/>
      <c r="GD116" s="111">
        <f t="shared" si="81"/>
        <v>0</v>
      </c>
      <c r="GE116" s="71"/>
      <c r="GF116" s="72"/>
      <c r="GG116" s="72"/>
      <c r="GH116" s="72"/>
      <c r="GI116" s="72"/>
      <c r="GJ116" s="72"/>
      <c r="GK116" s="72"/>
      <c r="GL116" s="72"/>
      <c r="GM116" s="72"/>
      <c r="GN116" s="72"/>
      <c r="GO116" s="72"/>
      <c r="GP116" s="72"/>
      <c r="GQ116" s="72"/>
      <c r="GR116" s="72"/>
      <c r="GS116" s="72"/>
      <c r="GT116" s="72"/>
      <c r="GU116" s="72"/>
      <c r="GV116" s="72"/>
      <c r="GW116" s="72"/>
      <c r="GX116" s="72"/>
      <c r="GY116" s="72"/>
      <c r="GZ116" s="72"/>
      <c r="HA116" s="72"/>
      <c r="HB116" s="72"/>
      <c r="HC116" s="72"/>
      <c r="HD116" s="72"/>
      <c r="HE116" s="72"/>
      <c r="HF116" s="72"/>
      <c r="HG116" s="72"/>
      <c r="HH116" s="72"/>
      <c r="HI116" s="72"/>
      <c r="HJ116" s="72"/>
      <c r="HK116" s="72"/>
      <c r="HL116" s="72"/>
      <c r="HM116" s="72"/>
      <c r="HN116" s="72"/>
      <c r="HO116" s="72"/>
      <c r="HP116" s="72"/>
      <c r="HQ116" s="72"/>
      <c r="HR116" s="72"/>
      <c r="HS116" s="72"/>
      <c r="HT116" s="72"/>
      <c r="HU116" s="72"/>
      <c r="HV116" s="72"/>
      <c r="HW116" s="72"/>
      <c r="HX116" s="72"/>
      <c r="HY116" s="72"/>
      <c r="HZ116" s="72"/>
      <c r="IA116" s="72"/>
      <c r="IB116" s="72"/>
      <c r="IC116" s="72"/>
      <c r="ID116" s="72"/>
      <c r="IE116" s="72"/>
      <c r="IF116" s="72"/>
      <c r="IG116" s="72"/>
      <c r="IH116" s="72"/>
      <c r="II116" s="72"/>
      <c r="IJ116" s="72"/>
      <c r="IK116" s="72"/>
      <c r="IL116" s="72"/>
      <c r="IM116" s="72"/>
      <c r="IN116" s="72"/>
      <c r="IO116" s="72"/>
      <c r="IP116" s="72"/>
      <c r="IQ116" s="72"/>
      <c r="IR116" s="72"/>
      <c r="IS116" s="72"/>
      <c r="IT116" s="73"/>
      <c r="IU116" s="111">
        <f t="shared" si="82"/>
        <v>0</v>
      </c>
      <c r="IV116" s="71"/>
      <c r="IW116" s="72"/>
      <c r="IX116" s="72"/>
      <c r="IY116" s="72"/>
      <c r="IZ116" s="72"/>
      <c r="JA116" s="72"/>
      <c r="JB116" s="72"/>
      <c r="JC116" s="72"/>
      <c r="JD116" s="72"/>
      <c r="JE116" s="72"/>
      <c r="JF116" s="72"/>
      <c r="JG116" s="72"/>
      <c r="JH116" s="72"/>
      <c r="JI116" s="72"/>
      <c r="JJ116" s="72"/>
      <c r="JK116" s="72"/>
      <c r="JL116" s="72"/>
      <c r="JM116" s="72"/>
      <c r="JN116" s="72"/>
      <c r="JO116" s="72"/>
      <c r="JP116" s="72"/>
      <c r="JQ116" s="72"/>
      <c r="JR116" s="72"/>
      <c r="JS116" s="72"/>
      <c r="JT116" s="72"/>
      <c r="JU116" s="72"/>
      <c r="JV116" s="72"/>
      <c r="JW116" s="72"/>
      <c r="JX116" s="72"/>
      <c r="JY116" s="72"/>
      <c r="JZ116" s="72"/>
      <c r="KA116" s="72"/>
      <c r="KB116" s="72"/>
      <c r="KC116" s="72"/>
      <c r="KD116" s="72"/>
      <c r="KE116" s="72"/>
      <c r="KF116" s="72"/>
      <c r="KG116" s="72"/>
      <c r="KH116" s="72"/>
      <c r="KI116" s="72"/>
      <c r="KJ116" s="72"/>
      <c r="KK116" s="72"/>
      <c r="KL116" s="72"/>
      <c r="KM116" s="72"/>
      <c r="KN116" s="72"/>
      <c r="KO116" s="72"/>
      <c r="KP116" s="72"/>
      <c r="KQ116" s="72"/>
      <c r="KR116" s="72"/>
      <c r="KS116" s="72"/>
      <c r="KT116" s="72"/>
      <c r="KU116" s="72"/>
      <c r="KV116" s="72"/>
      <c r="KW116" s="72"/>
      <c r="KX116" s="72"/>
      <c r="KY116" s="72"/>
      <c r="KZ116" s="72"/>
      <c r="LA116" s="72"/>
      <c r="LB116" s="72"/>
      <c r="LC116" s="72"/>
      <c r="LD116" s="72"/>
      <c r="LE116" s="72"/>
      <c r="LF116" s="72"/>
      <c r="LG116" s="72"/>
      <c r="LH116" s="72"/>
      <c r="LI116" s="72"/>
      <c r="LJ116" s="72"/>
      <c r="LK116" s="73"/>
      <c r="LL116" s="111">
        <f t="shared" si="83"/>
        <v>0</v>
      </c>
      <c r="LM116" s="71"/>
      <c r="LN116" s="72"/>
      <c r="LO116" s="72"/>
      <c r="LP116" s="72"/>
      <c r="LQ116" s="72"/>
      <c r="LR116" s="72"/>
      <c r="LS116" s="72"/>
      <c r="LT116" s="72"/>
      <c r="LU116" s="72"/>
      <c r="LV116" s="72"/>
      <c r="LW116" s="72"/>
      <c r="LX116" s="72"/>
      <c r="LY116" s="72"/>
      <c r="LZ116" s="72"/>
      <c r="MA116" s="72"/>
      <c r="MB116" s="72"/>
      <c r="MC116" s="72"/>
      <c r="MD116" s="72"/>
      <c r="ME116" s="72"/>
      <c r="MF116" s="72"/>
      <c r="MG116" s="72"/>
      <c r="MH116" s="72"/>
      <c r="MI116" s="72"/>
      <c r="MJ116" s="72"/>
      <c r="MK116" s="72"/>
      <c r="ML116" s="72"/>
      <c r="MM116" s="72"/>
      <c r="MN116" s="72"/>
      <c r="MO116" s="72"/>
      <c r="MP116" s="72"/>
      <c r="MQ116" s="72"/>
      <c r="MR116" s="72"/>
      <c r="MS116" s="72"/>
      <c r="MT116" s="72"/>
      <c r="MU116" s="72"/>
      <c r="MV116" s="72"/>
      <c r="MW116" s="72"/>
      <c r="MX116" s="72"/>
      <c r="MY116" s="72"/>
      <c r="MZ116" s="72"/>
      <c r="NA116" s="72"/>
      <c r="NB116" s="72"/>
      <c r="NC116" s="72"/>
      <c r="ND116" s="72"/>
      <c r="NE116" s="72"/>
      <c r="NF116" s="72"/>
      <c r="NG116" s="72"/>
      <c r="NH116" s="72"/>
      <c r="NI116" s="72"/>
      <c r="NJ116" s="72"/>
      <c r="NK116" s="72"/>
      <c r="NL116" s="72"/>
      <c r="NM116" s="72"/>
      <c r="NN116" s="72"/>
      <c r="NO116" s="72"/>
      <c r="NP116" s="72"/>
      <c r="NQ116" s="72"/>
      <c r="NR116" s="72"/>
      <c r="NS116" s="72"/>
      <c r="NT116" s="72"/>
      <c r="NU116" s="72"/>
      <c r="NV116" s="72"/>
      <c r="NW116" s="72"/>
      <c r="NX116" s="72"/>
      <c r="NY116" s="72"/>
      <c r="NZ116" s="72"/>
      <c r="OA116" s="72"/>
      <c r="OB116" s="73"/>
      <c r="OC116" s="111">
        <f t="shared" si="84"/>
        <v>0</v>
      </c>
      <c r="OD116" s="71"/>
      <c r="OE116" s="72"/>
      <c r="OF116" s="72"/>
      <c r="OG116" s="72"/>
      <c r="OH116" s="72"/>
      <c r="OI116" s="72"/>
      <c r="OJ116" s="72"/>
      <c r="OK116" s="72"/>
      <c r="OL116" s="72"/>
      <c r="OM116" s="72"/>
      <c r="ON116" s="72"/>
      <c r="OO116" s="72"/>
      <c r="OP116" s="72"/>
      <c r="OQ116" s="72"/>
      <c r="OR116" s="72"/>
      <c r="OS116" s="72"/>
      <c r="OT116" s="72"/>
      <c r="OU116" s="72"/>
      <c r="OV116" s="72"/>
      <c r="OW116" s="72"/>
      <c r="OX116" s="72"/>
      <c r="OY116" s="72"/>
      <c r="OZ116" s="72"/>
      <c r="PA116" s="72"/>
      <c r="PB116" s="72"/>
      <c r="PC116" s="72"/>
      <c r="PD116" s="72"/>
      <c r="PE116" s="72"/>
      <c r="PF116" s="72"/>
      <c r="PG116" s="72"/>
      <c r="PH116" s="72"/>
      <c r="PI116" s="72"/>
      <c r="PJ116" s="72"/>
      <c r="PK116" s="72"/>
      <c r="PL116" s="72"/>
      <c r="PM116" s="72"/>
      <c r="PN116" s="72"/>
      <c r="PO116" s="72"/>
      <c r="PP116" s="72"/>
      <c r="PQ116" s="72"/>
      <c r="PR116" s="72"/>
      <c r="PS116" s="72"/>
      <c r="PT116" s="72"/>
      <c r="PU116" s="72"/>
      <c r="PV116" s="72"/>
      <c r="PW116" s="72"/>
      <c r="PX116" s="72"/>
      <c r="PY116" s="72"/>
      <c r="PZ116" s="72"/>
      <c r="QA116" s="72"/>
      <c r="QB116" s="72"/>
      <c r="QC116" s="72"/>
      <c r="QD116" s="72"/>
      <c r="QE116" s="72"/>
      <c r="QF116" s="72"/>
      <c r="QG116" s="72"/>
      <c r="QH116" s="72"/>
      <c r="QI116" s="72"/>
      <c r="QJ116" s="72"/>
      <c r="QK116" s="72"/>
      <c r="QL116" s="72"/>
      <c r="QM116" s="72"/>
      <c r="QN116" s="72"/>
      <c r="QO116" s="72"/>
      <c r="QP116" s="72"/>
      <c r="QQ116" s="72"/>
      <c r="QR116" s="72"/>
      <c r="QS116" s="73"/>
      <c r="QT116" s="111">
        <f t="shared" si="85"/>
        <v>0</v>
      </c>
      <c r="QU116" s="71"/>
      <c r="QV116" s="72"/>
      <c r="QW116" s="72"/>
      <c r="QX116" s="72"/>
      <c r="QY116" s="72"/>
      <c r="QZ116" s="72"/>
      <c r="RA116" s="72"/>
      <c r="RB116" s="72"/>
      <c r="RC116" s="72"/>
      <c r="RD116" s="72"/>
      <c r="RE116" s="72"/>
      <c r="RF116" s="72"/>
      <c r="RG116" s="72"/>
      <c r="RH116" s="72"/>
      <c r="RI116" s="72"/>
      <c r="RJ116" s="72"/>
      <c r="RK116" s="72"/>
      <c r="RL116" s="72"/>
      <c r="RM116" s="72"/>
      <c r="RN116" s="72"/>
      <c r="RO116" s="72"/>
      <c r="RP116" s="72"/>
      <c r="RQ116" s="72"/>
      <c r="RR116" s="72"/>
      <c r="RS116" s="72"/>
      <c r="RT116" s="72"/>
      <c r="RU116" s="72"/>
      <c r="RV116" s="72"/>
      <c r="RW116" s="72"/>
      <c r="RX116" s="72"/>
      <c r="RY116" s="72"/>
      <c r="RZ116" s="72"/>
      <c r="SA116" s="72"/>
      <c r="SB116" s="72"/>
      <c r="SC116" s="72"/>
      <c r="SD116" s="72"/>
      <c r="SE116" s="72"/>
      <c r="SF116" s="72"/>
      <c r="SG116" s="72"/>
      <c r="SH116" s="72"/>
      <c r="SI116" s="72"/>
      <c r="SJ116" s="72"/>
      <c r="SK116" s="72"/>
      <c r="SL116" s="72"/>
      <c r="SM116" s="72"/>
      <c r="SN116" s="72"/>
      <c r="SO116" s="72"/>
      <c r="SP116" s="72"/>
      <c r="SQ116" s="72"/>
      <c r="SR116" s="72"/>
      <c r="SS116" s="72"/>
      <c r="ST116" s="72"/>
      <c r="SU116" s="72"/>
      <c r="SV116" s="72"/>
      <c r="SW116" s="72"/>
      <c r="SX116" s="72"/>
      <c r="SY116" s="72"/>
      <c r="SZ116" s="72"/>
      <c r="TA116" s="72"/>
      <c r="TB116" s="72"/>
      <c r="TC116" s="72"/>
      <c r="TD116" s="72"/>
      <c r="TE116" s="72"/>
      <c r="TF116" s="72"/>
      <c r="TG116" s="72"/>
      <c r="TH116" s="72"/>
      <c r="TI116" s="72"/>
      <c r="TJ116" s="73"/>
      <c r="TK116" s="111">
        <f t="shared" si="86"/>
        <v>0</v>
      </c>
      <c r="TL116" s="71"/>
      <c r="TM116" s="72"/>
      <c r="TN116" s="72"/>
      <c r="TO116" s="72"/>
      <c r="TP116" s="72"/>
      <c r="TQ116" s="72"/>
      <c r="TR116" s="72"/>
      <c r="TS116" s="72"/>
      <c r="TT116" s="72"/>
      <c r="TU116" s="72"/>
      <c r="TV116" s="72"/>
      <c r="TW116" s="72"/>
      <c r="TX116" s="72"/>
      <c r="TY116" s="72"/>
      <c r="TZ116" s="72"/>
      <c r="UA116" s="72"/>
      <c r="UB116" s="72"/>
      <c r="UC116" s="72"/>
      <c r="UD116" s="72"/>
      <c r="UE116" s="72"/>
      <c r="UF116" s="72"/>
      <c r="UG116" s="72"/>
      <c r="UH116" s="72"/>
      <c r="UI116" s="72"/>
      <c r="UJ116" s="72"/>
      <c r="UK116" s="72"/>
      <c r="UL116" s="72"/>
      <c r="UM116" s="72"/>
      <c r="UN116" s="72"/>
      <c r="UO116" s="72"/>
      <c r="UP116" s="72"/>
      <c r="UQ116" s="72"/>
      <c r="UR116" s="72"/>
      <c r="US116" s="72"/>
      <c r="UT116" s="72"/>
      <c r="UU116" s="72"/>
      <c r="UV116" s="72"/>
      <c r="UW116" s="72"/>
      <c r="UX116" s="72"/>
      <c r="UY116" s="72"/>
      <c r="UZ116" s="72"/>
      <c r="VA116" s="72"/>
      <c r="VB116" s="72"/>
      <c r="VC116" s="72"/>
      <c r="VD116" s="72"/>
      <c r="VE116" s="72"/>
      <c r="VF116" s="72"/>
      <c r="VG116" s="72"/>
      <c r="VH116" s="72"/>
      <c r="VI116" s="72"/>
      <c r="VJ116" s="72"/>
      <c r="VK116" s="72"/>
      <c r="VL116" s="72"/>
      <c r="VM116" s="72"/>
      <c r="VN116" s="72"/>
      <c r="VO116" s="72"/>
      <c r="VP116" s="72"/>
      <c r="VQ116" s="72"/>
      <c r="VR116" s="72"/>
      <c r="VS116" s="72"/>
      <c r="VT116" s="72"/>
      <c r="VU116" s="72"/>
      <c r="VV116" s="72"/>
      <c r="VW116" s="72"/>
      <c r="VX116" s="72"/>
      <c r="VY116" s="72"/>
      <c r="VZ116" s="72"/>
      <c r="WA116" s="73"/>
    </row>
    <row r="117" spans="1:599" s="76" customFormat="1" ht="14.25" customHeight="1" x14ac:dyDescent="0.3">
      <c r="A117" s="41"/>
      <c r="B117" s="39"/>
      <c r="C117" s="40"/>
      <c r="D117" s="40"/>
      <c r="E117" s="2"/>
      <c r="F117" s="2"/>
      <c r="G117" s="2"/>
      <c r="H117" s="2"/>
      <c r="I117" s="2"/>
      <c r="J117" s="2"/>
      <c r="K117" s="2"/>
      <c r="L117" s="2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89" t="str">
        <f t="shared" si="64"/>
        <v/>
      </c>
      <c r="Z117" s="89" t="str">
        <f t="shared" si="65"/>
        <v/>
      </c>
      <c r="AA117" s="89">
        <f t="shared" si="66"/>
        <v>0</v>
      </c>
      <c r="AB117" s="89">
        <f t="shared" si="67"/>
        <v>0</v>
      </c>
      <c r="AC117" s="90">
        <f t="shared" si="68"/>
        <v>0</v>
      </c>
      <c r="AD117" s="91">
        <f t="shared" si="69"/>
        <v>0</v>
      </c>
      <c r="AE117" s="93">
        <f t="shared" si="70"/>
        <v>0</v>
      </c>
      <c r="AF117" s="93">
        <f t="shared" si="71"/>
        <v>0</v>
      </c>
      <c r="AG117" s="93">
        <f t="shared" si="72"/>
        <v>0</v>
      </c>
      <c r="AH117" s="93">
        <f t="shared" si="73"/>
        <v>0</v>
      </c>
      <c r="AI117" s="93">
        <f t="shared" si="74"/>
        <v>0</v>
      </c>
      <c r="AJ117" s="93">
        <f t="shared" si="75"/>
        <v>0</v>
      </c>
      <c r="AK117" s="93">
        <f t="shared" si="76"/>
        <v>0</v>
      </c>
      <c r="AL117" s="93">
        <f t="shared" si="77"/>
        <v>0</v>
      </c>
      <c r="AM117" s="92">
        <f t="shared" si="78"/>
        <v>0</v>
      </c>
      <c r="AN117" s="1" t="str">
        <f t="shared" si="88"/>
        <v xml:space="preserve"> </v>
      </c>
      <c r="AO117" s="1" t="str">
        <f t="shared" si="89"/>
        <v xml:space="preserve"> </v>
      </c>
      <c r="AP117" s="1" t="str">
        <f t="shared" si="90"/>
        <v xml:space="preserve"> </v>
      </c>
      <c r="AQ117" s="1" t="str">
        <f t="shared" si="91"/>
        <v xml:space="preserve"> </v>
      </c>
      <c r="AR117" s="1" t="str">
        <f t="shared" si="92"/>
        <v xml:space="preserve"> </v>
      </c>
      <c r="AS117" s="1" t="str">
        <f t="shared" si="93"/>
        <v xml:space="preserve"> </v>
      </c>
      <c r="AT117" s="1" t="str">
        <f t="shared" si="94"/>
        <v xml:space="preserve"> </v>
      </c>
      <c r="AU117" s="103" t="str">
        <f t="shared" si="95"/>
        <v xml:space="preserve"> </v>
      </c>
      <c r="AV117" s="111">
        <f t="shared" si="79"/>
        <v>0</v>
      </c>
      <c r="AW117" s="4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6"/>
      <c r="DM117" s="111">
        <f t="shared" si="80"/>
        <v>0</v>
      </c>
      <c r="DN117" s="75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6"/>
      <c r="GD117" s="111">
        <f t="shared" si="81"/>
        <v>0</v>
      </c>
      <c r="GE117" s="75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6"/>
      <c r="IU117" s="111">
        <f t="shared" si="82"/>
        <v>0</v>
      </c>
      <c r="IV117" s="75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6"/>
      <c r="LL117" s="111">
        <f t="shared" si="83"/>
        <v>0</v>
      </c>
      <c r="LM117" s="75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6"/>
      <c r="OC117" s="111">
        <f t="shared" si="84"/>
        <v>0</v>
      </c>
      <c r="OD117" s="75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6"/>
      <c r="QT117" s="111">
        <f t="shared" si="85"/>
        <v>0</v>
      </c>
      <c r="QU117" s="75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6"/>
      <c r="TK117" s="111">
        <f t="shared" si="86"/>
        <v>0</v>
      </c>
      <c r="TL117" s="75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6"/>
    </row>
    <row r="118" spans="1:599" ht="14.25" customHeight="1" x14ac:dyDescent="0.3">
      <c r="A118" s="85"/>
      <c r="B118" s="87"/>
      <c r="C118" s="87"/>
      <c r="D118" s="86"/>
      <c r="E118" s="81"/>
      <c r="F118" s="81"/>
      <c r="G118" s="81"/>
      <c r="H118" s="81"/>
      <c r="I118" s="81"/>
      <c r="J118" s="81"/>
      <c r="K118" s="81"/>
      <c r="L118" s="81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89" t="str">
        <f t="shared" si="64"/>
        <v/>
      </c>
      <c r="Z118" s="89" t="str">
        <f t="shared" si="65"/>
        <v/>
      </c>
      <c r="AA118" s="89">
        <f t="shared" si="66"/>
        <v>0</v>
      </c>
      <c r="AB118" s="89">
        <f t="shared" si="67"/>
        <v>0</v>
      </c>
      <c r="AC118" s="90">
        <f t="shared" si="68"/>
        <v>0</v>
      </c>
      <c r="AD118" s="91">
        <f t="shared" si="69"/>
        <v>0</v>
      </c>
      <c r="AE118" s="93">
        <f t="shared" si="70"/>
        <v>0</v>
      </c>
      <c r="AF118" s="93">
        <f t="shared" si="71"/>
        <v>0</v>
      </c>
      <c r="AG118" s="93">
        <f t="shared" si="72"/>
        <v>0</v>
      </c>
      <c r="AH118" s="93">
        <f t="shared" si="73"/>
        <v>0</v>
      </c>
      <c r="AI118" s="93">
        <f t="shared" si="74"/>
        <v>0</v>
      </c>
      <c r="AJ118" s="93">
        <f t="shared" si="75"/>
        <v>0</v>
      </c>
      <c r="AK118" s="93">
        <f t="shared" si="76"/>
        <v>0</v>
      </c>
      <c r="AL118" s="93">
        <f t="shared" si="77"/>
        <v>0</v>
      </c>
      <c r="AM118" s="92">
        <f t="shared" si="78"/>
        <v>0</v>
      </c>
      <c r="AN118" s="1" t="str">
        <f t="shared" si="88"/>
        <v xml:space="preserve"> </v>
      </c>
      <c r="AO118" s="1" t="str">
        <f t="shared" si="89"/>
        <v xml:space="preserve"> </v>
      </c>
      <c r="AP118" s="1" t="str">
        <f t="shared" si="90"/>
        <v xml:space="preserve"> </v>
      </c>
      <c r="AQ118" s="1" t="str">
        <f t="shared" si="91"/>
        <v xml:space="preserve"> </v>
      </c>
      <c r="AR118" s="1" t="str">
        <f t="shared" si="92"/>
        <v xml:space="preserve"> </v>
      </c>
      <c r="AS118" s="1" t="str">
        <f t="shared" si="93"/>
        <v xml:space="preserve"> </v>
      </c>
      <c r="AT118" s="1" t="str">
        <f t="shared" si="94"/>
        <v xml:space="preserve"> </v>
      </c>
      <c r="AU118" s="103" t="str">
        <f t="shared" si="95"/>
        <v xml:space="preserve"> </v>
      </c>
      <c r="AV118" s="111">
        <f t="shared" si="79"/>
        <v>0</v>
      </c>
      <c r="AW118" s="4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6"/>
      <c r="DM118" s="111">
        <f t="shared" si="80"/>
        <v>0</v>
      </c>
      <c r="DN118" s="4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6"/>
      <c r="GD118" s="111">
        <f t="shared" si="81"/>
        <v>0</v>
      </c>
      <c r="GE118" s="4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6"/>
      <c r="IU118" s="111">
        <f t="shared" si="82"/>
        <v>0</v>
      </c>
      <c r="IV118" s="4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6"/>
      <c r="LL118" s="111">
        <f t="shared" si="83"/>
        <v>0</v>
      </c>
      <c r="LM118" s="4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6"/>
      <c r="OC118" s="111">
        <f t="shared" si="84"/>
        <v>0</v>
      </c>
      <c r="OD118" s="4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6"/>
      <c r="QT118" s="111">
        <f t="shared" si="85"/>
        <v>0</v>
      </c>
      <c r="QU118" s="4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6"/>
      <c r="TK118" s="111">
        <f t="shared" si="86"/>
        <v>0</v>
      </c>
      <c r="TL118" s="4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6"/>
    </row>
    <row r="119" spans="1:599" ht="14.25" customHeight="1" x14ac:dyDescent="0.3">
      <c r="A119" s="85"/>
      <c r="B119" s="87"/>
      <c r="C119" s="87"/>
      <c r="D119" s="86"/>
      <c r="E119" s="81"/>
      <c r="F119" s="81"/>
      <c r="G119" s="81"/>
      <c r="H119" s="81"/>
      <c r="I119" s="81"/>
      <c r="J119" s="81"/>
      <c r="K119" s="81"/>
      <c r="L119" s="81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89" t="str">
        <f t="shared" si="64"/>
        <v/>
      </c>
      <c r="Z119" s="89" t="str">
        <f t="shared" si="65"/>
        <v/>
      </c>
      <c r="AA119" s="89">
        <f t="shared" si="66"/>
        <v>0</v>
      </c>
      <c r="AB119" s="89">
        <f t="shared" si="67"/>
        <v>0</v>
      </c>
      <c r="AC119" s="90">
        <f t="shared" si="68"/>
        <v>0</v>
      </c>
      <c r="AD119" s="91">
        <f t="shared" si="69"/>
        <v>0</v>
      </c>
      <c r="AE119" s="93">
        <f t="shared" si="70"/>
        <v>0</v>
      </c>
      <c r="AF119" s="93">
        <f t="shared" si="71"/>
        <v>0</v>
      </c>
      <c r="AG119" s="93">
        <f t="shared" si="72"/>
        <v>0</v>
      </c>
      <c r="AH119" s="93">
        <f t="shared" si="73"/>
        <v>0</v>
      </c>
      <c r="AI119" s="93">
        <f t="shared" si="74"/>
        <v>0</v>
      </c>
      <c r="AJ119" s="93">
        <f t="shared" si="75"/>
        <v>0</v>
      </c>
      <c r="AK119" s="93">
        <f t="shared" si="76"/>
        <v>0</v>
      </c>
      <c r="AL119" s="93">
        <f t="shared" si="77"/>
        <v>0</v>
      </c>
      <c r="AM119" s="92">
        <f t="shared" si="78"/>
        <v>0</v>
      </c>
      <c r="AN119" s="1" t="str">
        <f t="shared" si="88"/>
        <v xml:space="preserve"> </v>
      </c>
      <c r="AO119" s="1" t="str">
        <f t="shared" si="89"/>
        <v xml:space="preserve"> </v>
      </c>
      <c r="AP119" s="1" t="str">
        <f t="shared" si="90"/>
        <v xml:space="preserve"> </v>
      </c>
      <c r="AQ119" s="1" t="str">
        <f t="shared" si="91"/>
        <v xml:space="preserve"> </v>
      </c>
      <c r="AR119" s="1" t="str">
        <f t="shared" si="92"/>
        <v xml:space="preserve"> </v>
      </c>
      <c r="AS119" s="1" t="str">
        <f t="shared" si="93"/>
        <v xml:space="preserve"> </v>
      </c>
      <c r="AT119" s="1" t="str">
        <f t="shared" si="94"/>
        <v xml:space="preserve"> </v>
      </c>
      <c r="AU119" s="103" t="str">
        <f t="shared" si="95"/>
        <v xml:space="preserve"> </v>
      </c>
      <c r="AV119" s="111">
        <f t="shared" si="79"/>
        <v>0</v>
      </c>
      <c r="AW119" s="4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6"/>
      <c r="DM119" s="111">
        <f t="shared" si="80"/>
        <v>0</v>
      </c>
      <c r="DN119" s="4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6"/>
      <c r="GD119" s="111">
        <f t="shared" si="81"/>
        <v>0</v>
      </c>
      <c r="GE119" s="4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6"/>
      <c r="IU119" s="111">
        <f t="shared" si="82"/>
        <v>0</v>
      </c>
      <c r="IV119" s="4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6"/>
      <c r="LL119" s="111">
        <f t="shared" si="83"/>
        <v>0</v>
      </c>
      <c r="LM119" s="4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6"/>
      <c r="OC119" s="111">
        <f t="shared" si="84"/>
        <v>0</v>
      </c>
      <c r="OD119" s="4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6"/>
      <c r="QT119" s="111">
        <f t="shared" si="85"/>
        <v>0</v>
      </c>
      <c r="QU119" s="4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6"/>
      <c r="TK119" s="111">
        <f t="shared" si="86"/>
        <v>0</v>
      </c>
      <c r="TL119" s="4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6"/>
    </row>
    <row r="120" spans="1:599" ht="14.25" customHeight="1" x14ac:dyDescent="0.3">
      <c r="A120" s="41"/>
      <c r="B120" s="39"/>
      <c r="C120" s="40"/>
      <c r="D120" s="40"/>
      <c r="E120" s="2"/>
      <c r="F120" s="2"/>
      <c r="G120" s="2"/>
      <c r="H120" s="2"/>
      <c r="I120" s="2"/>
      <c r="J120" s="2"/>
      <c r="K120" s="2"/>
      <c r="L120" s="2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89" t="str">
        <f t="shared" si="64"/>
        <v/>
      </c>
      <c r="Z120" s="89" t="str">
        <f t="shared" si="65"/>
        <v/>
      </c>
      <c r="AA120" s="89">
        <f t="shared" si="66"/>
        <v>0</v>
      </c>
      <c r="AB120" s="89">
        <f t="shared" si="67"/>
        <v>0</v>
      </c>
      <c r="AC120" s="90">
        <f t="shared" si="68"/>
        <v>0</v>
      </c>
      <c r="AD120" s="91">
        <f t="shared" si="69"/>
        <v>0</v>
      </c>
      <c r="AE120" s="93">
        <f t="shared" si="70"/>
        <v>0</v>
      </c>
      <c r="AF120" s="93">
        <f t="shared" si="71"/>
        <v>0</v>
      </c>
      <c r="AG120" s="93">
        <f t="shared" si="72"/>
        <v>0</v>
      </c>
      <c r="AH120" s="93">
        <f t="shared" si="73"/>
        <v>0</v>
      </c>
      <c r="AI120" s="93">
        <f t="shared" si="74"/>
        <v>0</v>
      </c>
      <c r="AJ120" s="93">
        <f t="shared" si="75"/>
        <v>0</v>
      </c>
      <c r="AK120" s="93">
        <f t="shared" si="76"/>
        <v>0</v>
      </c>
      <c r="AL120" s="93">
        <f t="shared" si="77"/>
        <v>0</v>
      </c>
      <c r="AM120" s="92">
        <f t="shared" si="78"/>
        <v>0</v>
      </c>
      <c r="AN120" s="1" t="str">
        <f t="shared" si="88"/>
        <v xml:space="preserve"> </v>
      </c>
      <c r="AO120" s="1" t="str">
        <f t="shared" si="89"/>
        <v xml:space="preserve"> </v>
      </c>
      <c r="AP120" s="1" t="str">
        <f t="shared" si="90"/>
        <v xml:space="preserve"> </v>
      </c>
      <c r="AQ120" s="1" t="str">
        <f t="shared" si="91"/>
        <v xml:space="preserve"> </v>
      </c>
      <c r="AR120" s="1" t="str">
        <f t="shared" si="92"/>
        <v xml:space="preserve"> </v>
      </c>
      <c r="AS120" s="1" t="str">
        <f t="shared" si="93"/>
        <v xml:space="preserve"> </v>
      </c>
      <c r="AT120" s="1" t="str">
        <f t="shared" si="94"/>
        <v xml:space="preserve"> </v>
      </c>
      <c r="AU120" s="103" t="str">
        <f t="shared" si="95"/>
        <v xml:space="preserve"> </v>
      </c>
      <c r="AV120" s="111">
        <f t="shared" si="79"/>
        <v>0</v>
      </c>
      <c r="AW120" s="4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6"/>
      <c r="DM120" s="111">
        <f t="shared" si="80"/>
        <v>0</v>
      </c>
      <c r="DN120" s="4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6"/>
      <c r="GD120" s="111">
        <f t="shared" si="81"/>
        <v>0</v>
      </c>
      <c r="GE120" s="4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6"/>
      <c r="IU120" s="111">
        <f t="shared" si="82"/>
        <v>0</v>
      </c>
      <c r="IV120" s="4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6"/>
      <c r="LL120" s="111">
        <f t="shared" si="83"/>
        <v>0</v>
      </c>
      <c r="LM120" s="4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6"/>
      <c r="OC120" s="111">
        <f t="shared" si="84"/>
        <v>0</v>
      </c>
      <c r="OD120" s="4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6"/>
      <c r="QT120" s="111">
        <f t="shared" si="85"/>
        <v>0</v>
      </c>
      <c r="QU120" s="4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6"/>
      <c r="TK120" s="111">
        <f t="shared" si="86"/>
        <v>0</v>
      </c>
      <c r="TL120" s="4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6"/>
    </row>
    <row r="121" spans="1:599" ht="14.25" customHeight="1" x14ac:dyDescent="0.3">
      <c r="A121" s="85"/>
      <c r="B121" s="87"/>
      <c r="C121" s="87"/>
      <c r="D121" s="86"/>
      <c r="E121" s="81"/>
      <c r="F121" s="81"/>
      <c r="G121" s="81"/>
      <c r="H121" s="81"/>
      <c r="I121" s="81"/>
      <c r="J121" s="81"/>
      <c r="K121" s="81"/>
      <c r="L121" s="8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89" t="str">
        <f t="shared" si="64"/>
        <v/>
      </c>
      <c r="Z121" s="89" t="str">
        <f t="shared" si="65"/>
        <v/>
      </c>
      <c r="AA121" s="89">
        <f t="shared" si="66"/>
        <v>0</v>
      </c>
      <c r="AB121" s="89">
        <f t="shared" si="67"/>
        <v>0</v>
      </c>
      <c r="AC121" s="90">
        <f t="shared" si="68"/>
        <v>0</v>
      </c>
      <c r="AD121" s="91">
        <f t="shared" si="69"/>
        <v>0</v>
      </c>
      <c r="AE121" s="93">
        <f t="shared" si="70"/>
        <v>0</v>
      </c>
      <c r="AF121" s="93">
        <f t="shared" si="71"/>
        <v>0</v>
      </c>
      <c r="AG121" s="93">
        <f t="shared" si="72"/>
        <v>0</v>
      </c>
      <c r="AH121" s="93">
        <f t="shared" si="73"/>
        <v>0</v>
      </c>
      <c r="AI121" s="93">
        <f t="shared" si="74"/>
        <v>0</v>
      </c>
      <c r="AJ121" s="93">
        <f t="shared" si="75"/>
        <v>0</v>
      </c>
      <c r="AK121" s="93">
        <f t="shared" si="76"/>
        <v>0</v>
      </c>
      <c r="AL121" s="93">
        <f t="shared" si="77"/>
        <v>0</v>
      </c>
      <c r="AM121" s="92">
        <f t="shared" si="78"/>
        <v>0</v>
      </c>
      <c r="AN121" s="1" t="str">
        <f t="shared" si="88"/>
        <v xml:space="preserve"> </v>
      </c>
      <c r="AO121" s="1" t="str">
        <f t="shared" si="89"/>
        <v xml:space="preserve"> </v>
      </c>
      <c r="AP121" s="1" t="str">
        <f t="shared" si="90"/>
        <v xml:space="preserve"> </v>
      </c>
      <c r="AQ121" s="1" t="str">
        <f t="shared" si="91"/>
        <v xml:space="preserve"> </v>
      </c>
      <c r="AR121" s="1" t="str">
        <f t="shared" si="92"/>
        <v xml:space="preserve"> </v>
      </c>
      <c r="AS121" s="1" t="str">
        <f t="shared" si="93"/>
        <v xml:space="preserve"> </v>
      </c>
      <c r="AT121" s="1" t="str">
        <f t="shared" si="94"/>
        <v xml:space="preserve"> </v>
      </c>
      <c r="AU121" s="103" t="str">
        <f t="shared" si="95"/>
        <v xml:space="preserve"> </v>
      </c>
      <c r="AV121" s="111">
        <f t="shared" si="79"/>
        <v>0</v>
      </c>
      <c r="AW121" s="4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6"/>
      <c r="DM121" s="111">
        <f t="shared" si="80"/>
        <v>0</v>
      </c>
      <c r="DN121" s="4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6"/>
      <c r="GD121" s="111">
        <f t="shared" si="81"/>
        <v>0</v>
      </c>
      <c r="GE121" s="4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6"/>
      <c r="IU121" s="111">
        <f t="shared" si="82"/>
        <v>0</v>
      </c>
      <c r="IV121" s="4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6"/>
      <c r="LL121" s="111">
        <f t="shared" si="83"/>
        <v>0</v>
      </c>
      <c r="LM121" s="4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6"/>
      <c r="OC121" s="111">
        <f t="shared" si="84"/>
        <v>0</v>
      </c>
      <c r="OD121" s="4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6"/>
      <c r="QT121" s="111">
        <f t="shared" si="85"/>
        <v>0</v>
      </c>
      <c r="QU121" s="4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6"/>
      <c r="TK121" s="111">
        <f t="shared" si="86"/>
        <v>0</v>
      </c>
      <c r="TL121" s="4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6"/>
    </row>
    <row r="122" spans="1:599" ht="14.25" customHeight="1" x14ac:dyDescent="0.3">
      <c r="A122" s="85"/>
      <c r="B122" s="87"/>
      <c r="C122" s="87"/>
      <c r="D122" s="86"/>
      <c r="E122" s="81"/>
      <c r="F122" s="81"/>
      <c r="G122" s="81"/>
      <c r="H122" s="81"/>
      <c r="I122" s="81"/>
      <c r="J122" s="81"/>
      <c r="K122" s="81"/>
      <c r="L122" s="81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89" t="str">
        <f t="shared" si="64"/>
        <v/>
      </c>
      <c r="Z122" s="89" t="str">
        <f t="shared" si="65"/>
        <v/>
      </c>
      <c r="AA122" s="89">
        <f t="shared" si="66"/>
        <v>0</v>
      </c>
      <c r="AB122" s="89">
        <f t="shared" si="67"/>
        <v>0</v>
      </c>
      <c r="AC122" s="90">
        <f t="shared" si="68"/>
        <v>0</v>
      </c>
      <c r="AD122" s="91">
        <f t="shared" si="69"/>
        <v>0</v>
      </c>
      <c r="AE122" s="93">
        <f t="shared" si="70"/>
        <v>0</v>
      </c>
      <c r="AF122" s="93">
        <f t="shared" si="71"/>
        <v>0</v>
      </c>
      <c r="AG122" s="93">
        <f t="shared" si="72"/>
        <v>0</v>
      </c>
      <c r="AH122" s="93">
        <f t="shared" si="73"/>
        <v>0</v>
      </c>
      <c r="AI122" s="93">
        <f t="shared" si="74"/>
        <v>0</v>
      </c>
      <c r="AJ122" s="93">
        <f t="shared" si="75"/>
        <v>0</v>
      </c>
      <c r="AK122" s="93">
        <f t="shared" si="76"/>
        <v>0</v>
      </c>
      <c r="AL122" s="93">
        <f t="shared" si="77"/>
        <v>0</v>
      </c>
      <c r="AM122" s="92">
        <f t="shared" si="78"/>
        <v>0</v>
      </c>
      <c r="AN122" s="1" t="str">
        <f t="shared" si="88"/>
        <v xml:space="preserve"> </v>
      </c>
      <c r="AO122" s="1" t="str">
        <f t="shared" si="89"/>
        <v xml:space="preserve"> </v>
      </c>
      <c r="AP122" s="1" t="str">
        <f t="shared" si="90"/>
        <v xml:space="preserve"> </v>
      </c>
      <c r="AQ122" s="1" t="str">
        <f t="shared" si="91"/>
        <v xml:space="preserve"> </v>
      </c>
      <c r="AR122" s="1" t="str">
        <f t="shared" si="92"/>
        <v xml:space="preserve"> </v>
      </c>
      <c r="AS122" s="1" t="str">
        <f t="shared" si="93"/>
        <v xml:space="preserve"> </v>
      </c>
      <c r="AT122" s="1" t="str">
        <f t="shared" si="94"/>
        <v xml:space="preserve"> </v>
      </c>
      <c r="AU122" s="103" t="str">
        <f t="shared" si="95"/>
        <v xml:space="preserve"> </v>
      </c>
      <c r="AV122" s="111">
        <f t="shared" si="79"/>
        <v>0</v>
      </c>
      <c r="AW122" s="4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6"/>
      <c r="DM122" s="111">
        <f t="shared" si="80"/>
        <v>0</v>
      </c>
      <c r="DN122" s="4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6"/>
      <c r="GD122" s="111">
        <f t="shared" si="81"/>
        <v>0</v>
      </c>
      <c r="GE122" s="4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6"/>
      <c r="IU122" s="111">
        <f t="shared" si="82"/>
        <v>0</v>
      </c>
      <c r="IV122" s="4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6"/>
      <c r="LL122" s="111">
        <f t="shared" si="83"/>
        <v>0</v>
      </c>
      <c r="LM122" s="4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6"/>
      <c r="OC122" s="111">
        <f t="shared" si="84"/>
        <v>0</v>
      </c>
      <c r="OD122" s="4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6"/>
      <c r="QT122" s="111">
        <f t="shared" si="85"/>
        <v>0</v>
      </c>
      <c r="QU122" s="4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6"/>
      <c r="TK122" s="111">
        <f t="shared" si="86"/>
        <v>0</v>
      </c>
      <c r="TL122" s="4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6"/>
    </row>
    <row r="123" spans="1:599" ht="14.25" customHeight="1" x14ac:dyDescent="0.3">
      <c r="A123" s="41"/>
      <c r="B123" s="39"/>
      <c r="C123" s="40"/>
      <c r="D123" s="40"/>
      <c r="E123" s="81"/>
      <c r="F123" s="81"/>
      <c r="G123" s="81"/>
      <c r="H123" s="81"/>
      <c r="I123" s="81"/>
      <c r="J123" s="81"/>
      <c r="K123" s="81"/>
      <c r="L123" s="81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89" t="str">
        <f t="shared" si="64"/>
        <v/>
      </c>
      <c r="Z123" s="89" t="str">
        <f t="shared" si="65"/>
        <v/>
      </c>
      <c r="AA123" s="89">
        <f t="shared" si="66"/>
        <v>0</v>
      </c>
      <c r="AB123" s="89">
        <f t="shared" si="67"/>
        <v>0</v>
      </c>
      <c r="AC123" s="90">
        <f t="shared" si="68"/>
        <v>0</v>
      </c>
      <c r="AD123" s="91">
        <f t="shared" si="69"/>
        <v>0</v>
      </c>
      <c r="AE123" s="93">
        <f t="shared" si="70"/>
        <v>0</v>
      </c>
      <c r="AF123" s="93">
        <f t="shared" si="71"/>
        <v>0</v>
      </c>
      <c r="AG123" s="93">
        <f t="shared" si="72"/>
        <v>0</v>
      </c>
      <c r="AH123" s="93">
        <f t="shared" si="73"/>
        <v>0</v>
      </c>
      <c r="AI123" s="93">
        <f t="shared" si="74"/>
        <v>0</v>
      </c>
      <c r="AJ123" s="93">
        <f t="shared" si="75"/>
        <v>0</v>
      </c>
      <c r="AK123" s="93">
        <f t="shared" si="76"/>
        <v>0</v>
      </c>
      <c r="AL123" s="93">
        <f t="shared" si="77"/>
        <v>0</v>
      </c>
      <c r="AM123" s="92">
        <f t="shared" si="78"/>
        <v>0</v>
      </c>
      <c r="AN123" s="1" t="str">
        <f t="shared" si="88"/>
        <v xml:space="preserve"> </v>
      </c>
      <c r="AO123" s="1" t="str">
        <f t="shared" si="89"/>
        <v xml:space="preserve"> </v>
      </c>
      <c r="AP123" s="1" t="str">
        <f t="shared" si="90"/>
        <v xml:space="preserve"> </v>
      </c>
      <c r="AQ123" s="1" t="str">
        <f t="shared" si="91"/>
        <v xml:space="preserve"> </v>
      </c>
      <c r="AR123" s="1" t="str">
        <f t="shared" si="92"/>
        <v xml:space="preserve"> </v>
      </c>
      <c r="AS123" s="1" t="str">
        <f t="shared" si="93"/>
        <v xml:space="preserve"> </v>
      </c>
      <c r="AT123" s="1" t="str">
        <f t="shared" si="94"/>
        <v xml:space="preserve"> </v>
      </c>
      <c r="AU123" s="103" t="str">
        <f t="shared" si="95"/>
        <v xml:space="preserve"> </v>
      </c>
      <c r="AV123" s="111">
        <f t="shared" si="79"/>
        <v>0</v>
      </c>
      <c r="AW123" s="4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6"/>
      <c r="DM123" s="111">
        <f t="shared" si="80"/>
        <v>0</v>
      </c>
      <c r="DN123" s="4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6"/>
      <c r="GD123" s="111">
        <f t="shared" si="81"/>
        <v>0</v>
      </c>
      <c r="GE123" s="4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6"/>
      <c r="IU123" s="111">
        <f t="shared" si="82"/>
        <v>0</v>
      </c>
      <c r="IV123" s="4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6"/>
      <c r="LL123" s="111">
        <f t="shared" si="83"/>
        <v>0</v>
      </c>
      <c r="LM123" s="4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6"/>
      <c r="OC123" s="111">
        <f t="shared" si="84"/>
        <v>0</v>
      </c>
      <c r="OD123" s="4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6"/>
      <c r="QT123" s="111">
        <f t="shared" si="85"/>
        <v>0</v>
      </c>
      <c r="QU123" s="4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6"/>
      <c r="TK123" s="111">
        <f t="shared" si="86"/>
        <v>0</v>
      </c>
      <c r="TL123" s="4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6"/>
    </row>
    <row r="124" spans="1:599" ht="14.25" customHeight="1" x14ac:dyDescent="0.3">
      <c r="A124" s="85"/>
      <c r="B124" s="87"/>
      <c r="C124" s="87"/>
      <c r="D124" s="86"/>
      <c r="E124" s="81"/>
      <c r="F124" s="81"/>
      <c r="G124" s="81"/>
      <c r="H124" s="81"/>
      <c r="I124" s="81"/>
      <c r="J124" s="81"/>
      <c r="K124" s="81"/>
      <c r="L124" s="81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89" t="str">
        <f t="shared" si="64"/>
        <v/>
      </c>
      <c r="Z124" s="89" t="str">
        <f t="shared" si="65"/>
        <v/>
      </c>
      <c r="AA124" s="89">
        <f t="shared" si="66"/>
        <v>0</v>
      </c>
      <c r="AB124" s="89">
        <f t="shared" si="67"/>
        <v>0</v>
      </c>
      <c r="AC124" s="90">
        <f t="shared" si="68"/>
        <v>0</v>
      </c>
      <c r="AD124" s="91">
        <f t="shared" si="69"/>
        <v>0</v>
      </c>
      <c r="AE124" s="93">
        <f t="shared" si="70"/>
        <v>0</v>
      </c>
      <c r="AF124" s="93">
        <f t="shared" si="71"/>
        <v>0</v>
      </c>
      <c r="AG124" s="93">
        <f t="shared" si="72"/>
        <v>0</v>
      </c>
      <c r="AH124" s="93">
        <f t="shared" si="73"/>
        <v>0</v>
      </c>
      <c r="AI124" s="93">
        <f t="shared" si="74"/>
        <v>0</v>
      </c>
      <c r="AJ124" s="93">
        <f t="shared" si="75"/>
        <v>0</v>
      </c>
      <c r="AK124" s="93">
        <f t="shared" si="76"/>
        <v>0</v>
      </c>
      <c r="AL124" s="93">
        <f t="shared" si="77"/>
        <v>0</v>
      </c>
      <c r="AM124" s="92">
        <f t="shared" si="78"/>
        <v>0</v>
      </c>
      <c r="AN124" s="1" t="str">
        <f t="shared" si="88"/>
        <v xml:space="preserve"> </v>
      </c>
      <c r="AO124" s="1" t="str">
        <f t="shared" si="89"/>
        <v xml:space="preserve"> </v>
      </c>
      <c r="AP124" s="1" t="str">
        <f t="shared" si="90"/>
        <v xml:space="preserve"> </v>
      </c>
      <c r="AQ124" s="1" t="str">
        <f t="shared" si="91"/>
        <v xml:space="preserve"> </v>
      </c>
      <c r="AR124" s="1" t="str">
        <f t="shared" si="92"/>
        <v xml:space="preserve"> </v>
      </c>
      <c r="AS124" s="1" t="str">
        <f t="shared" si="93"/>
        <v xml:space="preserve"> </v>
      </c>
      <c r="AT124" s="1" t="str">
        <f t="shared" si="94"/>
        <v xml:space="preserve"> </v>
      </c>
      <c r="AU124" s="103" t="str">
        <f t="shared" si="95"/>
        <v xml:space="preserve"> </v>
      </c>
      <c r="AV124" s="111">
        <f t="shared" si="79"/>
        <v>0</v>
      </c>
      <c r="AW124" s="4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6"/>
      <c r="DM124" s="111">
        <f t="shared" si="80"/>
        <v>0</v>
      </c>
      <c r="DN124" s="4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6"/>
      <c r="GD124" s="111">
        <f t="shared" si="81"/>
        <v>0</v>
      </c>
      <c r="GE124" s="4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6"/>
      <c r="IU124" s="111">
        <f t="shared" si="82"/>
        <v>0</v>
      </c>
      <c r="IV124" s="4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6"/>
      <c r="LL124" s="111">
        <f t="shared" si="83"/>
        <v>0</v>
      </c>
      <c r="LM124" s="4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6"/>
      <c r="OC124" s="111">
        <f t="shared" si="84"/>
        <v>0</v>
      </c>
      <c r="OD124" s="4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6"/>
      <c r="QT124" s="111">
        <f t="shared" si="85"/>
        <v>0</v>
      </c>
      <c r="QU124" s="4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6"/>
      <c r="TK124" s="111">
        <f t="shared" si="86"/>
        <v>0</v>
      </c>
      <c r="TL124" s="4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6"/>
    </row>
    <row r="125" spans="1:599" ht="14.25" customHeight="1" x14ac:dyDescent="0.3">
      <c r="A125" s="85"/>
      <c r="B125" s="87"/>
      <c r="C125" s="87"/>
      <c r="D125" s="86"/>
      <c r="E125" s="81"/>
      <c r="F125" s="81"/>
      <c r="G125" s="81"/>
      <c r="H125" s="81"/>
      <c r="I125" s="81"/>
      <c r="J125" s="81"/>
      <c r="K125" s="81"/>
      <c r="L125" s="81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89" t="str">
        <f t="shared" si="64"/>
        <v/>
      </c>
      <c r="Z125" s="89" t="str">
        <f t="shared" si="65"/>
        <v/>
      </c>
      <c r="AA125" s="89">
        <f t="shared" si="66"/>
        <v>0</v>
      </c>
      <c r="AB125" s="89">
        <f t="shared" si="67"/>
        <v>0</v>
      </c>
      <c r="AC125" s="90">
        <f t="shared" si="68"/>
        <v>0</v>
      </c>
      <c r="AD125" s="91">
        <f t="shared" si="69"/>
        <v>0</v>
      </c>
      <c r="AE125" s="93">
        <f t="shared" si="70"/>
        <v>0</v>
      </c>
      <c r="AF125" s="93">
        <f t="shared" si="71"/>
        <v>0</v>
      </c>
      <c r="AG125" s="93">
        <f t="shared" si="72"/>
        <v>0</v>
      </c>
      <c r="AH125" s="93">
        <f t="shared" si="73"/>
        <v>0</v>
      </c>
      <c r="AI125" s="93">
        <f t="shared" si="74"/>
        <v>0</v>
      </c>
      <c r="AJ125" s="93">
        <f t="shared" si="75"/>
        <v>0</v>
      </c>
      <c r="AK125" s="93">
        <f t="shared" si="76"/>
        <v>0</v>
      </c>
      <c r="AL125" s="93">
        <f t="shared" si="77"/>
        <v>0</v>
      </c>
      <c r="AM125" s="92">
        <f t="shared" si="78"/>
        <v>0</v>
      </c>
      <c r="AN125" s="1" t="str">
        <f t="shared" si="88"/>
        <v xml:space="preserve"> </v>
      </c>
      <c r="AO125" s="1" t="str">
        <f t="shared" si="89"/>
        <v xml:space="preserve"> </v>
      </c>
      <c r="AP125" s="1" t="str">
        <f t="shared" si="90"/>
        <v xml:space="preserve"> </v>
      </c>
      <c r="AQ125" s="1" t="str">
        <f t="shared" ref="AQ125:AQ162" si="96">IF(H125&gt;0,H125*$AC125*$AB125/1000," ")</f>
        <v xml:space="preserve"> </v>
      </c>
      <c r="AR125" s="1" t="str">
        <f t="shared" si="92"/>
        <v xml:space="preserve"> </v>
      </c>
      <c r="AS125" s="1" t="str">
        <f t="shared" si="93"/>
        <v xml:space="preserve"> </v>
      </c>
      <c r="AT125" s="1" t="str">
        <f t="shared" si="94"/>
        <v xml:space="preserve"> </v>
      </c>
      <c r="AU125" s="103" t="str">
        <f t="shared" si="95"/>
        <v xml:space="preserve"> </v>
      </c>
      <c r="AV125" s="111">
        <f t="shared" si="79"/>
        <v>0</v>
      </c>
      <c r="AW125" s="4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6"/>
      <c r="DM125" s="111">
        <f t="shared" si="80"/>
        <v>0</v>
      </c>
      <c r="DN125" s="4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6"/>
      <c r="GD125" s="111">
        <f t="shared" si="81"/>
        <v>0</v>
      </c>
      <c r="GE125" s="4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6"/>
      <c r="IU125" s="111">
        <f t="shared" si="82"/>
        <v>0</v>
      </c>
      <c r="IV125" s="4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6"/>
      <c r="LL125" s="111">
        <f t="shared" si="83"/>
        <v>0</v>
      </c>
      <c r="LM125" s="4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6"/>
      <c r="OC125" s="111">
        <f t="shared" si="84"/>
        <v>0</v>
      </c>
      <c r="OD125" s="4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6"/>
      <c r="QT125" s="111">
        <f t="shared" si="85"/>
        <v>0</v>
      </c>
      <c r="QU125" s="4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6"/>
      <c r="TK125" s="111">
        <f t="shared" si="86"/>
        <v>0</v>
      </c>
      <c r="TL125" s="4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6"/>
    </row>
    <row r="126" spans="1:599" ht="14.25" customHeight="1" x14ac:dyDescent="0.3">
      <c r="A126" s="41"/>
      <c r="B126" s="39"/>
      <c r="C126" s="40"/>
      <c r="D126" s="40"/>
      <c r="E126" s="2"/>
      <c r="F126" s="2"/>
      <c r="G126" s="2"/>
      <c r="H126" s="2"/>
      <c r="I126" s="2"/>
      <c r="J126" s="2"/>
      <c r="K126" s="2"/>
      <c r="L126" s="2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89" t="str">
        <f t="shared" si="64"/>
        <v/>
      </c>
      <c r="Z126" s="89" t="str">
        <f t="shared" si="65"/>
        <v/>
      </c>
      <c r="AA126" s="89">
        <f t="shared" si="66"/>
        <v>0</v>
      </c>
      <c r="AB126" s="89">
        <f t="shared" si="67"/>
        <v>0</v>
      </c>
      <c r="AC126" s="90">
        <f t="shared" si="68"/>
        <v>0</v>
      </c>
      <c r="AD126" s="91">
        <f t="shared" si="69"/>
        <v>0</v>
      </c>
      <c r="AE126" s="93">
        <f t="shared" si="70"/>
        <v>0</v>
      </c>
      <c r="AF126" s="93">
        <f t="shared" si="71"/>
        <v>0</v>
      </c>
      <c r="AG126" s="93">
        <f t="shared" si="72"/>
        <v>0</v>
      </c>
      <c r="AH126" s="93">
        <f t="shared" si="73"/>
        <v>0</v>
      </c>
      <c r="AI126" s="93">
        <f t="shared" si="74"/>
        <v>0</v>
      </c>
      <c r="AJ126" s="93">
        <f t="shared" si="75"/>
        <v>0</v>
      </c>
      <c r="AK126" s="93">
        <f t="shared" si="76"/>
        <v>0</v>
      </c>
      <c r="AL126" s="93">
        <f t="shared" si="77"/>
        <v>0</v>
      </c>
      <c r="AM126" s="92">
        <f t="shared" si="78"/>
        <v>0</v>
      </c>
      <c r="AN126" s="1" t="str">
        <f t="shared" si="88"/>
        <v xml:space="preserve"> </v>
      </c>
      <c r="AO126" s="1" t="str">
        <f t="shared" si="89"/>
        <v xml:space="preserve"> </v>
      </c>
      <c r="AP126" s="1" t="str">
        <f t="shared" si="90"/>
        <v xml:space="preserve"> </v>
      </c>
      <c r="AQ126" s="1" t="str">
        <f t="shared" si="96"/>
        <v xml:space="preserve"> </v>
      </c>
      <c r="AR126" s="1" t="str">
        <f t="shared" si="92"/>
        <v xml:space="preserve"> </v>
      </c>
      <c r="AS126" s="1" t="str">
        <f t="shared" si="93"/>
        <v xml:space="preserve"> </v>
      </c>
      <c r="AT126" s="1" t="str">
        <f t="shared" si="94"/>
        <v xml:space="preserve"> </v>
      </c>
      <c r="AU126" s="103" t="str">
        <f t="shared" si="95"/>
        <v xml:space="preserve"> </v>
      </c>
      <c r="AV126" s="111">
        <f t="shared" si="79"/>
        <v>0</v>
      </c>
      <c r="AW126" s="4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6"/>
      <c r="DM126" s="111">
        <f t="shared" si="80"/>
        <v>0</v>
      </c>
      <c r="DN126" s="4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6"/>
      <c r="GD126" s="111">
        <f t="shared" si="81"/>
        <v>0</v>
      </c>
      <c r="GE126" s="4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6"/>
      <c r="IU126" s="111">
        <f t="shared" si="82"/>
        <v>0</v>
      </c>
      <c r="IV126" s="4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6"/>
      <c r="LL126" s="111">
        <f t="shared" si="83"/>
        <v>0</v>
      </c>
      <c r="LM126" s="4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6"/>
      <c r="OC126" s="111">
        <f t="shared" si="84"/>
        <v>0</v>
      </c>
      <c r="OD126" s="4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6"/>
      <c r="QT126" s="111">
        <f t="shared" si="85"/>
        <v>0</v>
      </c>
      <c r="QU126" s="4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6"/>
      <c r="TK126" s="111">
        <f t="shared" si="86"/>
        <v>0</v>
      </c>
      <c r="TL126" s="4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6"/>
    </row>
    <row r="127" spans="1:599" ht="14.25" customHeight="1" x14ac:dyDescent="0.3">
      <c r="A127" s="85"/>
      <c r="B127" s="87"/>
      <c r="C127" s="87"/>
      <c r="D127" s="86"/>
      <c r="E127" s="81"/>
      <c r="F127" s="81"/>
      <c r="G127" s="81"/>
      <c r="H127" s="81"/>
      <c r="I127" s="81"/>
      <c r="J127" s="81"/>
      <c r="K127" s="81"/>
      <c r="L127" s="81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89" t="str">
        <f t="shared" si="64"/>
        <v/>
      </c>
      <c r="Z127" s="89" t="str">
        <f t="shared" si="65"/>
        <v/>
      </c>
      <c r="AA127" s="89">
        <f t="shared" si="66"/>
        <v>0</v>
      </c>
      <c r="AB127" s="89">
        <f t="shared" si="67"/>
        <v>0</v>
      </c>
      <c r="AC127" s="90">
        <f t="shared" si="68"/>
        <v>0</v>
      </c>
      <c r="AD127" s="91">
        <f t="shared" si="69"/>
        <v>0</v>
      </c>
      <c r="AE127" s="93">
        <f t="shared" si="70"/>
        <v>0</v>
      </c>
      <c r="AF127" s="93">
        <f t="shared" si="71"/>
        <v>0</v>
      </c>
      <c r="AG127" s="93">
        <f t="shared" si="72"/>
        <v>0</v>
      </c>
      <c r="AH127" s="93">
        <f t="shared" si="73"/>
        <v>0</v>
      </c>
      <c r="AI127" s="93">
        <f t="shared" si="74"/>
        <v>0</v>
      </c>
      <c r="AJ127" s="93">
        <f t="shared" si="75"/>
        <v>0</v>
      </c>
      <c r="AK127" s="93">
        <f t="shared" si="76"/>
        <v>0</v>
      </c>
      <c r="AL127" s="93">
        <f t="shared" si="77"/>
        <v>0</v>
      </c>
      <c r="AM127" s="92">
        <f t="shared" si="78"/>
        <v>0</v>
      </c>
      <c r="AN127" s="1" t="str">
        <f t="shared" si="88"/>
        <v xml:space="preserve"> </v>
      </c>
      <c r="AO127" s="1" t="str">
        <f t="shared" si="89"/>
        <v xml:space="preserve"> </v>
      </c>
      <c r="AP127" s="1" t="str">
        <f t="shared" si="90"/>
        <v xml:space="preserve"> </v>
      </c>
      <c r="AQ127" s="1" t="str">
        <f t="shared" si="96"/>
        <v xml:space="preserve"> </v>
      </c>
      <c r="AR127" s="1" t="str">
        <f t="shared" si="92"/>
        <v xml:space="preserve"> </v>
      </c>
      <c r="AS127" s="1" t="str">
        <f t="shared" si="93"/>
        <v xml:space="preserve"> </v>
      </c>
      <c r="AT127" s="1" t="str">
        <f t="shared" si="94"/>
        <v xml:space="preserve"> </v>
      </c>
      <c r="AU127" s="103" t="str">
        <f t="shared" si="95"/>
        <v xml:space="preserve"> </v>
      </c>
      <c r="AV127" s="111">
        <f t="shared" si="79"/>
        <v>0</v>
      </c>
      <c r="AW127" s="4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6"/>
      <c r="DM127" s="111">
        <f t="shared" si="80"/>
        <v>0</v>
      </c>
      <c r="DN127" s="4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6"/>
      <c r="GD127" s="111">
        <f t="shared" si="81"/>
        <v>0</v>
      </c>
      <c r="GE127" s="4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6"/>
      <c r="IU127" s="111">
        <f t="shared" si="82"/>
        <v>0</v>
      </c>
      <c r="IV127" s="4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6"/>
      <c r="LL127" s="111">
        <f t="shared" si="83"/>
        <v>0</v>
      </c>
      <c r="LM127" s="4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6"/>
      <c r="OC127" s="111">
        <f t="shared" si="84"/>
        <v>0</v>
      </c>
      <c r="OD127" s="4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6"/>
      <c r="QT127" s="111">
        <f t="shared" si="85"/>
        <v>0</v>
      </c>
      <c r="QU127" s="4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6"/>
      <c r="TK127" s="111">
        <f t="shared" si="86"/>
        <v>0</v>
      </c>
      <c r="TL127" s="4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6"/>
    </row>
    <row r="128" spans="1:599" ht="14.25" customHeight="1" x14ac:dyDescent="0.3">
      <c r="A128" s="85"/>
      <c r="B128" s="87"/>
      <c r="C128" s="87"/>
      <c r="D128" s="86"/>
      <c r="E128" s="81"/>
      <c r="F128" s="81"/>
      <c r="G128" s="81"/>
      <c r="H128" s="81"/>
      <c r="I128" s="81"/>
      <c r="J128" s="81"/>
      <c r="K128" s="81"/>
      <c r="L128" s="81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89" t="str">
        <f t="shared" si="64"/>
        <v/>
      </c>
      <c r="Z128" s="89" t="str">
        <f t="shared" si="65"/>
        <v/>
      </c>
      <c r="AA128" s="89">
        <f t="shared" si="66"/>
        <v>0</v>
      </c>
      <c r="AB128" s="89">
        <f t="shared" si="67"/>
        <v>0</v>
      </c>
      <c r="AC128" s="90">
        <f t="shared" si="68"/>
        <v>0</v>
      </c>
      <c r="AD128" s="91">
        <f t="shared" si="69"/>
        <v>0</v>
      </c>
      <c r="AE128" s="93">
        <f t="shared" si="70"/>
        <v>0</v>
      </c>
      <c r="AF128" s="93">
        <f t="shared" si="71"/>
        <v>0</v>
      </c>
      <c r="AG128" s="93">
        <f t="shared" si="72"/>
        <v>0</v>
      </c>
      <c r="AH128" s="93">
        <f t="shared" si="73"/>
        <v>0</v>
      </c>
      <c r="AI128" s="93">
        <f t="shared" si="74"/>
        <v>0</v>
      </c>
      <c r="AJ128" s="93">
        <f t="shared" si="75"/>
        <v>0</v>
      </c>
      <c r="AK128" s="93">
        <f t="shared" si="76"/>
        <v>0</v>
      </c>
      <c r="AL128" s="93">
        <f t="shared" si="77"/>
        <v>0</v>
      </c>
      <c r="AM128" s="92">
        <f t="shared" si="78"/>
        <v>0</v>
      </c>
      <c r="AN128" s="1" t="str">
        <f t="shared" si="88"/>
        <v xml:space="preserve"> </v>
      </c>
      <c r="AO128" s="1" t="str">
        <f t="shared" si="89"/>
        <v xml:space="preserve"> </v>
      </c>
      <c r="AP128" s="1" t="str">
        <f t="shared" si="90"/>
        <v xml:space="preserve"> </v>
      </c>
      <c r="AQ128" s="1" t="str">
        <f t="shared" si="96"/>
        <v xml:space="preserve"> </v>
      </c>
      <c r="AR128" s="1" t="str">
        <f t="shared" si="92"/>
        <v xml:space="preserve"> </v>
      </c>
      <c r="AS128" s="1" t="str">
        <f t="shared" si="93"/>
        <v xml:space="preserve"> </v>
      </c>
      <c r="AT128" s="1" t="str">
        <f t="shared" si="94"/>
        <v xml:space="preserve"> </v>
      </c>
      <c r="AU128" s="103" t="str">
        <f t="shared" si="95"/>
        <v xml:space="preserve"> </v>
      </c>
      <c r="AV128" s="111">
        <f t="shared" si="79"/>
        <v>0</v>
      </c>
      <c r="AW128" s="4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6"/>
      <c r="DM128" s="111">
        <f t="shared" si="80"/>
        <v>0</v>
      </c>
      <c r="DN128" s="4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6"/>
      <c r="GD128" s="111">
        <f t="shared" si="81"/>
        <v>0</v>
      </c>
      <c r="GE128" s="4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6"/>
      <c r="IU128" s="111">
        <f t="shared" si="82"/>
        <v>0</v>
      </c>
      <c r="IV128" s="4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6"/>
      <c r="LL128" s="111">
        <f t="shared" si="83"/>
        <v>0</v>
      </c>
      <c r="LM128" s="4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6"/>
      <c r="OC128" s="111">
        <f t="shared" si="84"/>
        <v>0</v>
      </c>
      <c r="OD128" s="4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6"/>
      <c r="QT128" s="111">
        <f t="shared" si="85"/>
        <v>0</v>
      </c>
      <c r="QU128" s="4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6"/>
      <c r="TK128" s="111">
        <f t="shared" si="86"/>
        <v>0</v>
      </c>
      <c r="TL128" s="4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6"/>
    </row>
    <row r="129" spans="1:599" ht="14.25" customHeight="1" x14ac:dyDescent="0.3">
      <c r="A129" s="41"/>
      <c r="B129" s="39"/>
      <c r="C129" s="40"/>
      <c r="D129" s="40"/>
      <c r="E129" s="2"/>
      <c r="F129" s="2"/>
      <c r="G129" s="2"/>
      <c r="H129" s="2"/>
      <c r="I129" s="2"/>
      <c r="J129" s="2"/>
      <c r="K129" s="2"/>
      <c r="L129" s="2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89" t="str">
        <f t="shared" si="64"/>
        <v/>
      </c>
      <c r="Z129" s="89" t="str">
        <f t="shared" si="65"/>
        <v/>
      </c>
      <c r="AA129" s="89">
        <f t="shared" si="66"/>
        <v>0</v>
      </c>
      <c r="AB129" s="89">
        <f t="shared" si="67"/>
        <v>0</v>
      </c>
      <c r="AC129" s="90">
        <f t="shared" si="68"/>
        <v>0</v>
      </c>
      <c r="AD129" s="91">
        <f t="shared" si="69"/>
        <v>0</v>
      </c>
      <c r="AE129" s="93">
        <f t="shared" si="70"/>
        <v>0</v>
      </c>
      <c r="AF129" s="93">
        <f t="shared" si="71"/>
        <v>0</v>
      </c>
      <c r="AG129" s="93">
        <f t="shared" si="72"/>
        <v>0</v>
      </c>
      <c r="AH129" s="93">
        <f t="shared" si="73"/>
        <v>0</v>
      </c>
      <c r="AI129" s="93">
        <f t="shared" si="74"/>
        <v>0</v>
      </c>
      <c r="AJ129" s="93">
        <f t="shared" si="75"/>
        <v>0</v>
      </c>
      <c r="AK129" s="93">
        <f t="shared" si="76"/>
        <v>0</v>
      </c>
      <c r="AL129" s="93">
        <f t="shared" si="77"/>
        <v>0</v>
      </c>
      <c r="AM129" s="92">
        <f t="shared" si="78"/>
        <v>0</v>
      </c>
      <c r="AN129" s="1" t="str">
        <f t="shared" si="88"/>
        <v xml:space="preserve"> </v>
      </c>
      <c r="AO129" s="1" t="str">
        <f t="shared" si="89"/>
        <v xml:space="preserve"> </v>
      </c>
      <c r="AP129" s="1" t="str">
        <f t="shared" si="90"/>
        <v xml:space="preserve"> </v>
      </c>
      <c r="AQ129" s="1" t="str">
        <f t="shared" si="96"/>
        <v xml:space="preserve"> </v>
      </c>
      <c r="AR129" s="1" t="str">
        <f t="shared" si="92"/>
        <v xml:space="preserve"> </v>
      </c>
      <c r="AS129" s="1" t="str">
        <f t="shared" si="93"/>
        <v xml:space="preserve"> </v>
      </c>
      <c r="AT129" s="1" t="str">
        <f t="shared" si="94"/>
        <v xml:space="preserve"> </v>
      </c>
      <c r="AU129" s="103" t="str">
        <f t="shared" si="95"/>
        <v xml:space="preserve"> </v>
      </c>
      <c r="AV129" s="111">
        <f t="shared" si="79"/>
        <v>0</v>
      </c>
      <c r="AW129" s="4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6"/>
      <c r="DM129" s="111">
        <f t="shared" si="80"/>
        <v>0</v>
      </c>
      <c r="DN129" s="4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6"/>
      <c r="GD129" s="111">
        <f t="shared" si="81"/>
        <v>0</v>
      </c>
      <c r="GE129" s="4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6"/>
      <c r="IU129" s="111">
        <f t="shared" si="82"/>
        <v>0</v>
      </c>
      <c r="IV129" s="4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6"/>
      <c r="LL129" s="111">
        <f t="shared" si="83"/>
        <v>0</v>
      </c>
      <c r="LM129" s="4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6"/>
      <c r="OC129" s="111">
        <f t="shared" si="84"/>
        <v>0</v>
      </c>
      <c r="OD129" s="4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6"/>
      <c r="QT129" s="111">
        <f t="shared" si="85"/>
        <v>0</v>
      </c>
      <c r="QU129" s="4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6"/>
      <c r="TK129" s="111">
        <f t="shared" si="86"/>
        <v>0</v>
      </c>
      <c r="TL129" s="4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6"/>
    </row>
    <row r="130" spans="1:599" ht="14.25" customHeight="1" x14ac:dyDescent="0.3">
      <c r="A130" s="85"/>
      <c r="B130" s="87"/>
      <c r="C130" s="87"/>
      <c r="D130" s="86"/>
      <c r="E130" s="81"/>
      <c r="F130" s="81"/>
      <c r="G130" s="81"/>
      <c r="H130" s="81"/>
      <c r="I130" s="81"/>
      <c r="J130" s="81"/>
      <c r="K130" s="81"/>
      <c r="L130" s="81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89" t="str">
        <f t="shared" si="64"/>
        <v/>
      </c>
      <c r="Z130" s="89" t="str">
        <f t="shared" si="65"/>
        <v/>
      </c>
      <c r="AA130" s="89">
        <f t="shared" si="66"/>
        <v>0</v>
      </c>
      <c r="AB130" s="89">
        <f t="shared" si="67"/>
        <v>0</v>
      </c>
      <c r="AC130" s="90">
        <f t="shared" si="68"/>
        <v>0</v>
      </c>
      <c r="AD130" s="91">
        <f t="shared" si="69"/>
        <v>0</v>
      </c>
      <c r="AE130" s="93">
        <f t="shared" si="70"/>
        <v>0</v>
      </c>
      <c r="AF130" s="93">
        <f t="shared" si="71"/>
        <v>0</v>
      </c>
      <c r="AG130" s="93">
        <f t="shared" si="72"/>
        <v>0</v>
      </c>
      <c r="AH130" s="93">
        <f t="shared" si="73"/>
        <v>0</v>
      </c>
      <c r="AI130" s="93">
        <f t="shared" si="74"/>
        <v>0</v>
      </c>
      <c r="AJ130" s="93">
        <f t="shared" si="75"/>
        <v>0</v>
      </c>
      <c r="AK130" s="93">
        <f t="shared" si="76"/>
        <v>0</v>
      </c>
      <c r="AL130" s="93">
        <f t="shared" si="77"/>
        <v>0</v>
      </c>
      <c r="AM130" s="92">
        <f t="shared" si="78"/>
        <v>0</v>
      </c>
      <c r="AN130" s="1" t="str">
        <f t="shared" si="88"/>
        <v xml:space="preserve"> </v>
      </c>
      <c r="AO130" s="1" t="str">
        <f t="shared" si="89"/>
        <v xml:space="preserve"> </v>
      </c>
      <c r="AP130" s="1" t="str">
        <f t="shared" si="90"/>
        <v xml:space="preserve"> </v>
      </c>
      <c r="AQ130" s="1" t="str">
        <f t="shared" si="96"/>
        <v xml:space="preserve"> </v>
      </c>
      <c r="AR130" s="1" t="str">
        <f t="shared" si="92"/>
        <v xml:space="preserve"> </v>
      </c>
      <c r="AS130" s="1" t="str">
        <f t="shared" si="93"/>
        <v xml:space="preserve"> </v>
      </c>
      <c r="AT130" s="1" t="str">
        <f t="shared" si="94"/>
        <v xml:space="preserve"> </v>
      </c>
      <c r="AU130" s="103" t="str">
        <f t="shared" si="95"/>
        <v xml:space="preserve"> </v>
      </c>
      <c r="AV130" s="111">
        <f t="shared" si="79"/>
        <v>0</v>
      </c>
      <c r="AW130" s="4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6"/>
      <c r="DM130" s="111">
        <f t="shared" si="80"/>
        <v>0</v>
      </c>
      <c r="DN130" s="4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6"/>
      <c r="GD130" s="111">
        <f t="shared" si="81"/>
        <v>0</v>
      </c>
      <c r="GE130" s="4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6"/>
      <c r="IU130" s="111">
        <f t="shared" si="82"/>
        <v>0</v>
      </c>
      <c r="IV130" s="4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6"/>
      <c r="LL130" s="111">
        <f t="shared" si="83"/>
        <v>0</v>
      </c>
      <c r="LM130" s="4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6"/>
      <c r="OC130" s="111">
        <f t="shared" si="84"/>
        <v>0</v>
      </c>
      <c r="OD130" s="4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6"/>
      <c r="QT130" s="111">
        <f t="shared" si="85"/>
        <v>0</v>
      </c>
      <c r="QU130" s="4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6"/>
      <c r="TK130" s="111">
        <f t="shared" si="86"/>
        <v>0</v>
      </c>
      <c r="TL130" s="4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6"/>
    </row>
    <row r="131" spans="1:599" ht="14.25" customHeight="1" x14ac:dyDescent="0.3">
      <c r="A131" s="85"/>
      <c r="B131" s="87"/>
      <c r="C131" s="87"/>
      <c r="D131" s="86"/>
      <c r="E131" s="81"/>
      <c r="F131" s="81"/>
      <c r="G131" s="81"/>
      <c r="H131" s="81"/>
      <c r="I131" s="81"/>
      <c r="J131" s="81"/>
      <c r="K131" s="81"/>
      <c r="L131" s="8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89" t="str">
        <f t="shared" si="64"/>
        <v/>
      </c>
      <c r="Z131" s="89" t="str">
        <f t="shared" si="65"/>
        <v/>
      </c>
      <c r="AA131" s="89">
        <f t="shared" si="66"/>
        <v>0</v>
      </c>
      <c r="AB131" s="89">
        <f t="shared" si="67"/>
        <v>0</v>
      </c>
      <c r="AC131" s="90">
        <f t="shared" si="68"/>
        <v>0</v>
      </c>
      <c r="AD131" s="91">
        <f t="shared" si="69"/>
        <v>0</v>
      </c>
      <c r="AE131" s="93">
        <f t="shared" si="70"/>
        <v>0</v>
      </c>
      <c r="AF131" s="93">
        <f t="shared" si="71"/>
        <v>0</v>
      </c>
      <c r="AG131" s="93">
        <f t="shared" si="72"/>
        <v>0</v>
      </c>
      <c r="AH131" s="93">
        <f t="shared" si="73"/>
        <v>0</v>
      </c>
      <c r="AI131" s="93">
        <f t="shared" si="74"/>
        <v>0</v>
      </c>
      <c r="AJ131" s="93">
        <f t="shared" si="75"/>
        <v>0</v>
      </c>
      <c r="AK131" s="93">
        <f t="shared" si="76"/>
        <v>0</v>
      </c>
      <c r="AL131" s="93">
        <f t="shared" si="77"/>
        <v>0</v>
      </c>
      <c r="AM131" s="92">
        <f t="shared" si="78"/>
        <v>0</v>
      </c>
      <c r="AN131" s="1" t="str">
        <f t="shared" si="88"/>
        <v xml:space="preserve"> </v>
      </c>
      <c r="AO131" s="1" t="str">
        <f t="shared" si="89"/>
        <v xml:space="preserve"> </v>
      </c>
      <c r="AP131" s="1" t="str">
        <f t="shared" si="90"/>
        <v xml:space="preserve"> </v>
      </c>
      <c r="AQ131" s="1" t="str">
        <f t="shared" si="96"/>
        <v xml:space="preserve"> </v>
      </c>
      <c r="AR131" s="1" t="str">
        <f t="shared" si="92"/>
        <v xml:space="preserve"> </v>
      </c>
      <c r="AS131" s="1" t="str">
        <f t="shared" si="93"/>
        <v xml:space="preserve"> </v>
      </c>
      <c r="AT131" s="1" t="str">
        <f t="shared" si="94"/>
        <v xml:space="preserve"> </v>
      </c>
      <c r="AU131" s="103" t="str">
        <f t="shared" si="95"/>
        <v xml:space="preserve"> </v>
      </c>
      <c r="AV131" s="111">
        <f t="shared" si="79"/>
        <v>0</v>
      </c>
      <c r="AW131" s="4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6"/>
      <c r="DM131" s="111">
        <f t="shared" si="80"/>
        <v>0</v>
      </c>
      <c r="DN131" s="4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6"/>
      <c r="GD131" s="111">
        <f t="shared" si="81"/>
        <v>0</v>
      </c>
      <c r="GE131" s="4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6"/>
      <c r="IU131" s="111">
        <f t="shared" si="82"/>
        <v>0</v>
      </c>
      <c r="IV131" s="4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6"/>
      <c r="LL131" s="111">
        <f t="shared" si="83"/>
        <v>0</v>
      </c>
      <c r="LM131" s="4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6"/>
      <c r="OC131" s="111">
        <f t="shared" si="84"/>
        <v>0</v>
      </c>
      <c r="OD131" s="4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6"/>
      <c r="QT131" s="111">
        <f t="shared" si="85"/>
        <v>0</v>
      </c>
      <c r="QU131" s="4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6"/>
      <c r="TK131" s="111">
        <f t="shared" si="86"/>
        <v>0</v>
      </c>
      <c r="TL131" s="4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6"/>
    </row>
    <row r="132" spans="1:599" ht="14.25" customHeight="1" x14ac:dyDescent="0.3">
      <c r="A132" s="41"/>
      <c r="B132" s="39"/>
      <c r="C132" s="40"/>
      <c r="D132" s="40"/>
      <c r="E132" s="81"/>
      <c r="F132" s="81"/>
      <c r="G132" s="81"/>
      <c r="H132" s="81"/>
      <c r="I132" s="81"/>
      <c r="J132" s="81"/>
      <c r="K132" s="81"/>
      <c r="L132" s="81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89" t="str">
        <f t="shared" si="64"/>
        <v/>
      </c>
      <c r="Z132" s="89" t="str">
        <f t="shared" si="65"/>
        <v/>
      </c>
      <c r="AA132" s="89">
        <f t="shared" si="66"/>
        <v>0</v>
      </c>
      <c r="AB132" s="89">
        <f t="shared" si="67"/>
        <v>0</v>
      </c>
      <c r="AC132" s="90">
        <f t="shared" si="68"/>
        <v>0</v>
      </c>
      <c r="AD132" s="91">
        <f t="shared" si="69"/>
        <v>0</v>
      </c>
      <c r="AE132" s="93">
        <f t="shared" si="70"/>
        <v>0</v>
      </c>
      <c r="AF132" s="93">
        <f t="shared" si="71"/>
        <v>0</v>
      </c>
      <c r="AG132" s="93">
        <f t="shared" si="72"/>
        <v>0</v>
      </c>
      <c r="AH132" s="93">
        <f t="shared" si="73"/>
        <v>0</v>
      </c>
      <c r="AI132" s="93">
        <f t="shared" si="74"/>
        <v>0</v>
      </c>
      <c r="AJ132" s="93">
        <f t="shared" si="75"/>
        <v>0</v>
      </c>
      <c r="AK132" s="93">
        <f t="shared" si="76"/>
        <v>0</v>
      </c>
      <c r="AL132" s="93">
        <f t="shared" si="77"/>
        <v>0</v>
      </c>
      <c r="AM132" s="92">
        <f t="shared" si="78"/>
        <v>0</v>
      </c>
      <c r="AN132" s="1" t="str">
        <f t="shared" si="88"/>
        <v xml:space="preserve"> </v>
      </c>
      <c r="AO132" s="1" t="str">
        <f t="shared" si="89"/>
        <v xml:space="preserve"> </v>
      </c>
      <c r="AP132" s="1" t="str">
        <f t="shared" si="90"/>
        <v xml:space="preserve"> </v>
      </c>
      <c r="AQ132" s="1" t="str">
        <f t="shared" si="96"/>
        <v xml:space="preserve"> </v>
      </c>
      <c r="AR132" s="1" t="str">
        <f t="shared" si="92"/>
        <v xml:space="preserve"> </v>
      </c>
      <c r="AS132" s="1" t="str">
        <f t="shared" si="93"/>
        <v xml:space="preserve"> </v>
      </c>
      <c r="AT132" s="1" t="str">
        <f t="shared" si="94"/>
        <v xml:space="preserve"> </v>
      </c>
      <c r="AU132" s="103" t="str">
        <f t="shared" si="95"/>
        <v xml:space="preserve"> </v>
      </c>
      <c r="AV132" s="111">
        <f t="shared" si="79"/>
        <v>0</v>
      </c>
      <c r="AW132" s="4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6"/>
      <c r="DM132" s="111">
        <f t="shared" si="80"/>
        <v>0</v>
      </c>
      <c r="DN132" s="4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6"/>
      <c r="GD132" s="111">
        <f t="shared" si="81"/>
        <v>0</v>
      </c>
      <c r="GE132" s="4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6"/>
      <c r="IU132" s="111">
        <f t="shared" si="82"/>
        <v>0</v>
      </c>
      <c r="IV132" s="4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6"/>
      <c r="LL132" s="111">
        <f t="shared" si="83"/>
        <v>0</v>
      </c>
      <c r="LM132" s="4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6"/>
      <c r="OC132" s="111">
        <f t="shared" si="84"/>
        <v>0</v>
      </c>
      <c r="OD132" s="4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6"/>
      <c r="QT132" s="111">
        <f t="shared" si="85"/>
        <v>0</v>
      </c>
      <c r="QU132" s="4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6"/>
      <c r="TK132" s="111">
        <f t="shared" si="86"/>
        <v>0</v>
      </c>
      <c r="TL132" s="4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6"/>
    </row>
    <row r="133" spans="1:599" s="84" customFormat="1" ht="14.25" customHeight="1" x14ac:dyDescent="0.3">
      <c r="A133" s="41"/>
      <c r="B133" s="39"/>
      <c r="C133" s="40"/>
      <c r="D133" s="40"/>
      <c r="E133" s="2"/>
      <c r="F133" s="2"/>
      <c r="G133" s="2"/>
      <c r="H133" s="2"/>
      <c r="I133" s="2"/>
      <c r="J133" s="2"/>
      <c r="K133" s="2"/>
      <c r="L133" s="2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89" t="str">
        <f t="shared" si="64"/>
        <v/>
      </c>
      <c r="Z133" s="89" t="str">
        <f t="shared" si="65"/>
        <v/>
      </c>
      <c r="AA133" s="89">
        <f t="shared" si="66"/>
        <v>0</v>
      </c>
      <c r="AB133" s="89">
        <f t="shared" si="67"/>
        <v>0</v>
      </c>
      <c r="AC133" s="90">
        <f t="shared" si="68"/>
        <v>0</v>
      </c>
      <c r="AD133" s="91">
        <f t="shared" si="69"/>
        <v>0</v>
      </c>
      <c r="AE133" s="93">
        <f t="shared" si="70"/>
        <v>0</v>
      </c>
      <c r="AF133" s="93">
        <f t="shared" si="71"/>
        <v>0</v>
      </c>
      <c r="AG133" s="93">
        <f t="shared" si="72"/>
        <v>0</v>
      </c>
      <c r="AH133" s="93">
        <f t="shared" si="73"/>
        <v>0</v>
      </c>
      <c r="AI133" s="93">
        <f t="shared" si="74"/>
        <v>0</v>
      </c>
      <c r="AJ133" s="93">
        <f t="shared" si="75"/>
        <v>0</v>
      </c>
      <c r="AK133" s="93">
        <f t="shared" si="76"/>
        <v>0</v>
      </c>
      <c r="AL133" s="93">
        <f t="shared" si="77"/>
        <v>0</v>
      </c>
      <c r="AM133" s="92">
        <f t="shared" si="78"/>
        <v>0</v>
      </c>
      <c r="AN133" s="1" t="str">
        <f t="shared" si="88"/>
        <v xml:space="preserve"> </v>
      </c>
      <c r="AO133" s="1" t="str">
        <f t="shared" si="89"/>
        <v xml:space="preserve"> </v>
      </c>
      <c r="AP133" s="1" t="str">
        <f t="shared" si="90"/>
        <v xml:space="preserve"> </v>
      </c>
      <c r="AQ133" s="1" t="str">
        <f t="shared" si="96"/>
        <v xml:space="preserve"> </v>
      </c>
      <c r="AR133" s="1" t="str">
        <f t="shared" si="92"/>
        <v xml:space="preserve"> </v>
      </c>
      <c r="AS133" s="1" t="str">
        <f t="shared" si="93"/>
        <v xml:space="preserve"> </v>
      </c>
      <c r="AT133" s="1" t="str">
        <f t="shared" si="94"/>
        <v xml:space="preserve"> </v>
      </c>
      <c r="AU133" s="103" t="str">
        <f t="shared" si="95"/>
        <v xml:space="preserve"> </v>
      </c>
      <c r="AV133" s="111">
        <f t="shared" si="79"/>
        <v>0</v>
      </c>
      <c r="AW133" s="4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6"/>
      <c r="DM133" s="111">
        <f t="shared" si="80"/>
        <v>0</v>
      </c>
      <c r="DN133" s="4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6"/>
      <c r="GD133" s="111">
        <f t="shared" si="81"/>
        <v>0</v>
      </c>
      <c r="GE133" s="4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6"/>
      <c r="IU133" s="111">
        <f t="shared" si="82"/>
        <v>0</v>
      </c>
      <c r="IV133" s="4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6"/>
      <c r="LL133" s="111">
        <f t="shared" si="83"/>
        <v>0</v>
      </c>
      <c r="LM133" s="4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6"/>
      <c r="OC133" s="111">
        <f t="shared" si="84"/>
        <v>0</v>
      </c>
      <c r="OD133" s="4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6"/>
      <c r="QT133" s="111">
        <f t="shared" si="85"/>
        <v>0</v>
      </c>
      <c r="QU133" s="4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6"/>
      <c r="TK133" s="111">
        <f t="shared" si="86"/>
        <v>0</v>
      </c>
      <c r="TL133" s="4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6"/>
    </row>
    <row r="134" spans="1:599" ht="14.25" customHeight="1" x14ac:dyDescent="0.3">
      <c r="A134" s="41"/>
      <c r="B134" s="39"/>
      <c r="C134" s="40"/>
      <c r="D134" s="40"/>
      <c r="E134" s="2"/>
      <c r="F134" s="2"/>
      <c r="G134" s="2"/>
      <c r="H134" s="2"/>
      <c r="I134" s="2"/>
      <c r="J134" s="2"/>
      <c r="K134" s="2"/>
      <c r="L134" s="2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89" t="str">
        <f t="shared" si="64"/>
        <v/>
      </c>
      <c r="Z134" s="89" t="str">
        <f t="shared" si="65"/>
        <v/>
      </c>
      <c r="AA134" s="89">
        <f t="shared" si="66"/>
        <v>0</v>
      </c>
      <c r="AB134" s="89">
        <f t="shared" si="67"/>
        <v>0</v>
      </c>
      <c r="AC134" s="90">
        <f t="shared" si="68"/>
        <v>0</v>
      </c>
      <c r="AD134" s="91">
        <f t="shared" si="69"/>
        <v>0</v>
      </c>
      <c r="AE134" s="93">
        <f t="shared" si="70"/>
        <v>0</v>
      </c>
      <c r="AF134" s="93">
        <f t="shared" si="71"/>
        <v>0</v>
      </c>
      <c r="AG134" s="93">
        <f t="shared" si="72"/>
        <v>0</v>
      </c>
      <c r="AH134" s="93">
        <f t="shared" si="73"/>
        <v>0</v>
      </c>
      <c r="AI134" s="93">
        <f t="shared" si="74"/>
        <v>0</v>
      </c>
      <c r="AJ134" s="93">
        <f t="shared" si="75"/>
        <v>0</v>
      </c>
      <c r="AK134" s="93">
        <f t="shared" si="76"/>
        <v>0</v>
      </c>
      <c r="AL134" s="93">
        <f t="shared" si="77"/>
        <v>0</v>
      </c>
      <c r="AM134" s="92">
        <f t="shared" si="78"/>
        <v>0</v>
      </c>
      <c r="AN134" s="1" t="str">
        <f t="shared" si="88"/>
        <v xml:space="preserve"> </v>
      </c>
      <c r="AO134" s="1" t="str">
        <f t="shared" si="89"/>
        <v xml:space="preserve"> </v>
      </c>
      <c r="AP134" s="1" t="str">
        <f t="shared" si="90"/>
        <v xml:space="preserve"> </v>
      </c>
      <c r="AQ134" s="1" t="str">
        <f t="shared" si="96"/>
        <v xml:space="preserve"> </v>
      </c>
      <c r="AR134" s="1" t="str">
        <f t="shared" si="92"/>
        <v xml:space="preserve"> </v>
      </c>
      <c r="AS134" s="1" t="str">
        <f t="shared" si="93"/>
        <v xml:space="preserve"> </v>
      </c>
      <c r="AT134" s="1" t="str">
        <f t="shared" si="94"/>
        <v xml:space="preserve"> </v>
      </c>
      <c r="AU134" s="103" t="str">
        <f t="shared" si="95"/>
        <v xml:space="preserve"> </v>
      </c>
      <c r="AV134" s="111">
        <f t="shared" si="79"/>
        <v>0</v>
      </c>
      <c r="AW134" s="4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6"/>
      <c r="DM134" s="111">
        <f t="shared" si="80"/>
        <v>0</v>
      </c>
      <c r="DN134" s="4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6"/>
      <c r="GD134" s="111">
        <f t="shared" si="81"/>
        <v>0</v>
      </c>
      <c r="GE134" s="4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6"/>
      <c r="IU134" s="111">
        <f t="shared" si="82"/>
        <v>0</v>
      </c>
      <c r="IV134" s="4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6"/>
      <c r="LL134" s="111">
        <f t="shared" si="83"/>
        <v>0</v>
      </c>
      <c r="LM134" s="4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6"/>
      <c r="OC134" s="111">
        <f t="shared" si="84"/>
        <v>0</v>
      </c>
      <c r="OD134" s="4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6"/>
      <c r="QT134" s="111">
        <f t="shared" si="85"/>
        <v>0</v>
      </c>
      <c r="QU134" s="4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6"/>
      <c r="TK134" s="111">
        <f t="shared" si="86"/>
        <v>0</v>
      </c>
      <c r="TL134" s="4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6"/>
    </row>
    <row r="135" spans="1:599" ht="14.25" customHeight="1" x14ac:dyDescent="0.3">
      <c r="A135" s="85"/>
      <c r="B135" s="87"/>
      <c r="C135" s="87"/>
      <c r="D135" s="86"/>
      <c r="E135" s="2"/>
      <c r="F135" s="2"/>
      <c r="G135" s="2"/>
      <c r="H135" s="2"/>
      <c r="I135" s="2"/>
      <c r="J135" s="2"/>
      <c r="K135" s="2"/>
      <c r="L135" s="2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89" t="str">
        <f t="shared" si="64"/>
        <v/>
      </c>
      <c r="Z135" s="89" t="str">
        <f t="shared" si="65"/>
        <v/>
      </c>
      <c r="AA135" s="89">
        <f t="shared" si="66"/>
        <v>0</v>
      </c>
      <c r="AB135" s="89">
        <f t="shared" si="67"/>
        <v>0</v>
      </c>
      <c r="AC135" s="90">
        <f t="shared" si="68"/>
        <v>0</v>
      </c>
      <c r="AD135" s="91">
        <f t="shared" si="69"/>
        <v>0</v>
      </c>
      <c r="AE135" s="93">
        <f t="shared" si="70"/>
        <v>0</v>
      </c>
      <c r="AF135" s="93">
        <f t="shared" si="71"/>
        <v>0</v>
      </c>
      <c r="AG135" s="93">
        <f t="shared" si="72"/>
        <v>0</v>
      </c>
      <c r="AH135" s="93">
        <f t="shared" si="73"/>
        <v>0</v>
      </c>
      <c r="AI135" s="93">
        <f t="shared" si="74"/>
        <v>0</v>
      </c>
      <c r="AJ135" s="93">
        <f t="shared" si="75"/>
        <v>0</v>
      </c>
      <c r="AK135" s="93">
        <f t="shared" si="76"/>
        <v>0</v>
      </c>
      <c r="AL135" s="93">
        <f t="shared" si="77"/>
        <v>0</v>
      </c>
      <c r="AM135" s="92">
        <f t="shared" si="78"/>
        <v>0</v>
      </c>
      <c r="AN135" s="1" t="str">
        <f t="shared" si="88"/>
        <v xml:space="preserve"> </v>
      </c>
      <c r="AO135" s="1" t="str">
        <f t="shared" si="89"/>
        <v xml:space="preserve"> </v>
      </c>
      <c r="AP135" s="1" t="str">
        <f t="shared" si="90"/>
        <v xml:space="preserve"> </v>
      </c>
      <c r="AQ135" s="1" t="str">
        <f t="shared" si="96"/>
        <v xml:space="preserve"> </v>
      </c>
      <c r="AR135" s="1" t="str">
        <f t="shared" si="92"/>
        <v xml:space="preserve"> </v>
      </c>
      <c r="AS135" s="1" t="str">
        <f t="shared" si="93"/>
        <v xml:space="preserve"> </v>
      </c>
      <c r="AT135" s="1" t="str">
        <f t="shared" si="94"/>
        <v xml:space="preserve"> </v>
      </c>
      <c r="AU135" s="103" t="str">
        <f t="shared" si="95"/>
        <v xml:space="preserve"> </v>
      </c>
      <c r="AV135" s="111">
        <f t="shared" si="79"/>
        <v>0</v>
      </c>
      <c r="AW135" s="4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6"/>
      <c r="DM135" s="111">
        <f t="shared" si="80"/>
        <v>0</v>
      </c>
      <c r="DN135" s="4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6"/>
      <c r="GD135" s="111">
        <f t="shared" si="81"/>
        <v>0</v>
      </c>
      <c r="GE135" s="4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6"/>
      <c r="IU135" s="111">
        <f t="shared" si="82"/>
        <v>0</v>
      </c>
      <c r="IV135" s="4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6"/>
      <c r="LL135" s="111">
        <f t="shared" si="83"/>
        <v>0</v>
      </c>
      <c r="LM135" s="4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6"/>
      <c r="OC135" s="111">
        <f t="shared" si="84"/>
        <v>0</v>
      </c>
      <c r="OD135" s="4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6"/>
      <c r="QT135" s="111">
        <f t="shared" si="85"/>
        <v>0</v>
      </c>
      <c r="QU135" s="4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6"/>
      <c r="TK135" s="111">
        <f t="shared" si="86"/>
        <v>0</v>
      </c>
      <c r="TL135" s="4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6"/>
    </row>
    <row r="136" spans="1:599" ht="14.25" customHeight="1" x14ac:dyDescent="0.3">
      <c r="A136" s="85"/>
      <c r="B136" s="87"/>
      <c r="C136" s="87"/>
      <c r="D136" s="86"/>
      <c r="E136" s="2"/>
      <c r="F136" s="2"/>
      <c r="G136" s="2"/>
      <c r="H136" s="2"/>
      <c r="I136" s="2"/>
      <c r="J136" s="2"/>
      <c r="K136" s="2"/>
      <c r="L136" s="2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89" t="str">
        <f t="shared" ref="Y136:Y199" si="97">CONCATENATE(IF(M136&gt;0,M136,""),IF(N136&gt;0,CONCATENATE("+", N136),""),IF(O136&gt;0,CONCATENATE("+", O136),""),IF(P136&gt;0,CONCATENATE("+", P136),""),IF(Q136&gt;0,CONCATENATE("+", Q136),""),IF(R136&gt;0,CONCATENATE("+", R136),""))</f>
        <v/>
      </c>
      <c r="Z136" s="89" t="str">
        <f t="shared" ref="Z136:Z199" si="98">CONCATENATE(IF(S136&gt;0,S136,""),IF(T136&gt;0,CONCATENATE("+", T136),""),IF(U136&gt;0,CONCATENATE("+", U136),""),IF(V136&gt;0,CONCATENATE("+", V136),""),IF(W136&gt;0,CONCATENATE("+", W136),""),IF(X136&gt;0,CONCATENATE("+", X136),""))</f>
        <v/>
      </c>
      <c r="AA136" s="89">
        <f t="shared" ref="AA136:AA199" si="99">SUM(M136:R136)</f>
        <v>0</v>
      </c>
      <c r="AB136" s="89">
        <f t="shared" ref="AB136:AB199" si="100">SUM(S136:X136)</f>
        <v>0</v>
      </c>
      <c r="AC136" s="90">
        <f t="shared" ref="AC136:AC199" si="101">SUM(AW136:DL136)+SUM(DN136:GC136)+SUM(GE136:IT136)+SUM(IV136:LK136)+SUM(LM136:OB136)+SUM(OD136:QS136)+SUM(QU136:TJ136)+SUM(TL136:WA136)</f>
        <v>0</v>
      </c>
      <c r="AD136" s="91">
        <f t="shared" ref="AD136:AD199" si="102">AA136*AB136/1000000</f>
        <v>0</v>
      </c>
      <c r="AE136" s="93">
        <f t="shared" ref="AE136:AE199" si="103">AV136</f>
        <v>0</v>
      </c>
      <c r="AF136" s="93">
        <f t="shared" ref="AF136:AF199" si="104">DM136</f>
        <v>0</v>
      </c>
      <c r="AG136" s="93">
        <f t="shared" ref="AG136:AG199" si="105">GD136</f>
        <v>0</v>
      </c>
      <c r="AH136" s="93">
        <f t="shared" ref="AH136:AH199" si="106">IU136</f>
        <v>0</v>
      </c>
      <c r="AI136" s="93">
        <f t="shared" ref="AI136:AI199" si="107">LN136</f>
        <v>0</v>
      </c>
      <c r="AJ136" s="93">
        <f t="shared" ref="AJ136:AJ199" si="108">OC136</f>
        <v>0</v>
      </c>
      <c r="AK136" s="93">
        <f t="shared" ref="AK136:AK199" si="109">QT136</f>
        <v>0</v>
      </c>
      <c r="AL136" s="93">
        <f t="shared" ref="AL136:AL199" si="110">TK136</f>
        <v>0</v>
      </c>
      <c r="AM136" s="92">
        <f t="shared" ref="AM136:AM199" si="111">AA136*AB136*AC136/1000000</f>
        <v>0</v>
      </c>
      <c r="AN136" s="1" t="str">
        <f t="shared" si="88"/>
        <v xml:space="preserve"> </v>
      </c>
      <c r="AO136" s="1" t="str">
        <f t="shared" si="89"/>
        <v xml:space="preserve"> </v>
      </c>
      <c r="AP136" s="1" t="str">
        <f t="shared" si="90"/>
        <v xml:space="preserve"> </v>
      </c>
      <c r="AQ136" s="1" t="str">
        <f t="shared" si="96"/>
        <v xml:space="preserve"> </v>
      </c>
      <c r="AR136" s="1" t="str">
        <f t="shared" si="92"/>
        <v xml:space="preserve"> </v>
      </c>
      <c r="AS136" s="1" t="str">
        <f t="shared" si="93"/>
        <v xml:space="preserve"> </v>
      </c>
      <c r="AT136" s="1" t="str">
        <f t="shared" si="94"/>
        <v xml:space="preserve"> </v>
      </c>
      <c r="AU136" s="103" t="str">
        <f t="shared" si="95"/>
        <v xml:space="preserve"> </v>
      </c>
      <c r="AV136" s="111">
        <f t="shared" ref="AV136:AV199" si="112">SUM(AW136:DL136)*AD136</f>
        <v>0</v>
      </c>
      <c r="AW136" s="4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6"/>
      <c r="DM136" s="111">
        <f t="shared" ref="DM136:DM199" si="113">SUM(DN136:GC136)*AD136</f>
        <v>0</v>
      </c>
      <c r="DN136" s="4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6"/>
      <c r="GD136" s="111">
        <f t="shared" ref="GD136:GD199" si="114">SUM(GE136:IT136)*AD136</f>
        <v>0</v>
      </c>
      <c r="GE136" s="4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6"/>
      <c r="IU136" s="111">
        <f t="shared" ref="IU136:IU199" si="115">SUM(IV136:LK136)*AD136</f>
        <v>0</v>
      </c>
      <c r="IV136" s="4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6"/>
      <c r="LL136" s="111">
        <f t="shared" ref="LL136:LL199" si="116">SUM(LM136:OB136)*AD136</f>
        <v>0</v>
      </c>
      <c r="LM136" s="4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6"/>
      <c r="OC136" s="111">
        <f t="shared" ref="OC136:OC199" si="117">SUM(OD136:QS136)*AD136</f>
        <v>0</v>
      </c>
      <c r="OD136" s="4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6"/>
      <c r="QT136" s="111">
        <f t="shared" ref="QT136:QT199" si="118">SUM(QU136:TJ136)*AD136</f>
        <v>0</v>
      </c>
      <c r="QU136" s="4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6"/>
      <c r="TK136" s="111">
        <f t="shared" ref="TK136:TK199" si="119">SUM(TL136:WA136)*AD136</f>
        <v>0</v>
      </c>
      <c r="TL136" s="4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6"/>
    </row>
    <row r="137" spans="1:599" ht="14.25" customHeight="1" x14ac:dyDescent="0.3">
      <c r="A137" s="85"/>
      <c r="B137" s="87"/>
      <c r="C137" s="87"/>
      <c r="D137" s="86"/>
      <c r="E137" s="2"/>
      <c r="F137" s="2"/>
      <c r="G137" s="2"/>
      <c r="H137" s="2"/>
      <c r="I137" s="2"/>
      <c r="J137" s="2"/>
      <c r="K137" s="2"/>
      <c r="L137" s="2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89" t="str">
        <f t="shared" si="97"/>
        <v/>
      </c>
      <c r="Z137" s="89" t="str">
        <f t="shared" si="98"/>
        <v/>
      </c>
      <c r="AA137" s="89">
        <f t="shared" si="99"/>
        <v>0</v>
      </c>
      <c r="AB137" s="89">
        <f t="shared" si="100"/>
        <v>0</v>
      </c>
      <c r="AC137" s="90">
        <f t="shared" si="101"/>
        <v>0</v>
      </c>
      <c r="AD137" s="91">
        <f t="shared" si="102"/>
        <v>0</v>
      </c>
      <c r="AE137" s="93">
        <f t="shared" si="103"/>
        <v>0</v>
      </c>
      <c r="AF137" s="93">
        <f t="shared" si="104"/>
        <v>0</v>
      </c>
      <c r="AG137" s="93">
        <f t="shared" si="105"/>
        <v>0</v>
      </c>
      <c r="AH137" s="93">
        <f t="shared" si="106"/>
        <v>0</v>
      </c>
      <c r="AI137" s="93">
        <f t="shared" si="107"/>
        <v>0</v>
      </c>
      <c r="AJ137" s="93">
        <f t="shared" si="108"/>
        <v>0</v>
      </c>
      <c r="AK137" s="93">
        <f t="shared" si="109"/>
        <v>0</v>
      </c>
      <c r="AL137" s="93">
        <f t="shared" si="110"/>
        <v>0</v>
      </c>
      <c r="AM137" s="92">
        <f t="shared" si="111"/>
        <v>0</v>
      </c>
      <c r="AN137" s="1" t="str">
        <f t="shared" si="88"/>
        <v xml:space="preserve"> </v>
      </c>
      <c r="AO137" s="1" t="str">
        <f t="shared" si="89"/>
        <v xml:space="preserve"> </v>
      </c>
      <c r="AP137" s="1" t="str">
        <f t="shared" si="90"/>
        <v xml:space="preserve"> </v>
      </c>
      <c r="AQ137" s="1" t="str">
        <f t="shared" si="96"/>
        <v xml:space="preserve"> </v>
      </c>
      <c r="AR137" s="1" t="str">
        <f t="shared" si="92"/>
        <v xml:space="preserve"> </v>
      </c>
      <c r="AS137" s="1" t="str">
        <f t="shared" si="93"/>
        <v xml:space="preserve"> </v>
      </c>
      <c r="AT137" s="1" t="str">
        <f t="shared" si="94"/>
        <v xml:space="preserve"> </v>
      </c>
      <c r="AU137" s="103" t="str">
        <f t="shared" si="95"/>
        <v xml:space="preserve"> </v>
      </c>
      <c r="AV137" s="111">
        <f t="shared" si="112"/>
        <v>0</v>
      </c>
      <c r="AW137" s="4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6"/>
      <c r="DM137" s="111">
        <f t="shared" si="113"/>
        <v>0</v>
      </c>
      <c r="DN137" s="4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6"/>
      <c r="GD137" s="111">
        <f t="shared" si="114"/>
        <v>0</v>
      </c>
      <c r="GE137" s="4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6"/>
      <c r="IU137" s="111">
        <f t="shared" si="115"/>
        <v>0</v>
      </c>
      <c r="IV137" s="4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6"/>
      <c r="LL137" s="111">
        <f t="shared" si="116"/>
        <v>0</v>
      </c>
      <c r="LM137" s="4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6"/>
      <c r="OC137" s="111">
        <f t="shared" si="117"/>
        <v>0</v>
      </c>
      <c r="OD137" s="4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6"/>
      <c r="QT137" s="111">
        <f t="shared" si="118"/>
        <v>0</v>
      </c>
      <c r="QU137" s="4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6"/>
      <c r="TK137" s="111">
        <f t="shared" si="119"/>
        <v>0</v>
      </c>
      <c r="TL137" s="4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6"/>
    </row>
    <row r="138" spans="1:599" ht="14.25" customHeight="1" x14ac:dyDescent="0.3">
      <c r="A138" s="85"/>
      <c r="B138" s="87"/>
      <c r="C138" s="87"/>
      <c r="D138" s="86"/>
      <c r="E138" s="2"/>
      <c r="F138" s="2"/>
      <c r="G138" s="2"/>
      <c r="H138" s="2"/>
      <c r="I138" s="2"/>
      <c r="J138" s="2"/>
      <c r="K138" s="2"/>
      <c r="L138" s="2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89" t="str">
        <f t="shared" si="97"/>
        <v/>
      </c>
      <c r="Z138" s="89" t="str">
        <f t="shared" si="98"/>
        <v/>
      </c>
      <c r="AA138" s="89">
        <f t="shared" si="99"/>
        <v>0</v>
      </c>
      <c r="AB138" s="89">
        <f t="shared" si="100"/>
        <v>0</v>
      </c>
      <c r="AC138" s="90">
        <f t="shared" si="101"/>
        <v>0</v>
      </c>
      <c r="AD138" s="91">
        <f t="shared" si="102"/>
        <v>0</v>
      </c>
      <c r="AE138" s="93">
        <f t="shared" si="103"/>
        <v>0</v>
      </c>
      <c r="AF138" s="93">
        <f t="shared" si="104"/>
        <v>0</v>
      </c>
      <c r="AG138" s="93">
        <f t="shared" si="105"/>
        <v>0</v>
      </c>
      <c r="AH138" s="93">
        <f t="shared" si="106"/>
        <v>0</v>
      </c>
      <c r="AI138" s="93">
        <f t="shared" si="107"/>
        <v>0</v>
      </c>
      <c r="AJ138" s="93">
        <f t="shared" si="108"/>
        <v>0</v>
      </c>
      <c r="AK138" s="93">
        <f t="shared" si="109"/>
        <v>0</v>
      </c>
      <c r="AL138" s="93">
        <f t="shared" si="110"/>
        <v>0</v>
      </c>
      <c r="AM138" s="92">
        <f t="shared" si="111"/>
        <v>0</v>
      </c>
      <c r="AN138" s="1" t="str">
        <f t="shared" si="88"/>
        <v xml:space="preserve"> </v>
      </c>
      <c r="AO138" s="1" t="str">
        <f t="shared" si="89"/>
        <v xml:space="preserve"> </v>
      </c>
      <c r="AP138" s="1" t="str">
        <f t="shared" si="90"/>
        <v xml:space="preserve"> </v>
      </c>
      <c r="AQ138" s="1" t="str">
        <f t="shared" si="96"/>
        <v xml:space="preserve"> </v>
      </c>
      <c r="AR138" s="1" t="str">
        <f t="shared" si="92"/>
        <v xml:space="preserve"> </v>
      </c>
      <c r="AS138" s="1" t="str">
        <f t="shared" si="93"/>
        <v xml:space="preserve"> </v>
      </c>
      <c r="AT138" s="1" t="str">
        <f t="shared" si="94"/>
        <v xml:space="preserve"> </v>
      </c>
      <c r="AU138" s="103" t="str">
        <f t="shared" si="95"/>
        <v xml:space="preserve"> </v>
      </c>
      <c r="AV138" s="111">
        <f t="shared" si="112"/>
        <v>0</v>
      </c>
      <c r="AW138" s="4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6"/>
      <c r="DM138" s="111">
        <f t="shared" si="113"/>
        <v>0</v>
      </c>
      <c r="DN138" s="4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6"/>
      <c r="GD138" s="111">
        <f t="shared" si="114"/>
        <v>0</v>
      </c>
      <c r="GE138" s="4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6"/>
      <c r="IU138" s="111">
        <f t="shared" si="115"/>
        <v>0</v>
      </c>
      <c r="IV138" s="4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6"/>
      <c r="LL138" s="111">
        <f t="shared" si="116"/>
        <v>0</v>
      </c>
      <c r="LM138" s="4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6"/>
      <c r="OC138" s="111">
        <f t="shared" si="117"/>
        <v>0</v>
      </c>
      <c r="OD138" s="4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6"/>
      <c r="QT138" s="111">
        <f t="shared" si="118"/>
        <v>0</v>
      </c>
      <c r="QU138" s="4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6"/>
      <c r="TK138" s="111">
        <f t="shared" si="119"/>
        <v>0</v>
      </c>
      <c r="TL138" s="4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6"/>
    </row>
    <row r="139" spans="1:599" ht="14.25" customHeight="1" x14ac:dyDescent="0.3">
      <c r="A139" s="41"/>
      <c r="B139" s="39"/>
      <c r="C139" s="40"/>
      <c r="D139" s="40"/>
      <c r="E139" s="2"/>
      <c r="F139" s="2"/>
      <c r="G139" s="2"/>
      <c r="H139" s="2"/>
      <c r="I139" s="2"/>
      <c r="J139" s="2"/>
      <c r="K139" s="2"/>
      <c r="L139" s="2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89" t="str">
        <f t="shared" si="97"/>
        <v/>
      </c>
      <c r="Z139" s="89" t="str">
        <f t="shared" si="98"/>
        <v/>
      </c>
      <c r="AA139" s="89">
        <f t="shared" si="99"/>
        <v>0</v>
      </c>
      <c r="AB139" s="89">
        <f t="shared" si="100"/>
        <v>0</v>
      </c>
      <c r="AC139" s="90">
        <f t="shared" si="101"/>
        <v>0</v>
      </c>
      <c r="AD139" s="91">
        <f t="shared" si="102"/>
        <v>0</v>
      </c>
      <c r="AE139" s="93">
        <f t="shared" si="103"/>
        <v>0</v>
      </c>
      <c r="AF139" s="93">
        <f t="shared" si="104"/>
        <v>0</v>
      </c>
      <c r="AG139" s="93">
        <f t="shared" si="105"/>
        <v>0</v>
      </c>
      <c r="AH139" s="93">
        <f t="shared" si="106"/>
        <v>0</v>
      </c>
      <c r="AI139" s="93">
        <f t="shared" si="107"/>
        <v>0</v>
      </c>
      <c r="AJ139" s="93">
        <f t="shared" si="108"/>
        <v>0</v>
      </c>
      <c r="AK139" s="93">
        <f t="shared" si="109"/>
        <v>0</v>
      </c>
      <c r="AL139" s="93">
        <f t="shared" si="110"/>
        <v>0</v>
      </c>
      <c r="AM139" s="92">
        <f t="shared" si="111"/>
        <v>0</v>
      </c>
      <c r="AN139" s="1" t="str">
        <f t="shared" si="88"/>
        <v xml:space="preserve"> </v>
      </c>
      <c r="AO139" s="1" t="str">
        <f t="shared" si="89"/>
        <v xml:space="preserve"> </v>
      </c>
      <c r="AP139" s="1" t="str">
        <f t="shared" si="90"/>
        <v xml:space="preserve"> </v>
      </c>
      <c r="AQ139" s="1" t="str">
        <f t="shared" si="96"/>
        <v xml:space="preserve"> </v>
      </c>
      <c r="AR139" s="1" t="str">
        <f t="shared" si="92"/>
        <v xml:space="preserve"> </v>
      </c>
      <c r="AS139" s="1" t="str">
        <f t="shared" si="93"/>
        <v xml:space="preserve"> </v>
      </c>
      <c r="AT139" s="1" t="str">
        <f t="shared" si="94"/>
        <v xml:space="preserve"> </v>
      </c>
      <c r="AU139" s="103" t="str">
        <f t="shared" si="95"/>
        <v xml:space="preserve"> </v>
      </c>
      <c r="AV139" s="111">
        <f t="shared" si="112"/>
        <v>0</v>
      </c>
      <c r="AW139" s="4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6"/>
      <c r="DM139" s="111">
        <f t="shared" si="113"/>
        <v>0</v>
      </c>
      <c r="DN139" s="4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6"/>
      <c r="GD139" s="111">
        <f t="shared" si="114"/>
        <v>0</v>
      </c>
      <c r="GE139" s="4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6"/>
      <c r="IU139" s="111">
        <f t="shared" si="115"/>
        <v>0</v>
      </c>
      <c r="IV139" s="4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6"/>
      <c r="LL139" s="111">
        <f t="shared" si="116"/>
        <v>0</v>
      </c>
      <c r="LM139" s="4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6"/>
      <c r="OC139" s="111">
        <f t="shared" si="117"/>
        <v>0</v>
      </c>
      <c r="OD139" s="4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6"/>
      <c r="QT139" s="111">
        <f t="shared" si="118"/>
        <v>0</v>
      </c>
      <c r="QU139" s="4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6"/>
      <c r="TK139" s="111">
        <f t="shared" si="119"/>
        <v>0</v>
      </c>
      <c r="TL139" s="4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6"/>
    </row>
    <row r="140" spans="1:599" ht="14.25" customHeight="1" x14ac:dyDescent="0.3">
      <c r="A140" s="85"/>
      <c r="B140" s="87"/>
      <c r="C140" s="87"/>
      <c r="D140" s="86"/>
      <c r="E140" s="2"/>
      <c r="F140" s="2"/>
      <c r="G140" s="2"/>
      <c r="H140" s="2"/>
      <c r="I140" s="2"/>
      <c r="J140" s="2"/>
      <c r="K140" s="2"/>
      <c r="L140" s="2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89" t="str">
        <f t="shared" si="97"/>
        <v/>
      </c>
      <c r="Z140" s="89" t="str">
        <f t="shared" si="98"/>
        <v/>
      </c>
      <c r="AA140" s="89">
        <f t="shared" si="99"/>
        <v>0</v>
      </c>
      <c r="AB140" s="89">
        <f t="shared" si="100"/>
        <v>0</v>
      </c>
      <c r="AC140" s="90">
        <f t="shared" si="101"/>
        <v>0</v>
      </c>
      <c r="AD140" s="91">
        <f t="shared" si="102"/>
        <v>0</v>
      </c>
      <c r="AE140" s="93">
        <f t="shared" si="103"/>
        <v>0</v>
      </c>
      <c r="AF140" s="93">
        <f t="shared" si="104"/>
        <v>0</v>
      </c>
      <c r="AG140" s="93">
        <f t="shared" si="105"/>
        <v>0</v>
      </c>
      <c r="AH140" s="93">
        <f t="shared" si="106"/>
        <v>0</v>
      </c>
      <c r="AI140" s="93">
        <f t="shared" si="107"/>
        <v>0</v>
      </c>
      <c r="AJ140" s="93">
        <f t="shared" si="108"/>
        <v>0</v>
      </c>
      <c r="AK140" s="93">
        <f t="shared" si="109"/>
        <v>0</v>
      </c>
      <c r="AL140" s="93">
        <f t="shared" si="110"/>
        <v>0</v>
      </c>
      <c r="AM140" s="92">
        <f t="shared" si="111"/>
        <v>0</v>
      </c>
      <c r="AN140" s="1" t="str">
        <f t="shared" si="88"/>
        <v xml:space="preserve"> </v>
      </c>
      <c r="AO140" s="1" t="str">
        <f t="shared" si="89"/>
        <v xml:space="preserve"> </v>
      </c>
      <c r="AP140" s="1" t="str">
        <f t="shared" si="90"/>
        <v xml:space="preserve"> </v>
      </c>
      <c r="AQ140" s="1" t="str">
        <f t="shared" si="96"/>
        <v xml:space="preserve"> </v>
      </c>
      <c r="AR140" s="1" t="str">
        <f t="shared" si="92"/>
        <v xml:space="preserve"> </v>
      </c>
      <c r="AS140" s="1" t="str">
        <f t="shared" si="93"/>
        <v xml:space="preserve"> </v>
      </c>
      <c r="AT140" s="1" t="str">
        <f t="shared" si="94"/>
        <v xml:space="preserve"> </v>
      </c>
      <c r="AU140" s="103" t="str">
        <f t="shared" si="95"/>
        <v xml:space="preserve"> </v>
      </c>
      <c r="AV140" s="111">
        <f t="shared" si="112"/>
        <v>0</v>
      </c>
      <c r="AW140" s="4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6"/>
      <c r="DM140" s="111">
        <f t="shared" si="113"/>
        <v>0</v>
      </c>
      <c r="DN140" s="4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6"/>
      <c r="GD140" s="111">
        <f t="shared" si="114"/>
        <v>0</v>
      </c>
      <c r="GE140" s="4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6"/>
      <c r="IU140" s="111">
        <f t="shared" si="115"/>
        <v>0</v>
      </c>
      <c r="IV140" s="4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6"/>
      <c r="LL140" s="111">
        <f t="shared" si="116"/>
        <v>0</v>
      </c>
      <c r="LM140" s="4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6"/>
      <c r="OC140" s="111">
        <f t="shared" si="117"/>
        <v>0</v>
      </c>
      <c r="OD140" s="4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6"/>
      <c r="QT140" s="111">
        <f t="shared" si="118"/>
        <v>0</v>
      </c>
      <c r="QU140" s="4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6"/>
      <c r="TK140" s="111">
        <f t="shared" si="119"/>
        <v>0</v>
      </c>
      <c r="TL140" s="4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6"/>
    </row>
    <row r="141" spans="1:599" ht="14.25" customHeight="1" x14ac:dyDescent="0.3">
      <c r="A141" s="85"/>
      <c r="B141" s="87"/>
      <c r="C141" s="87"/>
      <c r="D141" s="86"/>
      <c r="E141" s="2"/>
      <c r="F141" s="2"/>
      <c r="G141" s="2"/>
      <c r="H141" s="2"/>
      <c r="I141" s="2"/>
      <c r="J141" s="2"/>
      <c r="K141" s="2"/>
      <c r="L141" s="2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89" t="str">
        <f t="shared" si="97"/>
        <v/>
      </c>
      <c r="Z141" s="89" t="str">
        <f t="shared" si="98"/>
        <v/>
      </c>
      <c r="AA141" s="89">
        <f t="shared" si="99"/>
        <v>0</v>
      </c>
      <c r="AB141" s="89">
        <f t="shared" si="100"/>
        <v>0</v>
      </c>
      <c r="AC141" s="90">
        <f t="shared" si="101"/>
        <v>0</v>
      </c>
      <c r="AD141" s="91">
        <f t="shared" si="102"/>
        <v>0</v>
      </c>
      <c r="AE141" s="93">
        <f t="shared" si="103"/>
        <v>0</v>
      </c>
      <c r="AF141" s="93">
        <f t="shared" si="104"/>
        <v>0</v>
      </c>
      <c r="AG141" s="93">
        <f t="shared" si="105"/>
        <v>0</v>
      </c>
      <c r="AH141" s="93">
        <f t="shared" si="106"/>
        <v>0</v>
      </c>
      <c r="AI141" s="93">
        <f t="shared" si="107"/>
        <v>0</v>
      </c>
      <c r="AJ141" s="93">
        <f t="shared" si="108"/>
        <v>0</v>
      </c>
      <c r="AK141" s="93">
        <f t="shared" si="109"/>
        <v>0</v>
      </c>
      <c r="AL141" s="93">
        <f t="shared" si="110"/>
        <v>0</v>
      </c>
      <c r="AM141" s="92">
        <f t="shared" si="111"/>
        <v>0</v>
      </c>
      <c r="AN141" s="1" t="str">
        <f t="shared" si="88"/>
        <v xml:space="preserve"> </v>
      </c>
      <c r="AO141" s="1" t="str">
        <f t="shared" si="89"/>
        <v xml:space="preserve"> </v>
      </c>
      <c r="AP141" s="1" t="str">
        <f t="shared" si="90"/>
        <v xml:space="preserve"> </v>
      </c>
      <c r="AQ141" s="1" t="str">
        <f t="shared" si="96"/>
        <v xml:space="preserve"> </v>
      </c>
      <c r="AR141" s="1" t="str">
        <f t="shared" si="92"/>
        <v xml:space="preserve"> </v>
      </c>
      <c r="AS141" s="1" t="str">
        <f t="shared" si="93"/>
        <v xml:space="preserve"> </v>
      </c>
      <c r="AT141" s="1" t="str">
        <f t="shared" si="94"/>
        <v xml:space="preserve"> </v>
      </c>
      <c r="AU141" s="103" t="str">
        <f t="shared" si="95"/>
        <v xml:space="preserve"> </v>
      </c>
      <c r="AV141" s="111">
        <f t="shared" si="112"/>
        <v>0</v>
      </c>
      <c r="AW141" s="4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6"/>
      <c r="DM141" s="111">
        <f t="shared" si="113"/>
        <v>0</v>
      </c>
      <c r="DN141" s="4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6"/>
      <c r="GD141" s="111">
        <f t="shared" si="114"/>
        <v>0</v>
      </c>
      <c r="GE141" s="4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6"/>
      <c r="IU141" s="111">
        <f t="shared" si="115"/>
        <v>0</v>
      </c>
      <c r="IV141" s="4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6"/>
      <c r="LL141" s="111">
        <f t="shared" si="116"/>
        <v>0</v>
      </c>
      <c r="LM141" s="4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6"/>
      <c r="OC141" s="111">
        <f t="shared" si="117"/>
        <v>0</v>
      </c>
      <c r="OD141" s="4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6"/>
      <c r="QT141" s="111">
        <f t="shared" si="118"/>
        <v>0</v>
      </c>
      <c r="QU141" s="4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6"/>
      <c r="TK141" s="111">
        <f t="shared" si="119"/>
        <v>0</v>
      </c>
      <c r="TL141" s="4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6"/>
    </row>
    <row r="142" spans="1:599" ht="14.25" customHeight="1" x14ac:dyDescent="0.3">
      <c r="A142" s="41"/>
      <c r="B142" s="39"/>
      <c r="C142" s="40"/>
      <c r="D142" s="40"/>
      <c r="E142" s="2"/>
      <c r="F142" s="2"/>
      <c r="G142" s="2"/>
      <c r="H142" s="2"/>
      <c r="I142" s="2"/>
      <c r="J142" s="2"/>
      <c r="K142" s="2"/>
      <c r="L142" s="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89" t="str">
        <f t="shared" si="97"/>
        <v/>
      </c>
      <c r="Z142" s="89" t="str">
        <f t="shared" si="98"/>
        <v/>
      </c>
      <c r="AA142" s="89">
        <f t="shared" si="99"/>
        <v>0</v>
      </c>
      <c r="AB142" s="89">
        <f t="shared" si="100"/>
        <v>0</v>
      </c>
      <c r="AC142" s="90">
        <f t="shared" si="101"/>
        <v>0</v>
      </c>
      <c r="AD142" s="91">
        <f t="shared" si="102"/>
        <v>0</v>
      </c>
      <c r="AE142" s="93">
        <f t="shared" si="103"/>
        <v>0</v>
      </c>
      <c r="AF142" s="93">
        <f t="shared" si="104"/>
        <v>0</v>
      </c>
      <c r="AG142" s="93">
        <f t="shared" si="105"/>
        <v>0</v>
      </c>
      <c r="AH142" s="93">
        <f t="shared" si="106"/>
        <v>0</v>
      </c>
      <c r="AI142" s="93">
        <f t="shared" si="107"/>
        <v>0</v>
      </c>
      <c r="AJ142" s="93">
        <f t="shared" si="108"/>
        <v>0</v>
      </c>
      <c r="AK142" s="93">
        <f t="shared" si="109"/>
        <v>0</v>
      </c>
      <c r="AL142" s="93">
        <f t="shared" si="110"/>
        <v>0</v>
      </c>
      <c r="AM142" s="92">
        <f t="shared" si="111"/>
        <v>0</v>
      </c>
      <c r="AN142" s="1" t="str">
        <f t="shared" si="33"/>
        <v xml:space="preserve"> </v>
      </c>
      <c r="AO142" s="1" t="str">
        <f t="shared" si="34"/>
        <v xml:space="preserve"> </v>
      </c>
      <c r="AP142" s="1" t="str">
        <f t="shared" si="35"/>
        <v xml:space="preserve"> </v>
      </c>
      <c r="AQ142" s="1" t="str">
        <f t="shared" si="96"/>
        <v xml:space="preserve"> </v>
      </c>
      <c r="AR142" s="1" t="str">
        <f t="shared" si="37"/>
        <v xml:space="preserve"> </v>
      </c>
      <c r="AS142" s="1" t="str">
        <f t="shared" si="38"/>
        <v xml:space="preserve"> </v>
      </c>
      <c r="AT142" s="1" t="str">
        <f t="shared" si="39"/>
        <v xml:space="preserve"> </v>
      </c>
      <c r="AU142" s="103" t="str">
        <f t="shared" si="40"/>
        <v xml:space="preserve"> </v>
      </c>
      <c r="AV142" s="111">
        <f t="shared" si="112"/>
        <v>0</v>
      </c>
      <c r="AW142" s="4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6"/>
      <c r="DM142" s="111">
        <f t="shared" si="113"/>
        <v>0</v>
      </c>
      <c r="DN142" s="4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6"/>
      <c r="GD142" s="111">
        <f t="shared" si="114"/>
        <v>0</v>
      </c>
      <c r="GE142" s="4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6"/>
      <c r="IU142" s="111">
        <f t="shared" si="115"/>
        <v>0</v>
      </c>
      <c r="IV142" s="4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6"/>
      <c r="LL142" s="111">
        <f t="shared" si="116"/>
        <v>0</v>
      </c>
      <c r="LM142" s="4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6"/>
      <c r="OC142" s="111">
        <f t="shared" si="117"/>
        <v>0</v>
      </c>
      <c r="OD142" s="4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6"/>
      <c r="QT142" s="111">
        <f t="shared" si="118"/>
        <v>0</v>
      </c>
      <c r="QU142" s="4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6"/>
      <c r="TK142" s="111">
        <f t="shared" si="119"/>
        <v>0</v>
      </c>
      <c r="TL142" s="4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6"/>
    </row>
    <row r="143" spans="1:599" ht="14.25" customHeight="1" x14ac:dyDescent="0.3">
      <c r="A143" s="85"/>
      <c r="B143" s="87"/>
      <c r="C143" s="87"/>
      <c r="D143" s="86"/>
      <c r="E143" s="2"/>
      <c r="F143" s="2"/>
      <c r="G143" s="2"/>
      <c r="H143" s="2"/>
      <c r="I143" s="2"/>
      <c r="J143" s="2"/>
      <c r="K143" s="2"/>
      <c r="L143" s="2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89" t="str">
        <f t="shared" si="97"/>
        <v/>
      </c>
      <c r="Z143" s="89" t="str">
        <f t="shared" si="98"/>
        <v/>
      </c>
      <c r="AA143" s="89">
        <f t="shared" si="99"/>
        <v>0</v>
      </c>
      <c r="AB143" s="89">
        <f t="shared" si="100"/>
        <v>0</v>
      </c>
      <c r="AC143" s="90">
        <f t="shared" si="101"/>
        <v>0</v>
      </c>
      <c r="AD143" s="91">
        <f t="shared" si="102"/>
        <v>0</v>
      </c>
      <c r="AE143" s="93">
        <f t="shared" si="103"/>
        <v>0</v>
      </c>
      <c r="AF143" s="93">
        <f t="shared" si="104"/>
        <v>0</v>
      </c>
      <c r="AG143" s="93">
        <f t="shared" si="105"/>
        <v>0</v>
      </c>
      <c r="AH143" s="93">
        <f t="shared" si="106"/>
        <v>0</v>
      </c>
      <c r="AI143" s="93">
        <f t="shared" si="107"/>
        <v>0</v>
      </c>
      <c r="AJ143" s="93">
        <f t="shared" si="108"/>
        <v>0</v>
      </c>
      <c r="AK143" s="93">
        <f t="shared" si="109"/>
        <v>0</v>
      </c>
      <c r="AL143" s="93">
        <f t="shared" si="110"/>
        <v>0</v>
      </c>
      <c r="AM143" s="92">
        <f t="shared" si="111"/>
        <v>0</v>
      </c>
      <c r="AN143" s="1" t="str">
        <f t="shared" si="33"/>
        <v xml:space="preserve"> </v>
      </c>
      <c r="AO143" s="1" t="str">
        <f t="shared" si="34"/>
        <v xml:space="preserve"> </v>
      </c>
      <c r="AP143" s="1" t="str">
        <f t="shared" si="35"/>
        <v xml:space="preserve"> </v>
      </c>
      <c r="AQ143" s="1" t="str">
        <f t="shared" si="96"/>
        <v xml:space="preserve"> </v>
      </c>
      <c r="AR143" s="1" t="str">
        <f t="shared" si="37"/>
        <v xml:space="preserve"> </v>
      </c>
      <c r="AS143" s="1" t="str">
        <f t="shared" si="38"/>
        <v xml:space="preserve"> </v>
      </c>
      <c r="AT143" s="1" t="str">
        <f t="shared" si="39"/>
        <v xml:space="preserve"> </v>
      </c>
      <c r="AU143" s="103" t="str">
        <f t="shared" si="40"/>
        <v xml:space="preserve"> </v>
      </c>
      <c r="AV143" s="111">
        <f t="shared" si="112"/>
        <v>0</v>
      </c>
      <c r="AW143" s="4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6"/>
      <c r="DM143" s="111">
        <f t="shared" si="113"/>
        <v>0</v>
      </c>
      <c r="DN143" s="4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6"/>
      <c r="GD143" s="111">
        <f t="shared" si="114"/>
        <v>0</v>
      </c>
      <c r="GE143" s="4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6"/>
      <c r="IU143" s="111">
        <f t="shared" si="115"/>
        <v>0</v>
      </c>
      <c r="IV143" s="4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6"/>
      <c r="LL143" s="111">
        <f t="shared" si="116"/>
        <v>0</v>
      </c>
      <c r="LM143" s="4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6"/>
      <c r="OC143" s="111">
        <f t="shared" si="117"/>
        <v>0</v>
      </c>
      <c r="OD143" s="4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6"/>
      <c r="QT143" s="111">
        <f t="shared" si="118"/>
        <v>0</v>
      </c>
      <c r="QU143" s="4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6"/>
      <c r="TK143" s="111">
        <f t="shared" si="119"/>
        <v>0</v>
      </c>
      <c r="TL143" s="4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6"/>
    </row>
    <row r="144" spans="1:599" ht="14.25" customHeight="1" x14ac:dyDescent="0.3">
      <c r="A144" s="85"/>
      <c r="B144" s="87"/>
      <c r="C144" s="87"/>
      <c r="D144" s="86"/>
      <c r="E144" s="2"/>
      <c r="F144" s="2"/>
      <c r="G144" s="2"/>
      <c r="H144" s="2"/>
      <c r="I144" s="2"/>
      <c r="J144" s="2"/>
      <c r="K144" s="2"/>
      <c r="L144" s="2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89" t="str">
        <f t="shared" si="97"/>
        <v/>
      </c>
      <c r="Z144" s="89" t="str">
        <f t="shared" si="98"/>
        <v/>
      </c>
      <c r="AA144" s="89">
        <f t="shared" si="99"/>
        <v>0</v>
      </c>
      <c r="AB144" s="89">
        <f t="shared" si="100"/>
        <v>0</v>
      </c>
      <c r="AC144" s="90">
        <f t="shared" si="101"/>
        <v>0</v>
      </c>
      <c r="AD144" s="91">
        <f t="shared" si="102"/>
        <v>0</v>
      </c>
      <c r="AE144" s="93">
        <f t="shared" si="103"/>
        <v>0</v>
      </c>
      <c r="AF144" s="93">
        <f t="shared" si="104"/>
        <v>0</v>
      </c>
      <c r="AG144" s="93">
        <f t="shared" si="105"/>
        <v>0</v>
      </c>
      <c r="AH144" s="93">
        <f t="shared" si="106"/>
        <v>0</v>
      </c>
      <c r="AI144" s="93">
        <f t="shared" si="107"/>
        <v>0</v>
      </c>
      <c r="AJ144" s="93">
        <f t="shared" si="108"/>
        <v>0</v>
      </c>
      <c r="AK144" s="93">
        <f t="shared" si="109"/>
        <v>0</v>
      </c>
      <c r="AL144" s="93">
        <f t="shared" si="110"/>
        <v>0</v>
      </c>
      <c r="AM144" s="92">
        <f t="shared" si="111"/>
        <v>0</v>
      </c>
      <c r="AN144" s="1" t="str">
        <f t="shared" si="33"/>
        <v xml:space="preserve"> </v>
      </c>
      <c r="AO144" s="1" t="str">
        <f t="shared" si="34"/>
        <v xml:space="preserve"> </v>
      </c>
      <c r="AP144" s="1" t="str">
        <f t="shared" si="35"/>
        <v xml:space="preserve"> </v>
      </c>
      <c r="AQ144" s="1" t="str">
        <f t="shared" si="96"/>
        <v xml:space="preserve"> </v>
      </c>
      <c r="AR144" s="1" t="str">
        <f t="shared" si="37"/>
        <v xml:space="preserve"> </v>
      </c>
      <c r="AS144" s="1" t="str">
        <f t="shared" si="38"/>
        <v xml:space="preserve"> </v>
      </c>
      <c r="AT144" s="1" t="str">
        <f t="shared" si="39"/>
        <v xml:space="preserve"> </v>
      </c>
      <c r="AU144" s="103" t="str">
        <f t="shared" si="40"/>
        <v xml:space="preserve"> </v>
      </c>
      <c r="AV144" s="111">
        <f t="shared" si="112"/>
        <v>0</v>
      </c>
      <c r="AW144" s="4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6"/>
      <c r="DM144" s="111">
        <f t="shared" si="113"/>
        <v>0</v>
      </c>
      <c r="DN144" s="4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6"/>
      <c r="GD144" s="111">
        <f t="shared" si="114"/>
        <v>0</v>
      </c>
      <c r="GE144" s="4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6"/>
      <c r="IU144" s="111">
        <f t="shared" si="115"/>
        <v>0</v>
      </c>
      <c r="IV144" s="4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6"/>
      <c r="LL144" s="111">
        <f t="shared" si="116"/>
        <v>0</v>
      </c>
      <c r="LM144" s="4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6"/>
      <c r="OC144" s="111">
        <f t="shared" si="117"/>
        <v>0</v>
      </c>
      <c r="OD144" s="4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6"/>
      <c r="QT144" s="111">
        <f t="shared" si="118"/>
        <v>0</v>
      </c>
      <c r="QU144" s="4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6"/>
      <c r="TK144" s="111">
        <f t="shared" si="119"/>
        <v>0</v>
      </c>
      <c r="TL144" s="4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6"/>
    </row>
    <row r="145" spans="1:599" ht="14.25" customHeight="1" x14ac:dyDescent="0.3">
      <c r="A145" s="85"/>
      <c r="B145" s="87"/>
      <c r="C145" s="87"/>
      <c r="D145" s="86"/>
      <c r="E145" s="2"/>
      <c r="F145" s="2"/>
      <c r="G145" s="2"/>
      <c r="H145" s="2"/>
      <c r="I145" s="2"/>
      <c r="J145" s="2"/>
      <c r="K145" s="2"/>
      <c r="L145" s="2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89" t="str">
        <f t="shared" si="97"/>
        <v/>
      </c>
      <c r="Z145" s="89" t="str">
        <f t="shared" si="98"/>
        <v/>
      </c>
      <c r="AA145" s="89">
        <f t="shared" si="99"/>
        <v>0</v>
      </c>
      <c r="AB145" s="89">
        <f t="shared" si="100"/>
        <v>0</v>
      </c>
      <c r="AC145" s="90">
        <f t="shared" si="101"/>
        <v>0</v>
      </c>
      <c r="AD145" s="91">
        <f t="shared" si="102"/>
        <v>0</v>
      </c>
      <c r="AE145" s="93">
        <f t="shared" si="103"/>
        <v>0</v>
      </c>
      <c r="AF145" s="93">
        <f t="shared" si="104"/>
        <v>0</v>
      </c>
      <c r="AG145" s="93">
        <f t="shared" si="105"/>
        <v>0</v>
      </c>
      <c r="AH145" s="93">
        <f t="shared" si="106"/>
        <v>0</v>
      </c>
      <c r="AI145" s="93">
        <f t="shared" si="107"/>
        <v>0</v>
      </c>
      <c r="AJ145" s="93">
        <f t="shared" si="108"/>
        <v>0</v>
      </c>
      <c r="AK145" s="93">
        <f t="shared" si="109"/>
        <v>0</v>
      </c>
      <c r="AL145" s="93">
        <f t="shared" si="110"/>
        <v>0</v>
      </c>
      <c r="AM145" s="92">
        <f t="shared" si="111"/>
        <v>0</v>
      </c>
      <c r="AN145" s="1" t="str">
        <f t="shared" si="33"/>
        <v xml:space="preserve"> </v>
      </c>
      <c r="AO145" s="1" t="str">
        <f t="shared" si="34"/>
        <v xml:space="preserve"> </v>
      </c>
      <c r="AP145" s="1" t="str">
        <f t="shared" si="35"/>
        <v xml:space="preserve"> </v>
      </c>
      <c r="AQ145" s="1" t="str">
        <f t="shared" si="96"/>
        <v xml:space="preserve"> </v>
      </c>
      <c r="AR145" s="1" t="str">
        <f t="shared" si="37"/>
        <v xml:space="preserve"> </v>
      </c>
      <c r="AS145" s="1" t="str">
        <f t="shared" si="38"/>
        <v xml:space="preserve"> </v>
      </c>
      <c r="AT145" s="1" t="str">
        <f t="shared" si="39"/>
        <v xml:space="preserve"> </v>
      </c>
      <c r="AU145" s="103" t="str">
        <f t="shared" si="40"/>
        <v xml:space="preserve"> </v>
      </c>
      <c r="AV145" s="111">
        <f t="shared" si="112"/>
        <v>0</v>
      </c>
      <c r="AW145" s="4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6"/>
      <c r="DM145" s="111">
        <f t="shared" si="113"/>
        <v>0</v>
      </c>
      <c r="DN145" s="4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6"/>
      <c r="GD145" s="111">
        <f t="shared" si="114"/>
        <v>0</v>
      </c>
      <c r="GE145" s="4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6"/>
      <c r="IU145" s="111">
        <f t="shared" si="115"/>
        <v>0</v>
      </c>
      <c r="IV145" s="4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6"/>
      <c r="LL145" s="111">
        <f t="shared" si="116"/>
        <v>0</v>
      </c>
      <c r="LM145" s="4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6"/>
      <c r="OC145" s="111">
        <f t="shared" si="117"/>
        <v>0</v>
      </c>
      <c r="OD145" s="4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6"/>
      <c r="QT145" s="111">
        <f t="shared" si="118"/>
        <v>0</v>
      </c>
      <c r="QU145" s="4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6"/>
      <c r="TK145" s="111">
        <f t="shared" si="119"/>
        <v>0</v>
      </c>
      <c r="TL145" s="4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6"/>
    </row>
    <row r="146" spans="1:599" ht="14.25" customHeight="1" x14ac:dyDescent="0.3">
      <c r="A146" s="85"/>
      <c r="B146" s="87"/>
      <c r="C146" s="87"/>
      <c r="D146" s="86"/>
      <c r="E146" s="2"/>
      <c r="F146" s="2"/>
      <c r="G146" s="2"/>
      <c r="H146" s="2"/>
      <c r="I146" s="2"/>
      <c r="J146" s="2"/>
      <c r="K146" s="2"/>
      <c r="L146" s="2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89" t="str">
        <f t="shared" si="97"/>
        <v/>
      </c>
      <c r="Z146" s="89" t="str">
        <f t="shared" si="98"/>
        <v/>
      </c>
      <c r="AA146" s="89">
        <f t="shared" si="99"/>
        <v>0</v>
      </c>
      <c r="AB146" s="89">
        <f t="shared" si="100"/>
        <v>0</v>
      </c>
      <c r="AC146" s="90">
        <f t="shared" si="101"/>
        <v>0</v>
      </c>
      <c r="AD146" s="91">
        <f t="shared" si="102"/>
        <v>0</v>
      </c>
      <c r="AE146" s="93">
        <f t="shared" si="103"/>
        <v>0</v>
      </c>
      <c r="AF146" s="93">
        <f t="shared" si="104"/>
        <v>0</v>
      </c>
      <c r="AG146" s="93">
        <f t="shared" si="105"/>
        <v>0</v>
      </c>
      <c r="AH146" s="93">
        <f t="shared" si="106"/>
        <v>0</v>
      </c>
      <c r="AI146" s="93">
        <f t="shared" si="107"/>
        <v>0</v>
      </c>
      <c r="AJ146" s="93">
        <f t="shared" si="108"/>
        <v>0</v>
      </c>
      <c r="AK146" s="93">
        <f t="shared" si="109"/>
        <v>0</v>
      </c>
      <c r="AL146" s="93">
        <f t="shared" si="110"/>
        <v>0</v>
      </c>
      <c r="AM146" s="92">
        <f t="shared" si="111"/>
        <v>0</v>
      </c>
      <c r="AN146" s="1" t="str">
        <f t="shared" si="33"/>
        <v xml:space="preserve"> </v>
      </c>
      <c r="AO146" s="1" t="str">
        <f t="shared" si="34"/>
        <v xml:space="preserve"> </v>
      </c>
      <c r="AP146" s="1" t="str">
        <f t="shared" si="35"/>
        <v xml:space="preserve"> </v>
      </c>
      <c r="AQ146" s="1" t="str">
        <f t="shared" si="96"/>
        <v xml:space="preserve"> </v>
      </c>
      <c r="AR146" s="1" t="str">
        <f t="shared" si="37"/>
        <v xml:space="preserve"> </v>
      </c>
      <c r="AS146" s="1" t="str">
        <f t="shared" si="38"/>
        <v xml:space="preserve"> </v>
      </c>
      <c r="AT146" s="1" t="str">
        <f t="shared" si="39"/>
        <v xml:space="preserve"> </v>
      </c>
      <c r="AU146" s="103" t="str">
        <f t="shared" si="40"/>
        <v xml:space="preserve"> </v>
      </c>
      <c r="AV146" s="111">
        <f t="shared" si="112"/>
        <v>0</v>
      </c>
      <c r="AW146" s="4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6"/>
      <c r="DM146" s="111">
        <f t="shared" si="113"/>
        <v>0</v>
      </c>
      <c r="DN146" s="4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6"/>
      <c r="GD146" s="111">
        <f t="shared" si="114"/>
        <v>0</v>
      </c>
      <c r="GE146" s="4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6"/>
      <c r="IU146" s="111">
        <f t="shared" si="115"/>
        <v>0</v>
      </c>
      <c r="IV146" s="4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6"/>
      <c r="LL146" s="111">
        <f t="shared" si="116"/>
        <v>0</v>
      </c>
      <c r="LM146" s="4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6"/>
      <c r="OC146" s="111">
        <f t="shared" si="117"/>
        <v>0</v>
      </c>
      <c r="OD146" s="4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6"/>
      <c r="QT146" s="111">
        <f t="shared" si="118"/>
        <v>0</v>
      </c>
      <c r="QU146" s="4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6"/>
      <c r="TK146" s="111">
        <f t="shared" si="119"/>
        <v>0</v>
      </c>
      <c r="TL146" s="4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6"/>
    </row>
    <row r="147" spans="1:599" ht="14.25" customHeight="1" x14ac:dyDescent="0.3">
      <c r="A147" s="41"/>
      <c r="B147" s="39"/>
      <c r="C147" s="40"/>
      <c r="D147" s="40"/>
      <c r="E147" s="2"/>
      <c r="F147" s="2"/>
      <c r="G147" s="2"/>
      <c r="H147" s="2"/>
      <c r="I147" s="2"/>
      <c r="J147" s="2"/>
      <c r="K147" s="2"/>
      <c r="L147" s="2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89" t="str">
        <f t="shared" si="97"/>
        <v/>
      </c>
      <c r="Z147" s="89" t="str">
        <f t="shared" si="98"/>
        <v/>
      </c>
      <c r="AA147" s="89">
        <f t="shared" si="99"/>
        <v>0</v>
      </c>
      <c r="AB147" s="89">
        <f t="shared" si="100"/>
        <v>0</v>
      </c>
      <c r="AC147" s="90">
        <f t="shared" si="101"/>
        <v>0</v>
      </c>
      <c r="AD147" s="91">
        <f t="shared" si="102"/>
        <v>0</v>
      </c>
      <c r="AE147" s="93">
        <f t="shared" si="103"/>
        <v>0</v>
      </c>
      <c r="AF147" s="93">
        <f t="shared" si="104"/>
        <v>0</v>
      </c>
      <c r="AG147" s="93">
        <f t="shared" si="105"/>
        <v>0</v>
      </c>
      <c r="AH147" s="93">
        <f t="shared" si="106"/>
        <v>0</v>
      </c>
      <c r="AI147" s="93">
        <f t="shared" si="107"/>
        <v>0</v>
      </c>
      <c r="AJ147" s="93">
        <f t="shared" si="108"/>
        <v>0</v>
      </c>
      <c r="AK147" s="93">
        <f t="shared" si="109"/>
        <v>0</v>
      </c>
      <c r="AL147" s="93">
        <f t="shared" si="110"/>
        <v>0</v>
      </c>
      <c r="AM147" s="92">
        <f t="shared" si="111"/>
        <v>0</v>
      </c>
      <c r="AN147" s="1" t="str">
        <f t="shared" si="33"/>
        <v xml:space="preserve"> </v>
      </c>
      <c r="AO147" s="1" t="str">
        <f t="shared" si="34"/>
        <v xml:space="preserve"> </v>
      </c>
      <c r="AP147" s="1" t="str">
        <f t="shared" si="35"/>
        <v xml:space="preserve"> </v>
      </c>
      <c r="AQ147" s="1" t="str">
        <f t="shared" si="96"/>
        <v xml:space="preserve"> </v>
      </c>
      <c r="AR147" s="1" t="str">
        <f t="shared" si="37"/>
        <v xml:space="preserve"> </v>
      </c>
      <c r="AS147" s="1" t="str">
        <f t="shared" si="38"/>
        <v xml:space="preserve"> </v>
      </c>
      <c r="AT147" s="1" t="str">
        <f t="shared" si="39"/>
        <v xml:space="preserve"> </v>
      </c>
      <c r="AU147" s="103" t="str">
        <f t="shared" si="40"/>
        <v xml:space="preserve"> </v>
      </c>
      <c r="AV147" s="111">
        <f t="shared" si="112"/>
        <v>0</v>
      </c>
      <c r="AW147" s="4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6"/>
      <c r="DM147" s="111">
        <f t="shared" si="113"/>
        <v>0</v>
      </c>
      <c r="DN147" s="4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6"/>
      <c r="GD147" s="111">
        <f t="shared" si="114"/>
        <v>0</v>
      </c>
      <c r="GE147" s="4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6"/>
      <c r="IU147" s="111">
        <f t="shared" si="115"/>
        <v>0</v>
      </c>
      <c r="IV147" s="4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6"/>
      <c r="LL147" s="111">
        <f t="shared" si="116"/>
        <v>0</v>
      </c>
      <c r="LM147" s="4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6"/>
      <c r="OC147" s="111">
        <f t="shared" si="117"/>
        <v>0</v>
      </c>
      <c r="OD147" s="4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6"/>
      <c r="QT147" s="111">
        <f t="shared" si="118"/>
        <v>0</v>
      </c>
      <c r="QU147" s="4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6"/>
      <c r="TK147" s="111">
        <f t="shared" si="119"/>
        <v>0</v>
      </c>
      <c r="TL147" s="4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6"/>
    </row>
    <row r="148" spans="1:599" s="84" customFormat="1" ht="14.25" customHeight="1" x14ac:dyDescent="0.3">
      <c r="A148" s="41"/>
      <c r="B148" s="39"/>
      <c r="C148" s="40"/>
      <c r="D148" s="40"/>
      <c r="E148" s="2"/>
      <c r="F148" s="2"/>
      <c r="G148" s="2"/>
      <c r="H148" s="2"/>
      <c r="I148" s="2"/>
      <c r="J148" s="2"/>
      <c r="K148" s="2"/>
      <c r="L148" s="2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89" t="str">
        <f t="shared" si="97"/>
        <v/>
      </c>
      <c r="Z148" s="89" t="str">
        <f t="shared" si="98"/>
        <v/>
      </c>
      <c r="AA148" s="89">
        <f t="shared" si="99"/>
        <v>0</v>
      </c>
      <c r="AB148" s="89">
        <f t="shared" si="100"/>
        <v>0</v>
      </c>
      <c r="AC148" s="90">
        <f t="shared" si="101"/>
        <v>0</v>
      </c>
      <c r="AD148" s="91">
        <f t="shared" si="102"/>
        <v>0</v>
      </c>
      <c r="AE148" s="93">
        <f t="shared" si="103"/>
        <v>0</v>
      </c>
      <c r="AF148" s="93">
        <f t="shared" si="104"/>
        <v>0</v>
      </c>
      <c r="AG148" s="93">
        <f t="shared" si="105"/>
        <v>0</v>
      </c>
      <c r="AH148" s="93">
        <f t="shared" si="106"/>
        <v>0</v>
      </c>
      <c r="AI148" s="93">
        <f t="shared" si="107"/>
        <v>0</v>
      </c>
      <c r="AJ148" s="93">
        <f t="shared" si="108"/>
        <v>0</v>
      </c>
      <c r="AK148" s="93">
        <f t="shared" si="109"/>
        <v>0</v>
      </c>
      <c r="AL148" s="93">
        <f t="shared" si="110"/>
        <v>0</v>
      </c>
      <c r="AM148" s="92">
        <f t="shared" si="111"/>
        <v>0</v>
      </c>
      <c r="AN148" s="1" t="str">
        <f t="shared" si="33"/>
        <v xml:space="preserve"> </v>
      </c>
      <c r="AO148" s="1" t="str">
        <f t="shared" si="34"/>
        <v xml:space="preserve"> </v>
      </c>
      <c r="AP148" s="1" t="str">
        <f t="shared" si="35"/>
        <v xml:space="preserve"> </v>
      </c>
      <c r="AQ148" s="1" t="str">
        <f t="shared" si="96"/>
        <v xml:space="preserve"> </v>
      </c>
      <c r="AR148" s="1" t="str">
        <f t="shared" si="37"/>
        <v xml:space="preserve"> </v>
      </c>
      <c r="AS148" s="1" t="str">
        <f t="shared" si="38"/>
        <v xml:space="preserve"> </v>
      </c>
      <c r="AT148" s="1" t="str">
        <f t="shared" si="39"/>
        <v xml:space="preserve"> </v>
      </c>
      <c r="AU148" s="103" t="str">
        <f t="shared" si="40"/>
        <v xml:space="preserve"> </v>
      </c>
      <c r="AV148" s="111">
        <f t="shared" si="112"/>
        <v>0</v>
      </c>
      <c r="AW148" s="4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6"/>
      <c r="DM148" s="111">
        <f t="shared" si="113"/>
        <v>0</v>
      </c>
      <c r="DN148" s="4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6"/>
      <c r="GD148" s="111">
        <f t="shared" si="114"/>
        <v>0</v>
      </c>
      <c r="GE148" s="4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6"/>
      <c r="IU148" s="111">
        <f t="shared" si="115"/>
        <v>0</v>
      </c>
      <c r="IV148" s="4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6"/>
      <c r="LL148" s="111">
        <f t="shared" si="116"/>
        <v>0</v>
      </c>
      <c r="LM148" s="4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6"/>
      <c r="OC148" s="111">
        <f t="shared" si="117"/>
        <v>0</v>
      </c>
      <c r="OD148" s="4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6"/>
      <c r="QT148" s="111">
        <f t="shared" si="118"/>
        <v>0</v>
      </c>
      <c r="QU148" s="4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6"/>
      <c r="TK148" s="111">
        <f t="shared" si="119"/>
        <v>0</v>
      </c>
      <c r="TL148" s="4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6"/>
    </row>
    <row r="149" spans="1:599" ht="14.25" customHeight="1" x14ac:dyDescent="0.3">
      <c r="A149" s="41"/>
      <c r="B149" s="39"/>
      <c r="C149" s="40"/>
      <c r="D149" s="40"/>
      <c r="E149" s="81"/>
      <c r="F149" s="81"/>
      <c r="G149" s="81"/>
      <c r="H149" s="81"/>
      <c r="I149" s="81"/>
      <c r="J149" s="81"/>
      <c r="K149" s="81"/>
      <c r="L149" s="81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89" t="str">
        <f t="shared" si="97"/>
        <v/>
      </c>
      <c r="Z149" s="89" t="str">
        <f t="shared" si="98"/>
        <v/>
      </c>
      <c r="AA149" s="89">
        <f t="shared" si="99"/>
        <v>0</v>
      </c>
      <c r="AB149" s="89">
        <f t="shared" si="100"/>
        <v>0</v>
      </c>
      <c r="AC149" s="90">
        <f t="shared" si="101"/>
        <v>0</v>
      </c>
      <c r="AD149" s="91">
        <f t="shared" si="102"/>
        <v>0</v>
      </c>
      <c r="AE149" s="93">
        <f t="shared" si="103"/>
        <v>0</v>
      </c>
      <c r="AF149" s="93">
        <f t="shared" si="104"/>
        <v>0</v>
      </c>
      <c r="AG149" s="93">
        <f t="shared" si="105"/>
        <v>0</v>
      </c>
      <c r="AH149" s="93">
        <f t="shared" si="106"/>
        <v>0</v>
      </c>
      <c r="AI149" s="93">
        <f t="shared" si="107"/>
        <v>0</v>
      </c>
      <c r="AJ149" s="93">
        <f t="shared" si="108"/>
        <v>0</v>
      </c>
      <c r="AK149" s="93">
        <f t="shared" si="109"/>
        <v>0</v>
      </c>
      <c r="AL149" s="93">
        <f t="shared" si="110"/>
        <v>0</v>
      </c>
      <c r="AM149" s="92">
        <f t="shared" si="111"/>
        <v>0</v>
      </c>
      <c r="AN149" s="1" t="str">
        <f t="shared" si="33"/>
        <v xml:space="preserve"> </v>
      </c>
      <c r="AO149" s="1" t="str">
        <f t="shared" si="34"/>
        <v xml:space="preserve"> </v>
      </c>
      <c r="AP149" s="1" t="str">
        <f t="shared" si="35"/>
        <v xml:space="preserve"> </v>
      </c>
      <c r="AQ149" s="1" t="str">
        <f t="shared" si="96"/>
        <v xml:space="preserve"> </v>
      </c>
      <c r="AR149" s="1" t="str">
        <f t="shared" si="37"/>
        <v xml:space="preserve"> </v>
      </c>
      <c r="AS149" s="1" t="str">
        <f t="shared" si="38"/>
        <v xml:space="preserve"> </v>
      </c>
      <c r="AT149" s="1" t="str">
        <f t="shared" si="39"/>
        <v xml:space="preserve"> </v>
      </c>
      <c r="AU149" s="103" t="str">
        <f t="shared" si="40"/>
        <v xml:space="preserve"> </v>
      </c>
      <c r="AV149" s="111">
        <f t="shared" si="112"/>
        <v>0</v>
      </c>
      <c r="AW149" s="4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6"/>
      <c r="DM149" s="111">
        <f t="shared" si="113"/>
        <v>0</v>
      </c>
      <c r="DN149" s="4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6"/>
      <c r="GD149" s="111">
        <f t="shared" si="114"/>
        <v>0</v>
      </c>
      <c r="GE149" s="4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6"/>
      <c r="IU149" s="111">
        <f t="shared" si="115"/>
        <v>0</v>
      </c>
      <c r="IV149" s="4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6"/>
      <c r="LL149" s="111">
        <f t="shared" si="116"/>
        <v>0</v>
      </c>
      <c r="LM149" s="4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6"/>
      <c r="OC149" s="111">
        <f t="shared" si="117"/>
        <v>0</v>
      </c>
      <c r="OD149" s="4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6"/>
      <c r="QT149" s="111">
        <f t="shared" si="118"/>
        <v>0</v>
      </c>
      <c r="QU149" s="4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6"/>
      <c r="TK149" s="111">
        <f t="shared" si="119"/>
        <v>0</v>
      </c>
      <c r="TL149" s="4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6"/>
    </row>
    <row r="150" spans="1:599" ht="14.25" customHeight="1" x14ac:dyDescent="0.3">
      <c r="A150" s="85"/>
      <c r="B150" s="39"/>
      <c r="C150" s="86"/>
      <c r="D150" s="86"/>
      <c r="E150" s="81"/>
      <c r="F150" s="81"/>
      <c r="G150" s="81"/>
      <c r="H150" s="81"/>
      <c r="I150" s="81"/>
      <c r="J150" s="81"/>
      <c r="K150" s="81"/>
      <c r="L150" s="81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89" t="str">
        <f t="shared" si="97"/>
        <v/>
      </c>
      <c r="Z150" s="89" t="str">
        <f t="shared" si="98"/>
        <v/>
      </c>
      <c r="AA150" s="89">
        <f t="shared" si="99"/>
        <v>0</v>
      </c>
      <c r="AB150" s="89">
        <f t="shared" si="100"/>
        <v>0</v>
      </c>
      <c r="AC150" s="90">
        <f t="shared" si="101"/>
        <v>0</v>
      </c>
      <c r="AD150" s="91">
        <f t="shared" si="102"/>
        <v>0</v>
      </c>
      <c r="AE150" s="93">
        <f t="shared" si="103"/>
        <v>0</v>
      </c>
      <c r="AF150" s="93">
        <f t="shared" si="104"/>
        <v>0</v>
      </c>
      <c r="AG150" s="93">
        <f t="shared" si="105"/>
        <v>0</v>
      </c>
      <c r="AH150" s="93">
        <f t="shared" si="106"/>
        <v>0</v>
      </c>
      <c r="AI150" s="93">
        <f t="shared" si="107"/>
        <v>0</v>
      </c>
      <c r="AJ150" s="93">
        <f t="shared" si="108"/>
        <v>0</v>
      </c>
      <c r="AK150" s="93">
        <f t="shared" si="109"/>
        <v>0</v>
      </c>
      <c r="AL150" s="93">
        <f t="shared" si="110"/>
        <v>0</v>
      </c>
      <c r="AM150" s="92">
        <f t="shared" si="111"/>
        <v>0</v>
      </c>
      <c r="AN150" s="1" t="str">
        <f t="shared" si="33"/>
        <v xml:space="preserve"> </v>
      </c>
      <c r="AO150" s="1" t="str">
        <f t="shared" si="34"/>
        <v xml:space="preserve"> </v>
      </c>
      <c r="AP150" s="1" t="str">
        <f t="shared" si="35"/>
        <v xml:space="preserve"> </v>
      </c>
      <c r="AQ150" s="1" t="str">
        <f t="shared" si="96"/>
        <v xml:space="preserve"> </v>
      </c>
      <c r="AR150" s="1" t="str">
        <f t="shared" si="37"/>
        <v xml:space="preserve"> </v>
      </c>
      <c r="AS150" s="1" t="str">
        <f t="shared" si="38"/>
        <v xml:space="preserve"> </v>
      </c>
      <c r="AT150" s="1" t="str">
        <f t="shared" si="39"/>
        <v xml:space="preserve"> </v>
      </c>
      <c r="AU150" s="103" t="str">
        <f t="shared" si="40"/>
        <v xml:space="preserve"> </v>
      </c>
      <c r="AV150" s="111">
        <f t="shared" si="112"/>
        <v>0</v>
      </c>
      <c r="AW150" s="4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6"/>
      <c r="DM150" s="111">
        <f t="shared" si="113"/>
        <v>0</v>
      </c>
      <c r="DN150" s="4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6"/>
      <c r="GD150" s="111">
        <f t="shared" si="114"/>
        <v>0</v>
      </c>
      <c r="GE150" s="4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6"/>
      <c r="IU150" s="111">
        <f t="shared" si="115"/>
        <v>0</v>
      </c>
      <c r="IV150" s="4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6"/>
      <c r="LL150" s="111">
        <f t="shared" si="116"/>
        <v>0</v>
      </c>
      <c r="LM150" s="4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6"/>
      <c r="OC150" s="111">
        <f t="shared" si="117"/>
        <v>0</v>
      </c>
      <c r="OD150" s="4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6"/>
      <c r="QT150" s="111">
        <f t="shared" si="118"/>
        <v>0</v>
      </c>
      <c r="QU150" s="4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6"/>
      <c r="TK150" s="111">
        <f t="shared" si="119"/>
        <v>0</v>
      </c>
      <c r="TL150" s="4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6"/>
    </row>
    <row r="151" spans="1:599" ht="14.25" customHeight="1" x14ac:dyDescent="0.3">
      <c r="A151" s="85"/>
      <c r="B151" s="39"/>
      <c r="C151" s="86"/>
      <c r="D151" s="86"/>
      <c r="E151" s="81"/>
      <c r="F151" s="81"/>
      <c r="G151" s="81"/>
      <c r="H151" s="81"/>
      <c r="I151" s="81"/>
      <c r="J151" s="81"/>
      <c r="K151" s="81"/>
      <c r="L151" s="8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89" t="str">
        <f t="shared" si="97"/>
        <v/>
      </c>
      <c r="Z151" s="89" t="str">
        <f t="shared" si="98"/>
        <v/>
      </c>
      <c r="AA151" s="89">
        <f t="shared" si="99"/>
        <v>0</v>
      </c>
      <c r="AB151" s="89">
        <f t="shared" si="100"/>
        <v>0</v>
      </c>
      <c r="AC151" s="90">
        <f t="shared" si="101"/>
        <v>0</v>
      </c>
      <c r="AD151" s="91">
        <f t="shared" si="102"/>
        <v>0</v>
      </c>
      <c r="AE151" s="93">
        <f t="shared" si="103"/>
        <v>0</v>
      </c>
      <c r="AF151" s="93">
        <f t="shared" si="104"/>
        <v>0</v>
      </c>
      <c r="AG151" s="93">
        <f t="shared" si="105"/>
        <v>0</v>
      </c>
      <c r="AH151" s="93">
        <f t="shared" si="106"/>
        <v>0</v>
      </c>
      <c r="AI151" s="93">
        <f t="shared" si="107"/>
        <v>0</v>
      </c>
      <c r="AJ151" s="93">
        <f t="shared" si="108"/>
        <v>0</v>
      </c>
      <c r="AK151" s="93">
        <f t="shared" si="109"/>
        <v>0</v>
      </c>
      <c r="AL151" s="93">
        <f t="shared" si="110"/>
        <v>0</v>
      </c>
      <c r="AM151" s="92">
        <f t="shared" si="111"/>
        <v>0</v>
      </c>
      <c r="AN151" s="1" t="str">
        <f t="shared" si="33"/>
        <v xml:space="preserve"> </v>
      </c>
      <c r="AO151" s="1" t="str">
        <f t="shared" si="34"/>
        <v xml:space="preserve"> </v>
      </c>
      <c r="AP151" s="1" t="str">
        <f t="shared" si="35"/>
        <v xml:space="preserve"> </v>
      </c>
      <c r="AQ151" s="1" t="str">
        <f t="shared" si="96"/>
        <v xml:space="preserve"> </v>
      </c>
      <c r="AR151" s="1" t="str">
        <f t="shared" si="37"/>
        <v xml:space="preserve"> </v>
      </c>
      <c r="AS151" s="1" t="str">
        <f t="shared" si="38"/>
        <v xml:space="preserve"> </v>
      </c>
      <c r="AT151" s="1" t="str">
        <f t="shared" si="39"/>
        <v xml:space="preserve"> </v>
      </c>
      <c r="AU151" s="103" t="str">
        <f t="shared" si="40"/>
        <v xml:space="preserve"> </v>
      </c>
      <c r="AV151" s="111">
        <f t="shared" si="112"/>
        <v>0</v>
      </c>
      <c r="AW151" s="4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6"/>
      <c r="DM151" s="111">
        <f t="shared" si="113"/>
        <v>0</v>
      </c>
      <c r="DN151" s="4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6"/>
      <c r="GD151" s="111">
        <f t="shared" si="114"/>
        <v>0</v>
      </c>
      <c r="GE151" s="4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6"/>
      <c r="IU151" s="111">
        <f t="shared" si="115"/>
        <v>0</v>
      </c>
      <c r="IV151" s="4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6"/>
      <c r="LL151" s="111">
        <f t="shared" si="116"/>
        <v>0</v>
      </c>
      <c r="LM151" s="4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6"/>
      <c r="OC151" s="111">
        <f t="shared" si="117"/>
        <v>0</v>
      </c>
      <c r="OD151" s="4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6"/>
      <c r="QT151" s="111">
        <f t="shared" si="118"/>
        <v>0</v>
      </c>
      <c r="QU151" s="4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6"/>
      <c r="TK151" s="111">
        <f t="shared" si="119"/>
        <v>0</v>
      </c>
      <c r="TL151" s="4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6"/>
    </row>
    <row r="152" spans="1:599" ht="14.25" customHeight="1" x14ac:dyDescent="0.3">
      <c r="A152" s="85"/>
      <c r="B152" s="39"/>
      <c r="C152" s="86"/>
      <c r="D152" s="86"/>
      <c r="E152" s="81"/>
      <c r="F152" s="81"/>
      <c r="G152" s="81"/>
      <c r="H152" s="81"/>
      <c r="I152" s="81"/>
      <c r="J152" s="81"/>
      <c r="K152" s="81"/>
      <c r="L152" s="81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89" t="str">
        <f t="shared" si="97"/>
        <v/>
      </c>
      <c r="Z152" s="89" t="str">
        <f t="shared" si="98"/>
        <v/>
      </c>
      <c r="AA152" s="89">
        <f t="shared" si="99"/>
        <v>0</v>
      </c>
      <c r="AB152" s="89">
        <f t="shared" si="100"/>
        <v>0</v>
      </c>
      <c r="AC152" s="90">
        <f t="shared" si="101"/>
        <v>0</v>
      </c>
      <c r="AD152" s="91">
        <f t="shared" si="102"/>
        <v>0</v>
      </c>
      <c r="AE152" s="93">
        <f t="shared" si="103"/>
        <v>0</v>
      </c>
      <c r="AF152" s="93">
        <f t="shared" si="104"/>
        <v>0</v>
      </c>
      <c r="AG152" s="93">
        <f t="shared" si="105"/>
        <v>0</v>
      </c>
      <c r="AH152" s="93">
        <f t="shared" si="106"/>
        <v>0</v>
      </c>
      <c r="AI152" s="93">
        <f t="shared" si="107"/>
        <v>0</v>
      </c>
      <c r="AJ152" s="93">
        <f t="shared" si="108"/>
        <v>0</v>
      </c>
      <c r="AK152" s="93">
        <f t="shared" si="109"/>
        <v>0</v>
      </c>
      <c r="AL152" s="93">
        <f t="shared" si="110"/>
        <v>0</v>
      </c>
      <c r="AM152" s="92">
        <f t="shared" si="111"/>
        <v>0</v>
      </c>
      <c r="AN152" s="1" t="str">
        <f t="shared" si="33"/>
        <v xml:space="preserve"> </v>
      </c>
      <c r="AO152" s="1" t="str">
        <f t="shared" si="34"/>
        <v xml:space="preserve"> </v>
      </c>
      <c r="AP152" s="1" t="str">
        <f t="shared" si="35"/>
        <v xml:space="preserve"> </v>
      </c>
      <c r="AQ152" s="1" t="str">
        <f t="shared" si="96"/>
        <v xml:space="preserve"> </v>
      </c>
      <c r="AR152" s="1" t="str">
        <f t="shared" si="37"/>
        <v xml:space="preserve"> </v>
      </c>
      <c r="AS152" s="1" t="str">
        <f t="shared" si="38"/>
        <v xml:space="preserve"> </v>
      </c>
      <c r="AT152" s="1" t="str">
        <f t="shared" si="39"/>
        <v xml:space="preserve"> </v>
      </c>
      <c r="AU152" s="103" t="str">
        <f t="shared" si="40"/>
        <v xml:space="preserve"> </v>
      </c>
      <c r="AV152" s="111">
        <f t="shared" si="112"/>
        <v>0</v>
      </c>
      <c r="AW152" s="4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6"/>
      <c r="DM152" s="111">
        <f t="shared" si="113"/>
        <v>0</v>
      </c>
      <c r="DN152" s="4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6"/>
      <c r="GD152" s="111">
        <f t="shared" si="114"/>
        <v>0</v>
      </c>
      <c r="GE152" s="4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6"/>
      <c r="IU152" s="111">
        <f t="shared" si="115"/>
        <v>0</v>
      </c>
      <c r="IV152" s="4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6"/>
      <c r="LL152" s="111">
        <f t="shared" si="116"/>
        <v>0</v>
      </c>
      <c r="LM152" s="4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6"/>
      <c r="OC152" s="111">
        <f t="shared" si="117"/>
        <v>0</v>
      </c>
      <c r="OD152" s="4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6"/>
      <c r="QT152" s="111">
        <f t="shared" si="118"/>
        <v>0</v>
      </c>
      <c r="QU152" s="4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6"/>
      <c r="TK152" s="111">
        <f t="shared" si="119"/>
        <v>0</v>
      </c>
      <c r="TL152" s="4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6"/>
    </row>
    <row r="153" spans="1:599" ht="14.25" customHeight="1" x14ac:dyDescent="0.3">
      <c r="A153" s="41"/>
      <c r="B153" s="39"/>
      <c r="C153" s="40"/>
      <c r="D153" s="40"/>
      <c r="E153" s="81"/>
      <c r="F153" s="81"/>
      <c r="G153" s="81"/>
      <c r="H153" s="81"/>
      <c r="I153" s="81"/>
      <c r="J153" s="81"/>
      <c r="K153" s="81"/>
      <c r="L153" s="81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89" t="str">
        <f t="shared" si="97"/>
        <v/>
      </c>
      <c r="Z153" s="89" t="str">
        <f t="shared" si="98"/>
        <v/>
      </c>
      <c r="AA153" s="89">
        <f t="shared" si="99"/>
        <v>0</v>
      </c>
      <c r="AB153" s="89">
        <f t="shared" si="100"/>
        <v>0</v>
      </c>
      <c r="AC153" s="90">
        <f t="shared" si="101"/>
        <v>0</v>
      </c>
      <c r="AD153" s="91">
        <f t="shared" si="102"/>
        <v>0</v>
      </c>
      <c r="AE153" s="93">
        <f t="shared" si="103"/>
        <v>0</v>
      </c>
      <c r="AF153" s="93">
        <f t="shared" si="104"/>
        <v>0</v>
      </c>
      <c r="AG153" s="93">
        <f t="shared" si="105"/>
        <v>0</v>
      </c>
      <c r="AH153" s="93">
        <f t="shared" si="106"/>
        <v>0</v>
      </c>
      <c r="AI153" s="93">
        <f t="shared" si="107"/>
        <v>0</v>
      </c>
      <c r="AJ153" s="93">
        <f t="shared" si="108"/>
        <v>0</v>
      </c>
      <c r="AK153" s="93">
        <f t="shared" si="109"/>
        <v>0</v>
      </c>
      <c r="AL153" s="93">
        <f t="shared" si="110"/>
        <v>0</v>
      </c>
      <c r="AM153" s="92">
        <f t="shared" si="111"/>
        <v>0</v>
      </c>
      <c r="AN153" s="1" t="str">
        <f t="shared" si="33"/>
        <v xml:space="preserve"> </v>
      </c>
      <c r="AO153" s="1" t="str">
        <f t="shared" si="34"/>
        <v xml:space="preserve"> </v>
      </c>
      <c r="AP153" s="1" t="str">
        <f t="shared" si="35"/>
        <v xml:space="preserve"> </v>
      </c>
      <c r="AQ153" s="1" t="str">
        <f t="shared" si="96"/>
        <v xml:space="preserve"> </v>
      </c>
      <c r="AR153" s="1" t="str">
        <f t="shared" si="37"/>
        <v xml:space="preserve"> </v>
      </c>
      <c r="AS153" s="1" t="str">
        <f t="shared" si="38"/>
        <v xml:space="preserve"> </v>
      </c>
      <c r="AT153" s="1" t="str">
        <f t="shared" si="39"/>
        <v xml:space="preserve"> </v>
      </c>
      <c r="AU153" s="103" t="str">
        <f t="shared" si="40"/>
        <v xml:space="preserve"> </v>
      </c>
      <c r="AV153" s="111">
        <f t="shared" si="112"/>
        <v>0</v>
      </c>
      <c r="AW153" s="4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6"/>
      <c r="DM153" s="111">
        <f t="shared" si="113"/>
        <v>0</v>
      </c>
      <c r="DN153" s="4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6"/>
      <c r="GD153" s="111">
        <f t="shared" si="114"/>
        <v>0</v>
      </c>
      <c r="GE153" s="4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6"/>
      <c r="IU153" s="111">
        <f t="shared" si="115"/>
        <v>0</v>
      </c>
      <c r="IV153" s="4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6"/>
      <c r="LL153" s="111">
        <f t="shared" si="116"/>
        <v>0</v>
      </c>
      <c r="LM153" s="4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6"/>
      <c r="OC153" s="111">
        <f t="shared" si="117"/>
        <v>0</v>
      </c>
      <c r="OD153" s="4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6"/>
      <c r="QT153" s="111">
        <f t="shared" si="118"/>
        <v>0</v>
      </c>
      <c r="QU153" s="4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6"/>
      <c r="TK153" s="111">
        <f t="shared" si="119"/>
        <v>0</v>
      </c>
      <c r="TL153" s="4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6"/>
    </row>
    <row r="154" spans="1:599" ht="14.25" customHeight="1" x14ac:dyDescent="0.3">
      <c r="A154" s="85"/>
      <c r="B154" s="39"/>
      <c r="C154" s="86"/>
      <c r="D154" s="86"/>
      <c r="E154" s="81"/>
      <c r="F154" s="81"/>
      <c r="G154" s="81"/>
      <c r="H154" s="81"/>
      <c r="I154" s="81"/>
      <c r="J154" s="81"/>
      <c r="K154" s="81"/>
      <c r="L154" s="81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89" t="str">
        <f t="shared" si="97"/>
        <v/>
      </c>
      <c r="Z154" s="89" t="str">
        <f t="shared" si="98"/>
        <v/>
      </c>
      <c r="AA154" s="89">
        <f t="shared" si="99"/>
        <v>0</v>
      </c>
      <c r="AB154" s="89">
        <f t="shared" si="100"/>
        <v>0</v>
      </c>
      <c r="AC154" s="90">
        <f t="shared" si="101"/>
        <v>0</v>
      </c>
      <c r="AD154" s="91">
        <f t="shared" si="102"/>
        <v>0</v>
      </c>
      <c r="AE154" s="93">
        <f t="shared" si="103"/>
        <v>0</v>
      </c>
      <c r="AF154" s="93">
        <f t="shared" si="104"/>
        <v>0</v>
      </c>
      <c r="AG154" s="93">
        <f t="shared" si="105"/>
        <v>0</v>
      </c>
      <c r="AH154" s="93">
        <f t="shared" si="106"/>
        <v>0</v>
      </c>
      <c r="AI154" s="93">
        <f t="shared" si="107"/>
        <v>0</v>
      </c>
      <c r="AJ154" s="93">
        <f t="shared" si="108"/>
        <v>0</v>
      </c>
      <c r="AK154" s="93">
        <f t="shared" si="109"/>
        <v>0</v>
      </c>
      <c r="AL154" s="93">
        <f t="shared" si="110"/>
        <v>0</v>
      </c>
      <c r="AM154" s="92">
        <f t="shared" si="111"/>
        <v>0</v>
      </c>
      <c r="AN154" s="1" t="str">
        <f t="shared" si="33"/>
        <v xml:space="preserve"> </v>
      </c>
      <c r="AO154" s="1" t="str">
        <f t="shared" si="34"/>
        <v xml:space="preserve"> </v>
      </c>
      <c r="AP154" s="1" t="str">
        <f t="shared" si="35"/>
        <v xml:space="preserve"> </v>
      </c>
      <c r="AQ154" s="1" t="str">
        <f t="shared" si="96"/>
        <v xml:space="preserve"> </v>
      </c>
      <c r="AR154" s="1" t="str">
        <f t="shared" si="37"/>
        <v xml:space="preserve"> </v>
      </c>
      <c r="AS154" s="1" t="str">
        <f t="shared" si="38"/>
        <v xml:space="preserve"> </v>
      </c>
      <c r="AT154" s="1" t="str">
        <f t="shared" si="39"/>
        <v xml:space="preserve"> </v>
      </c>
      <c r="AU154" s="103" t="str">
        <f t="shared" si="40"/>
        <v xml:space="preserve"> </v>
      </c>
      <c r="AV154" s="111">
        <f t="shared" si="112"/>
        <v>0</v>
      </c>
      <c r="AW154" s="4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6"/>
      <c r="DM154" s="111">
        <f t="shared" si="113"/>
        <v>0</v>
      </c>
      <c r="DN154" s="4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6"/>
      <c r="GD154" s="111">
        <f t="shared" si="114"/>
        <v>0</v>
      </c>
      <c r="GE154" s="4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6"/>
      <c r="IU154" s="111">
        <f t="shared" si="115"/>
        <v>0</v>
      </c>
      <c r="IV154" s="4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6"/>
      <c r="LL154" s="111">
        <f t="shared" si="116"/>
        <v>0</v>
      </c>
      <c r="LM154" s="4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6"/>
      <c r="OC154" s="111">
        <f t="shared" si="117"/>
        <v>0</v>
      </c>
      <c r="OD154" s="4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6"/>
      <c r="QT154" s="111">
        <f t="shared" si="118"/>
        <v>0</v>
      </c>
      <c r="QU154" s="4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6"/>
      <c r="TK154" s="111">
        <f t="shared" si="119"/>
        <v>0</v>
      </c>
      <c r="TL154" s="4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6"/>
    </row>
    <row r="155" spans="1:599" ht="14.25" customHeight="1" x14ac:dyDescent="0.3">
      <c r="A155" s="85"/>
      <c r="B155" s="39"/>
      <c r="C155" s="86"/>
      <c r="D155" s="86"/>
      <c r="E155" s="81"/>
      <c r="F155" s="81"/>
      <c r="G155" s="81"/>
      <c r="H155" s="81"/>
      <c r="I155" s="81"/>
      <c r="J155" s="81"/>
      <c r="K155" s="81"/>
      <c r="L155" s="81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89" t="str">
        <f t="shared" si="97"/>
        <v/>
      </c>
      <c r="Z155" s="89" t="str">
        <f t="shared" si="98"/>
        <v/>
      </c>
      <c r="AA155" s="89">
        <f t="shared" si="99"/>
        <v>0</v>
      </c>
      <c r="AB155" s="89">
        <f t="shared" si="100"/>
        <v>0</v>
      </c>
      <c r="AC155" s="90">
        <f t="shared" si="101"/>
        <v>0</v>
      </c>
      <c r="AD155" s="91">
        <f t="shared" si="102"/>
        <v>0</v>
      </c>
      <c r="AE155" s="93">
        <f t="shared" si="103"/>
        <v>0</v>
      </c>
      <c r="AF155" s="93">
        <f t="shared" si="104"/>
        <v>0</v>
      </c>
      <c r="AG155" s="93">
        <f t="shared" si="105"/>
        <v>0</v>
      </c>
      <c r="AH155" s="93">
        <f t="shared" si="106"/>
        <v>0</v>
      </c>
      <c r="AI155" s="93">
        <f t="shared" si="107"/>
        <v>0</v>
      </c>
      <c r="AJ155" s="93">
        <f t="shared" si="108"/>
        <v>0</v>
      </c>
      <c r="AK155" s="93">
        <f t="shared" si="109"/>
        <v>0</v>
      </c>
      <c r="AL155" s="93">
        <f t="shared" si="110"/>
        <v>0</v>
      </c>
      <c r="AM155" s="92">
        <f t="shared" si="111"/>
        <v>0</v>
      </c>
      <c r="AN155" s="1" t="str">
        <f t="shared" si="33"/>
        <v xml:space="preserve"> </v>
      </c>
      <c r="AO155" s="1" t="str">
        <f t="shared" si="34"/>
        <v xml:space="preserve"> </v>
      </c>
      <c r="AP155" s="1" t="str">
        <f t="shared" si="35"/>
        <v xml:space="preserve"> </v>
      </c>
      <c r="AQ155" s="1" t="str">
        <f t="shared" si="96"/>
        <v xml:space="preserve"> </v>
      </c>
      <c r="AR155" s="1" t="str">
        <f t="shared" si="37"/>
        <v xml:space="preserve"> </v>
      </c>
      <c r="AS155" s="1" t="str">
        <f t="shared" si="38"/>
        <v xml:space="preserve"> </v>
      </c>
      <c r="AT155" s="1" t="str">
        <f t="shared" si="39"/>
        <v xml:space="preserve"> </v>
      </c>
      <c r="AU155" s="103" t="str">
        <f t="shared" si="40"/>
        <v xml:space="preserve"> </v>
      </c>
      <c r="AV155" s="111">
        <f t="shared" si="112"/>
        <v>0</v>
      </c>
      <c r="AW155" s="4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6"/>
      <c r="DM155" s="111">
        <f t="shared" si="113"/>
        <v>0</v>
      </c>
      <c r="DN155" s="4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6"/>
      <c r="GD155" s="111">
        <f t="shared" si="114"/>
        <v>0</v>
      </c>
      <c r="GE155" s="4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6"/>
      <c r="IU155" s="111">
        <f t="shared" si="115"/>
        <v>0</v>
      </c>
      <c r="IV155" s="4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6"/>
      <c r="LL155" s="111">
        <f t="shared" si="116"/>
        <v>0</v>
      </c>
      <c r="LM155" s="4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6"/>
      <c r="OC155" s="111">
        <f t="shared" si="117"/>
        <v>0</v>
      </c>
      <c r="OD155" s="4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6"/>
      <c r="QT155" s="111">
        <f t="shared" si="118"/>
        <v>0</v>
      </c>
      <c r="QU155" s="4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6"/>
      <c r="TK155" s="111">
        <f t="shared" si="119"/>
        <v>0</v>
      </c>
      <c r="TL155" s="4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6"/>
    </row>
    <row r="156" spans="1:599" ht="14.25" customHeight="1" x14ac:dyDescent="0.3">
      <c r="A156" s="85"/>
      <c r="B156" s="39"/>
      <c r="C156" s="86"/>
      <c r="D156" s="86"/>
      <c r="E156" s="81"/>
      <c r="F156" s="81"/>
      <c r="G156" s="81"/>
      <c r="H156" s="81"/>
      <c r="I156" s="81"/>
      <c r="J156" s="81"/>
      <c r="K156" s="81"/>
      <c r="L156" s="81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89" t="str">
        <f t="shared" si="97"/>
        <v/>
      </c>
      <c r="Z156" s="89" t="str">
        <f t="shared" si="98"/>
        <v/>
      </c>
      <c r="AA156" s="89">
        <f t="shared" si="99"/>
        <v>0</v>
      </c>
      <c r="AB156" s="89">
        <f t="shared" si="100"/>
        <v>0</v>
      </c>
      <c r="AC156" s="90">
        <f t="shared" si="101"/>
        <v>0</v>
      </c>
      <c r="AD156" s="91">
        <f t="shared" si="102"/>
        <v>0</v>
      </c>
      <c r="AE156" s="93">
        <f t="shared" si="103"/>
        <v>0</v>
      </c>
      <c r="AF156" s="93">
        <f t="shared" si="104"/>
        <v>0</v>
      </c>
      <c r="AG156" s="93">
        <f t="shared" si="105"/>
        <v>0</v>
      </c>
      <c r="AH156" s="93">
        <f t="shared" si="106"/>
        <v>0</v>
      </c>
      <c r="AI156" s="93">
        <f t="shared" si="107"/>
        <v>0</v>
      </c>
      <c r="AJ156" s="93">
        <f t="shared" si="108"/>
        <v>0</v>
      </c>
      <c r="AK156" s="93">
        <f t="shared" si="109"/>
        <v>0</v>
      </c>
      <c r="AL156" s="93">
        <f t="shared" si="110"/>
        <v>0</v>
      </c>
      <c r="AM156" s="92">
        <f t="shared" si="111"/>
        <v>0</v>
      </c>
      <c r="AN156" s="1" t="str">
        <f t="shared" si="33"/>
        <v xml:space="preserve"> </v>
      </c>
      <c r="AO156" s="1" t="str">
        <f t="shared" si="34"/>
        <v xml:space="preserve"> </v>
      </c>
      <c r="AP156" s="1" t="str">
        <f t="shared" si="35"/>
        <v xml:space="preserve"> </v>
      </c>
      <c r="AQ156" s="1" t="str">
        <f t="shared" si="96"/>
        <v xml:space="preserve"> </v>
      </c>
      <c r="AR156" s="1" t="str">
        <f t="shared" si="37"/>
        <v xml:space="preserve"> </v>
      </c>
      <c r="AS156" s="1" t="str">
        <f t="shared" si="38"/>
        <v xml:space="preserve"> </v>
      </c>
      <c r="AT156" s="1" t="str">
        <f t="shared" si="39"/>
        <v xml:space="preserve"> </v>
      </c>
      <c r="AU156" s="103" t="str">
        <f t="shared" si="40"/>
        <v xml:space="preserve"> </v>
      </c>
      <c r="AV156" s="111">
        <f t="shared" si="112"/>
        <v>0</v>
      </c>
      <c r="AW156" s="4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6"/>
      <c r="DM156" s="111">
        <f t="shared" si="113"/>
        <v>0</v>
      </c>
      <c r="DN156" s="4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6"/>
      <c r="GD156" s="111">
        <f t="shared" si="114"/>
        <v>0</v>
      </c>
      <c r="GE156" s="4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6"/>
      <c r="IU156" s="111">
        <f t="shared" si="115"/>
        <v>0</v>
      </c>
      <c r="IV156" s="4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6"/>
      <c r="LL156" s="111">
        <f t="shared" si="116"/>
        <v>0</v>
      </c>
      <c r="LM156" s="4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6"/>
      <c r="OC156" s="111">
        <f t="shared" si="117"/>
        <v>0</v>
      </c>
      <c r="OD156" s="4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6"/>
      <c r="QT156" s="111">
        <f t="shared" si="118"/>
        <v>0</v>
      </c>
      <c r="QU156" s="4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6"/>
      <c r="TK156" s="111">
        <f t="shared" si="119"/>
        <v>0</v>
      </c>
      <c r="TL156" s="4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6"/>
    </row>
    <row r="157" spans="1:599" ht="14.25" customHeight="1" x14ac:dyDescent="0.3">
      <c r="A157" s="41"/>
      <c r="B157" s="39"/>
      <c r="C157" s="40"/>
      <c r="D157" s="40"/>
      <c r="E157" s="81"/>
      <c r="F157" s="81"/>
      <c r="G157" s="81"/>
      <c r="H157" s="81"/>
      <c r="I157" s="81"/>
      <c r="J157" s="81"/>
      <c r="K157" s="81"/>
      <c r="L157" s="81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89" t="str">
        <f t="shared" si="97"/>
        <v/>
      </c>
      <c r="Z157" s="89" t="str">
        <f t="shared" si="98"/>
        <v/>
      </c>
      <c r="AA157" s="89">
        <f t="shared" si="99"/>
        <v>0</v>
      </c>
      <c r="AB157" s="89">
        <f t="shared" si="100"/>
        <v>0</v>
      </c>
      <c r="AC157" s="90">
        <f t="shared" si="101"/>
        <v>0</v>
      </c>
      <c r="AD157" s="91">
        <f t="shared" si="102"/>
        <v>0</v>
      </c>
      <c r="AE157" s="93">
        <f t="shared" si="103"/>
        <v>0</v>
      </c>
      <c r="AF157" s="93">
        <f t="shared" si="104"/>
        <v>0</v>
      </c>
      <c r="AG157" s="93">
        <f t="shared" si="105"/>
        <v>0</v>
      </c>
      <c r="AH157" s="93">
        <f t="shared" si="106"/>
        <v>0</v>
      </c>
      <c r="AI157" s="93">
        <f t="shared" si="107"/>
        <v>0</v>
      </c>
      <c r="AJ157" s="93">
        <f t="shared" si="108"/>
        <v>0</v>
      </c>
      <c r="AK157" s="93">
        <f t="shared" si="109"/>
        <v>0</v>
      </c>
      <c r="AL157" s="93">
        <f t="shared" si="110"/>
        <v>0</v>
      </c>
      <c r="AM157" s="92">
        <f t="shared" si="111"/>
        <v>0</v>
      </c>
      <c r="AN157" s="1" t="str">
        <f t="shared" si="33"/>
        <v xml:space="preserve"> </v>
      </c>
      <c r="AO157" s="1" t="str">
        <f t="shared" si="34"/>
        <v xml:space="preserve"> </v>
      </c>
      <c r="AP157" s="1" t="str">
        <f t="shared" si="35"/>
        <v xml:space="preserve"> </v>
      </c>
      <c r="AQ157" s="1" t="str">
        <f t="shared" si="96"/>
        <v xml:space="preserve"> </v>
      </c>
      <c r="AR157" s="1" t="str">
        <f t="shared" si="37"/>
        <v xml:space="preserve"> </v>
      </c>
      <c r="AS157" s="1" t="str">
        <f t="shared" si="38"/>
        <v xml:space="preserve"> </v>
      </c>
      <c r="AT157" s="1" t="str">
        <f t="shared" si="39"/>
        <v xml:space="preserve"> </v>
      </c>
      <c r="AU157" s="103" t="str">
        <f t="shared" si="40"/>
        <v xml:space="preserve"> </v>
      </c>
      <c r="AV157" s="111">
        <f t="shared" si="112"/>
        <v>0</v>
      </c>
      <c r="AW157" s="4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6"/>
      <c r="DM157" s="111">
        <f t="shared" si="113"/>
        <v>0</v>
      </c>
      <c r="DN157" s="4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6"/>
      <c r="GD157" s="111">
        <f t="shared" si="114"/>
        <v>0</v>
      </c>
      <c r="GE157" s="4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6"/>
      <c r="IU157" s="111">
        <f t="shared" si="115"/>
        <v>0</v>
      </c>
      <c r="IV157" s="4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6"/>
      <c r="LL157" s="111">
        <f t="shared" si="116"/>
        <v>0</v>
      </c>
      <c r="LM157" s="4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6"/>
      <c r="OC157" s="111">
        <f t="shared" si="117"/>
        <v>0</v>
      </c>
      <c r="OD157" s="4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6"/>
      <c r="QT157" s="111">
        <f t="shared" si="118"/>
        <v>0</v>
      </c>
      <c r="QU157" s="4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6"/>
      <c r="TK157" s="111">
        <f t="shared" si="119"/>
        <v>0</v>
      </c>
      <c r="TL157" s="4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6"/>
    </row>
    <row r="158" spans="1:599" ht="14.25" customHeight="1" x14ac:dyDescent="0.3">
      <c r="A158" s="85"/>
      <c r="B158" s="39"/>
      <c r="C158" s="86"/>
      <c r="D158" s="86"/>
      <c r="E158" s="81"/>
      <c r="F158" s="81"/>
      <c r="G158" s="81"/>
      <c r="H158" s="81"/>
      <c r="I158" s="81"/>
      <c r="J158" s="81"/>
      <c r="K158" s="81"/>
      <c r="L158" s="81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89" t="str">
        <f t="shared" si="97"/>
        <v/>
      </c>
      <c r="Z158" s="89" t="str">
        <f t="shared" si="98"/>
        <v/>
      </c>
      <c r="AA158" s="89">
        <f t="shared" si="99"/>
        <v>0</v>
      </c>
      <c r="AB158" s="89">
        <f t="shared" si="100"/>
        <v>0</v>
      </c>
      <c r="AC158" s="90">
        <f t="shared" si="101"/>
        <v>0</v>
      </c>
      <c r="AD158" s="91">
        <f t="shared" si="102"/>
        <v>0</v>
      </c>
      <c r="AE158" s="93">
        <f t="shared" si="103"/>
        <v>0</v>
      </c>
      <c r="AF158" s="93">
        <f t="shared" si="104"/>
        <v>0</v>
      </c>
      <c r="AG158" s="93">
        <f t="shared" si="105"/>
        <v>0</v>
      </c>
      <c r="AH158" s="93">
        <f t="shared" si="106"/>
        <v>0</v>
      </c>
      <c r="AI158" s="93">
        <f t="shared" si="107"/>
        <v>0</v>
      </c>
      <c r="AJ158" s="93">
        <f t="shared" si="108"/>
        <v>0</v>
      </c>
      <c r="AK158" s="93">
        <f t="shared" si="109"/>
        <v>0</v>
      </c>
      <c r="AL158" s="93">
        <f t="shared" si="110"/>
        <v>0</v>
      </c>
      <c r="AM158" s="92">
        <f t="shared" si="111"/>
        <v>0</v>
      </c>
      <c r="AN158" s="1" t="str">
        <f t="shared" si="33"/>
        <v xml:space="preserve"> </v>
      </c>
      <c r="AO158" s="1" t="str">
        <f t="shared" si="34"/>
        <v xml:space="preserve"> </v>
      </c>
      <c r="AP158" s="1" t="str">
        <f t="shared" si="35"/>
        <v xml:space="preserve"> </v>
      </c>
      <c r="AQ158" s="1" t="str">
        <f t="shared" si="96"/>
        <v xml:space="preserve"> </v>
      </c>
      <c r="AR158" s="1" t="str">
        <f t="shared" si="37"/>
        <v xml:space="preserve"> </v>
      </c>
      <c r="AS158" s="1" t="str">
        <f t="shared" si="38"/>
        <v xml:space="preserve"> </v>
      </c>
      <c r="AT158" s="1" t="str">
        <f t="shared" si="39"/>
        <v xml:space="preserve"> </v>
      </c>
      <c r="AU158" s="103" t="str">
        <f t="shared" si="40"/>
        <v xml:space="preserve"> </v>
      </c>
      <c r="AV158" s="111">
        <f t="shared" si="112"/>
        <v>0</v>
      </c>
      <c r="AW158" s="4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6"/>
      <c r="DM158" s="111">
        <f t="shared" si="113"/>
        <v>0</v>
      </c>
      <c r="DN158" s="4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6"/>
      <c r="GD158" s="111">
        <f t="shared" si="114"/>
        <v>0</v>
      </c>
      <c r="GE158" s="4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6"/>
      <c r="IU158" s="111">
        <f t="shared" si="115"/>
        <v>0</v>
      </c>
      <c r="IV158" s="4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6"/>
      <c r="LL158" s="111">
        <f t="shared" si="116"/>
        <v>0</v>
      </c>
      <c r="LM158" s="4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6"/>
      <c r="OC158" s="111">
        <f t="shared" si="117"/>
        <v>0</v>
      </c>
      <c r="OD158" s="4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6"/>
      <c r="QT158" s="111">
        <f t="shared" si="118"/>
        <v>0</v>
      </c>
      <c r="QU158" s="4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6"/>
      <c r="TK158" s="111">
        <f t="shared" si="119"/>
        <v>0</v>
      </c>
      <c r="TL158" s="4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6"/>
    </row>
    <row r="159" spans="1:599" ht="14.25" customHeight="1" x14ac:dyDescent="0.3">
      <c r="A159" s="85"/>
      <c r="B159" s="39"/>
      <c r="C159" s="86"/>
      <c r="D159" s="86"/>
      <c r="E159" s="81"/>
      <c r="F159" s="81"/>
      <c r="G159" s="81"/>
      <c r="H159" s="81"/>
      <c r="I159" s="81"/>
      <c r="J159" s="81"/>
      <c r="K159" s="81"/>
      <c r="L159" s="81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89" t="str">
        <f t="shared" si="97"/>
        <v/>
      </c>
      <c r="Z159" s="89" t="str">
        <f t="shared" si="98"/>
        <v/>
      </c>
      <c r="AA159" s="89">
        <f t="shared" si="99"/>
        <v>0</v>
      </c>
      <c r="AB159" s="89">
        <f t="shared" si="100"/>
        <v>0</v>
      </c>
      <c r="AC159" s="90">
        <f t="shared" si="101"/>
        <v>0</v>
      </c>
      <c r="AD159" s="91">
        <f t="shared" si="102"/>
        <v>0</v>
      </c>
      <c r="AE159" s="93">
        <f t="shared" si="103"/>
        <v>0</v>
      </c>
      <c r="AF159" s="93">
        <f t="shared" si="104"/>
        <v>0</v>
      </c>
      <c r="AG159" s="93">
        <f t="shared" si="105"/>
        <v>0</v>
      </c>
      <c r="AH159" s="93">
        <f t="shared" si="106"/>
        <v>0</v>
      </c>
      <c r="AI159" s="93">
        <f t="shared" si="107"/>
        <v>0</v>
      </c>
      <c r="AJ159" s="93">
        <f t="shared" si="108"/>
        <v>0</v>
      </c>
      <c r="AK159" s="93">
        <f t="shared" si="109"/>
        <v>0</v>
      </c>
      <c r="AL159" s="93">
        <f t="shared" si="110"/>
        <v>0</v>
      </c>
      <c r="AM159" s="92">
        <f t="shared" si="111"/>
        <v>0</v>
      </c>
      <c r="AN159" s="1" t="str">
        <f t="shared" si="33"/>
        <v xml:space="preserve"> </v>
      </c>
      <c r="AO159" s="1" t="str">
        <f t="shared" si="34"/>
        <v xml:space="preserve"> </v>
      </c>
      <c r="AP159" s="1" t="str">
        <f t="shared" si="35"/>
        <v xml:space="preserve"> </v>
      </c>
      <c r="AQ159" s="1" t="str">
        <f t="shared" si="96"/>
        <v xml:space="preserve"> </v>
      </c>
      <c r="AR159" s="1" t="str">
        <f t="shared" si="37"/>
        <v xml:space="preserve"> </v>
      </c>
      <c r="AS159" s="1" t="str">
        <f t="shared" si="38"/>
        <v xml:space="preserve"> </v>
      </c>
      <c r="AT159" s="1" t="str">
        <f t="shared" si="39"/>
        <v xml:space="preserve"> </v>
      </c>
      <c r="AU159" s="103" t="str">
        <f t="shared" si="40"/>
        <v xml:space="preserve"> </v>
      </c>
      <c r="AV159" s="111">
        <f t="shared" si="112"/>
        <v>0</v>
      </c>
      <c r="AW159" s="4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6"/>
      <c r="DM159" s="111">
        <f t="shared" si="113"/>
        <v>0</v>
      </c>
      <c r="DN159" s="4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6"/>
      <c r="GD159" s="111">
        <f t="shared" si="114"/>
        <v>0</v>
      </c>
      <c r="GE159" s="4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6"/>
      <c r="IU159" s="111">
        <f t="shared" si="115"/>
        <v>0</v>
      </c>
      <c r="IV159" s="4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6"/>
      <c r="LL159" s="111">
        <f t="shared" si="116"/>
        <v>0</v>
      </c>
      <c r="LM159" s="4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6"/>
      <c r="OC159" s="111">
        <f t="shared" si="117"/>
        <v>0</v>
      </c>
      <c r="OD159" s="4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6"/>
      <c r="QT159" s="111">
        <f t="shared" si="118"/>
        <v>0</v>
      </c>
      <c r="QU159" s="4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6"/>
      <c r="TK159" s="111">
        <f t="shared" si="119"/>
        <v>0</v>
      </c>
      <c r="TL159" s="4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6"/>
    </row>
    <row r="160" spans="1:599" ht="14.25" customHeight="1" x14ac:dyDescent="0.3">
      <c r="A160" s="41"/>
      <c r="B160" s="39"/>
      <c r="C160" s="40"/>
      <c r="D160" s="40"/>
      <c r="E160" s="81"/>
      <c r="F160" s="81"/>
      <c r="G160" s="81"/>
      <c r="H160" s="81"/>
      <c r="I160" s="81"/>
      <c r="J160" s="81"/>
      <c r="K160" s="81"/>
      <c r="L160" s="81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89" t="str">
        <f t="shared" si="97"/>
        <v/>
      </c>
      <c r="Z160" s="89" t="str">
        <f t="shared" si="98"/>
        <v/>
      </c>
      <c r="AA160" s="89">
        <f t="shared" si="99"/>
        <v>0</v>
      </c>
      <c r="AB160" s="89">
        <f t="shared" si="100"/>
        <v>0</v>
      </c>
      <c r="AC160" s="90">
        <f t="shared" si="101"/>
        <v>0</v>
      </c>
      <c r="AD160" s="91">
        <f t="shared" si="102"/>
        <v>0</v>
      </c>
      <c r="AE160" s="93">
        <f t="shared" si="103"/>
        <v>0</v>
      </c>
      <c r="AF160" s="93">
        <f t="shared" si="104"/>
        <v>0</v>
      </c>
      <c r="AG160" s="93">
        <f t="shared" si="105"/>
        <v>0</v>
      </c>
      <c r="AH160" s="93">
        <f t="shared" si="106"/>
        <v>0</v>
      </c>
      <c r="AI160" s="93">
        <f t="shared" si="107"/>
        <v>0</v>
      </c>
      <c r="AJ160" s="93">
        <f t="shared" si="108"/>
        <v>0</v>
      </c>
      <c r="AK160" s="93">
        <f t="shared" si="109"/>
        <v>0</v>
      </c>
      <c r="AL160" s="93">
        <f t="shared" si="110"/>
        <v>0</v>
      </c>
      <c r="AM160" s="92">
        <f t="shared" si="111"/>
        <v>0</v>
      </c>
      <c r="AN160" s="1" t="str">
        <f t="shared" si="33"/>
        <v xml:space="preserve"> </v>
      </c>
      <c r="AO160" s="1" t="str">
        <f t="shared" si="34"/>
        <v xml:space="preserve"> </v>
      </c>
      <c r="AP160" s="1" t="str">
        <f t="shared" si="35"/>
        <v xml:space="preserve"> </v>
      </c>
      <c r="AQ160" s="1" t="str">
        <f t="shared" si="96"/>
        <v xml:space="preserve"> </v>
      </c>
      <c r="AR160" s="1" t="str">
        <f t="shared" si="37"/>
        <v xml:space="preserve"> </v>
      </c>
      <c r="AS160" s="1" t="str">
        <f t="shared" si="38"/>
        <v xml:space="preserve"> </v>
      </c>
      <c r="AT160" s="1" t="str">
        <f t="shared" si="39"/>
        <v xml:space="preserve"> </v>
      </c>
      <c r="AU160" s="103" t="str">
        <f t="shared" si="40"/>
        <v xml:space="preserve"> </v>
      </c>
      <c r="AV160" s="111">
        <f t="shared" si="112"/>
        <v>0</v>
      </c>
      <c r="AW160" s="4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6"/>
      <c r="DM160" s="111">
        <f t="shared" si="113"/>
        <v>0</v>
      </c>
      <c r="DN160" s="4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6"/>
      <c r="GD160" s="111">
        <f t="shared" si="114"/>
        <v>0</v>
      </c>
      <c r="GE160" s="4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6"/>
      <c r="IU160" s="111">
        <f t="shared" si="115"/>
        <v>0</v>
      </c>
      <c r="IV160" s="4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6"/>
      <c r="LL160" s="111">
        <f t="shared" si="116"/>
        <v>0</v>
      </c>
      <c r="LM160" s="4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6"/>
      <c r="OC160" s="111">
        <f t="shared" si="117"/>
        <v>0</v>
      </c>
      <c r="OD160" s="4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6"/>
      <c r="QT160" s="111">
        <f t="shared" si="118"/>
        <v>0</v>
      </c>
      <c r="QU160" s="4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6"/>
      <c r="TK160" s="111">
        <f t="shared" si="119"/>
        <v>0</v>
      </c>
      <c r="TL160" s="4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6"/>
    </row>
    <row r="161" spans="1:599" ht="14.25" customHeight="1" x14ac:dyDescent="0.3">
      <c r="A161" s="85"/>
      <c r="B161" s="39"/>
      <c r="C161" s="86"/>
      <c r="D161" s="86"/>
      <c r="E161" s="81"/>
      <c r="F161" s="81"/>
      <c r="G161" s="81"/>
      <c r="H161" s="81"/>
      <c r="I161" s="81"/>
      <c r="J161" s="81"/>
      <c r="K161" s="81"/>
      <c r="L161" s="8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89" t="str">
        <f t="shared" si="97"/>
        <v/>
      </c>
      <c r="Z161" s="89" t="str">
        <f t="shared" si="98"/>
        <v/>
      </c>
      <c r="AA161" s="89">
        <f t="shared" si="99"/>
        <v>0</v>
      </c>
      <c r="AB161" s="89">
        <f t="shared" si="100"/>
        <v>0</v>
      </c>
      <c r="AC161" s="90">
        <f t="shared" si="101"/>
        <v>0</v>
      </c>
      <c r="AD161" s="91">
        <f t="shared" si="102"/>
        <v>0</v>
      </c>
      <c r="AE161" s="93">
        <f t="shared" si="103"/>
        <v>0</v>
      </c>
      <c r="AF161" s="93">
        <f t="shared" si="104"/>
        <v>0</v>
      </c>
      <c r="AG161" s="93">
        <f t="shared" si="105"/>
        <v>0</v>
      </c>
      <c r="AH161" s="93">
        <f t="shared" si="106"/>
        <v>0</v>
      </c>
      <c r="AI161" s="93">
        <f t="shared" si="107"/>
        <v>0</v>
      </c>
      <c r="AJ161" s="93">
        <f t="shared" si="108"/>
        <v>0</v>
      </c>
      <c r="AK161" s="93">
        <f t="shared" si="109"/>
        <v>0</v>
      </c>
      <c r="AL161" s="93">
        <f t="shared" si="110"/>
        <v>0</v>
      </c>
      <c r="AM161" s="92">
        <f t="shared" si="111"/>
        <v>0</v>
      </c>
      <c r="AN161" s="1" t="str">
        <f t="shared" si="33"/>
        <v xml:space="preserve"> </v>
      </c>
      <c r="AO161" s="1" t="str">
        <f t="shared" si="34"/>
        <v xml:space="preserve"> </v>
      </c>
      <c r="AP161" s="1" t="str">
        <f t="shared" si="35"/>
        <v xml:space="preserve"> </v>
      </c>
      <c r="AQ161" s="1" t="str">
        <f t="shared" si="96"/>
        <v xml:space="preserve"> </v>
      </c>
      <c r="AR161" s="1" t="str">
        <f t="shared" si="37"/>
        <v xml:space="preserve"> </v>
      </c>
      <c r="AS161" s="1" t="str">
        <f t="shared" si="38"/>
        <v xml:space="preserve"> </v>
      </c>
      <c r="AT161" s="1" t="str">
        <f t="shared" si="39"/>
        <v xml:space="preserve"> </v>
      </c>
      <c r="AU161" s="103" t="str">
        <f t="shared" si="40"/>
        <v xml:space="preserve"> </v>
      </c>
      <c r="AV161" s="111">
        <f t="shared" si="112"/>
        <v>0</v>
      </c>
      <c r="AW161" s="4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6"/>
      <c r="DM161" s="111">
        <f t="shared" si="113"/>
        <v>0</v>
      </c>
      <c r="DN161" s="4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6"/>
      <c r="GD161" s="111">
        <f t="shared" si="114"/>
        <v>0</v>
      </c>
      <c r="GE161" s="4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6"/>
      <c r="IU161" s="111">
        <f t="shared" si="115"/>
        <v>0</v>
      </c>
      <c r="IV161" s="4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6"/>
      <c r="LL161" s="111">
        <f t="shared" si="116"/>
        <v>0</v>
      </c>
      <c r="LM161" s="4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6"/>
      <c r="OC161" s="111">
        <f t="shared" si="117"/>
        <v>0</v>
      </c>
      <c r="OD161" s="4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6"/>
      <c r="QT161" s="111">
        <f t="shared" si="118"/>
        <v>0</v>
      </c>
      <c r="QU161" s="4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6"/>
      <c r="TK161" s="111">
        <f t="shared" si="119"/>
        <v>0</v>
      </c>
      <c r="TL161" s="4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6"/>
    </row>
    <row r="162" spans="1:599" ht="14.25" customHeight="1" x14ac:dyDescent="0.3">
      <c r="A162" s="85"/>
      <c r="B162" s="39"/>
      <c r="C162" s="86"/>
      <c r="D162" s="86"/>
      <c r="E162" s="81"/>
      <c r="F162" s="81"/>
      <c r="G162" s="81"/>
      <c r="H162" s="81"/>
      <c r="I162" s="81"/>
      <c r="J162" s="81"/>
      <c r="K162" s="81"/>
      <c r="L162" s="81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89" t="str">
        <f t="shared" si="97"/>
        <v/>
      </c>
      <c r="Z162" s="89" t="str">
        <f t="shared" si="98"/>
        <v/>
      </c>
      <c r="AA162" s="89">
        <f t="shared" si="99"/>
        <v>0</v>
      </c>
      <c r="AB162" s="89">
        <f t="shared" si="100"/>
        <v>0</v>
      </c>
      <c r="AC162" s="90">
        <f t="shared" si="101"/>
        <v>0</v>
      </c>
      <c r="AD162" s="91">
        <f t="shared" si="102"/>
        <v>0</v>
      </c>
      <c r="AE162" s="93">
        <f t="shared" si="103"/>
        <v>0</v>
      </c>
      <c r="AF162" s="93">
        <f t="shared" si="104"/>
        <v>0</v>
      </c>
      <c r="AG162" s="93">
        <f t="shared" si="105"/>
        <v>0</v>
      </c>
      <c r="AH162" s="93">
        <f t="shared" si="106"/>
        <v>0</v>
      </c>
      <c r="AI162" s="93">
        <f t="shared" si="107"/>
        <v>0</v>
      </c>
      <c r="AJ162" s="93">
        <f t="shared" si="108"/>
        <v>0</v>
      </c>
      <c r="AK162" s="93">
        <f t="shared" si="109"/>
        <v>0</v>
      </c>
      <c r="AL162" s="93">
        <f t="shared" si="110"/>
        <v>0</v>
      </c>
      <c r="AM162" s="92">
        <f t="shared" si="111"/>
        <v>0</v>
      </c>
      <c r="AN162" s="1" t="str">
        <f t="shared" si="33"/>
        <v xml:space="preserve"> </v>
      </c>
      <c r="AO162" s="1" t="str">
        <f t="shared" si="34"/>
        <v xml:space="preserve"> </v>
      </c>
      <c r="AP162" s="1" t="str">
        <f t="shared" si="35"/>
        <v xml:space="preserve"> </v>
      </c>
      <c r="AQ162" s="1" t="str">
        <f t="shared" si="96"/>
        <v xml:space="preserve"> </v>
      </c>
      <c r="AR162" s="1" t="str">
        <f t="shared" si="37"/>
        <v xml:space="preserve"> </v>
      </c>
      <c r="AS162" s="1" t="str">
        <f t="shared" si="38"/>
        <v xml:space="preserve"> </v>
      </c>
      <c r="AT162" s="1" t="str">
        <f t="shared" si="39"/>
        <v xml:space="preserve"> </v>
      </c>
      <c r="AU162" s="103" t="str">
        <f t="shared" si="40"/>
        <v xml:space="preserve"> </v>
      </c>
      <c r="AV162" s="111">
        <f t="shared" si="112"/>
        <v>0</v>
      </c>
      <c r="AW162" s="4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6"/>
      <c r="DM162" s="111">
        <f t="shared" si="113"/>
        <v>0</v>
      </c>
      <c r="DN162" s="4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6"/>
      <c r="GD162" s="111">
        <f t="shared" si="114"/>
        <v>0</v>
      </c>
      <c r="GE162" s="4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6"/>
      <c r="IU162" s="111">
        <f t="shared" si="115"/>
        <v>0</v>
      </c>
      <c r="IV162" s="4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6"/>
      <c r="LL162" s="111">
        <f t="shared" si="116"/>
        <v>0</v>
      </c>
      <c r="LM162" s="4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6"/>
      <c r="OC162" s="111">
        <f t="shared" si="117"/>
        <v>0</v>
      </c>
      <c r="OD162" s="4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6"/>
      <c r="QT162" s="111">
        <f t="shared" si="118"/>
        <v>0</v>
      </c>
      <c r="QU162" s="4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6"/>
      <c r="TK162" s="111">
        <f t="shared" si="119"/>
        <v>0</v>
      </c>
      <c r="TL162" s="4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6"/>
    </row>
    <row r="163" spans="1:599" ht="14.25" customHeight="1" x14ac:dyDescent="0.3">
      <c r="A163" s="41"/>
      <c r="B163" s="39"/>
      <c r="C163" s="40"/>
      <c r="D163" s="40"/>
      <c r="E163" s="81"/>
      <c r="F163" s="81"/>
      <c r="G163" s="81"/>
      <c r="H163" s="81"/>
      <c r="I163" s="81"/>
      <c r="J163" s="81"/>
      <c r="K163" s="81"/>
      <c r="L163" s="81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89" t="str">
        <f t="shared" si="97"/>
        <v/>
      </c>
      <c r="Z163" s="89" t="str">
        <f t="shared" si="98"/>
        <v/>
      </c>
      <c r="AA163" s="89">
        <f t="shared" si="99"/>
        <v>0</v>
      </c>
      <c r="AB163" s="89">
        <f t="shared" si="100"/>
        <v>0</v>
      </c>
      <c r="AC163" s="90">
        <f t="shared" si="101"/>
        <v>0</v>
      </c>
      <c r="AD163" s="91">
        <f t="shared" si="102"/>
        <v>0</v>
      </c>
      <c r="AE163" s="93">
        <f t="shared" si="103"/>
        <v>0</v>
      </c>
      <c r="AF163" s="93">
        <f t="shared" si="104"/>
        <v>0</v>
      </c>
      <c r="AG163" s="93">
        <f t="shared" si="105"/>
        <v>0</v>
      </c>
      <c r="AH163" s="93">
        <f t="shared" si="106"/>
        <v>0</v>
      </c>
      <c r="AI163" s="93">
        <f t="shared" si="107"/>
        <v>0</v>
      </c>
      <c r="AJ163" s="93">
        <f t="shared" si="108"/>
        <v>0</v>
      </c>
      <c r="AK163" s="93">
        <f t="shared" si="109"/>
        <v>0</v>
      </c>
      <c r="AL163" s="93">
        <f t="shared" si="110"/>
        <v>0</v>
      </c>
      <c r="AM163" s="92">
        <f t="shared" si="111"/>
        <v>0</v>
      </c>
      <c r="AN163" s="1" t="str">
        <f t="shared" ref="AN163:AN297" si="120">IF(E163&gt;0,E163*$AC163*$AB163/1000," ")</f>
        <v xml:space="preserve"> </v>
      </c>
      <c r="AO163" s="1" t="str">
        <f t="shared" ref="AO163:AO297" si="121">IF(F163&gt;0,F163*$AC163*$AA163/1000," ")</f>
        <v xml:space="preserve"> </v>
      </c>
      <c r="AP163" s="1" t="str">
        <f t="shared" ref="AP163:AP297" si="122">IF(G163&gt;0,G163*$AC163*$AA163/1000," ")</f>
        <v xml:space="preserve"> </v>
      </c>
      <c r="AQ163" s="1" t="str">
        <f t="shared" ref="AQ163:AQ297" si="123">IF(H163&gt;0,H163*$AC163*$AB163/1000," ")</f>
        <v xml:space="preserve"> </v>
      </c>
      <c r="AR163" s="1" t="str">
        <f t="shared" ref="AR163:AR297" si="124">IF(I163&gt;0,I163*$AC163*$AA163/1000," ")</f>
        <v xml:space="preserve"> </v>
      </c>
      <c r="AS163" s="1" t="str">
        <f t="shared" ref="AS163:AS297" si="125">IF(J163&gt;0,J163*$AC163*$AA163/1000," ")</f>
        <v xml:space="preserve"> </v>
      </c>
      <c r="AT163" s="1" t="str">
        <f t="shared" ref="AT163:AT297" si="126">IF(K163&gt;0,K163*$AC163*$AA163/1000," ")</f>
        <v xml:space="preserve"> </v>
      </c>
      <c r="AU163" s="103" t="str">
        <f t="shared" ref="AU163:AU297" si="127">IF(L163&gt;0,L163*$AC163*$AB163/1000," ")</f>
        <v xml:space="preserve"> </v>
      </c>
      <c r="AV163" s="111">
        <f t="shared" si="112"/>
        <v>0</v>
      </c>
      <c r="AW163" s="4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6"/>
      <c r="DM163" s="111">
        <f t="shared" si="113"/>
        <v>0</v>
      </c>
      <c r="DN163" s="4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6"/>
      <c r="GD163" s="111">
        <f t="shared" si="114"/>
        <v>0</v>
      </c>
      <c r="GE163" s="4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6"/>
      <c r="IU163" s="111">
        <f t="shared" si="115"/>
        <v>0</v>
      </c>
      <c r="IV163" s="4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6"/>
      <c r="LL163" s="111">
        <f t="shared" si="116"/>
        <v>0</v>
      </c>
      <c r="LM163" s="4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6"/>
      <c r="OC163" s="111">
        <f t="shared" si="117"/>
        <v>0</v>
      </c>
      <c r="OD163" s="4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6"/>
      <c r="QT163" s="111">
        <f t="shared" si="118"/>
        <v>0</v>
      </c>
      <c r="QU163" s="4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6"/>
      <c r="TK163" s="111">
        <f t="shared" si="119"/>
        <v>0</v>
      </c>
      <c r="TL163" s="4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6"/>
    </row>
    <row r="164" spans="1:599" ht="14.25" customHeight="1" x14ac:dyDescent="0.3">
      <c r="A164" s="85"/>
      <c r="B164" s="39"/>
      <c r="C164" s="86"/>
      <c r="D164" s="86"/>
      <c r="E164" s="81"/>
      <c r="F164" s="81"/>
      <c r="G164" s="81"/>
      <c r="H164" s="81"/>
      <c r="I164" s="81"/>
      <c r="J164" s="81"/>
      <c r="K164" s="81"/>
      <c r="L164" s="81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89" t="str">
        <f t="shared" si="97"/>
        <v/>
      </c>
      <c r="Z164" s="89" t="str">
        <f t="shared" si="98"/>
        <v/>
      </c>
      <c r="AA164" s="89">
        <f t="shared" si="99"/>
        <v>0</v>
      </c>
      <c r="AB164" s="89">
        <f t="shared" si="100"/>
        <v>0</v>
      </c>
      <c r="AC164" s="90">
        <f t="shared" si="101"/>
        <v>0</v>
      </c>
      <c r="AD164" s="91">
        <f t="shared" si="102"/>
        <v>0</v>
      </c>
      <c r="AE164" s="93">
        <f t="shared" si="103"/>
        <v>0</v>
      </c>
      <c r="AF164" s="93">
        <f t="shared" si="104"/>
        <v>0</v>
      </c>
      <c r="AG164" s="93">
        <f t="shared" si="105"/>
        <v>0</v>
      </c>
      <c r="AH164" s="93">
        <f t="shared" si="106"/>
        <v>0</v>
      </c>
      <c r="AI164" s="93">
        <f t="shared" si="107"/>
        <v>0</v>
      </c>
      <c r="AJ164" s="93">
        <f t="shared" si="108"/>
        <v>0</v>
      </c>
      <c r="AK164" s="93">
        <f t="shared" si="109"/>
        <v>0</v>
      </c>
      <c r="AL164" s="93">
        <f t="shared" si="110"/>
        <v>0</v>
      </c>
      <c r="AM164" s="92">
        <f t="shared" si="111"/>
        <v>0</v>
      </c>
      <c r="AN164" s="1" t="str">
        <f t="shared" si="120"/>
        <v xml:space="preserve"> </v>
      </c>
      <c r="AO164" s="1" t="str">
        <f t="shared" si="121"/>
        <v xml:space="preserve"> </v>
      </c>
      <c r="AP164" s="1" t="str">
        <f t="shared" si="122"/>
        <v xml:space="preserve"> </v>
      </c>
      <c r="AQ164" s="1" t="str">
        <f t="shared" si="123"/>
        <v xml:space="preserve"> </v>
      </c>
      <c r="AR164" s="1" t="str">
        <f t="shared" si="124"/>
        <v xml:space="preserve"> </v>
      </c>
      <c r="AS164" s="1" t="str">
        <f t="shared" si="125"/>
        <v xml:space="preserve"> </v>
      </c>
      <c r="AT164" s="1" t="str">
        <f t="shared" si="126"/>
        <v xml:space="preserve"> </v>
      </c>
      <c r="AU164" s="103" t="str">
        <f t="shared" si="127"/>
        <v xml:space="preserve"> </v>
      </c>
      <c r="AV164" s="111">
        <f t="shared" si="112"/>
        <v>0</v>
      </c>
      <c r="AW164" s="4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6"/>
      <c r="DM164" s="111">
        <f t="shared" si="113"/>
        <v>0</v>
      </c>
      <c r="DN164" s="4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6"/>
      <c r="GD164" s="111">
        <f t="shared" si="114"/>
        <v>0</v>
      </c>
      <c r="GE164" s="4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6"/>
      <c r="IU164" s="111">
        <f t="shared" si="115"/>
        <v>0</v>
      </c>
      <c r="IV164" s="4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6"/>
      <c r="LL164" s="111">
        <f t="shared" si="116"/>
        <v>0</v>
      </c>
      <c r="LM164" s="4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6"/>
      <c r="OC164" s="111">
        <f t="shared" si="117"/>
        <v>0</v>
      </c>
      <c r="OD164" s="4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6"/>
      <c r="QT164" s="111">
        <f t="shared" si="118"/>
        <v>0</v>
      </c>
      <c r="QU164" s="4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6"/>
      <c r="TK164" s="111">
        <f t="shared" si="119"/>
        <v>0</v>
      </c>
      <c r="TL164" s="4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6"/>
    </row>
    <row r="165" spans="1:599" ht="14.25" customHeight="1" x14ac:dyDescent="0.3">
      <c r="A165" s="85"/>
      <c r="B165" s="39"/>
      <c r="C165" s="86"/>
      <c r="D165" s="86"/>
      <c r="E165" s="81"/>
      <c r="F165" s="81"/>
      <c r="G165" s="81"/>
      <c r="H165" s="81"/>
      <c r="I165" s="81"/>
      <c r="J165" s="81"/>
      <c r="K165" s="81"/>
      <c r="L165" s="81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89" t="str">
        <f t="shared" si="97"/>
        <v/>
      </c>
      <c r="Z165" s="89" t="str">
        <f t="shared" si="98"/>
        <v/>
      </c>
      <c r="AA165" s="89">
        <f t="shared" si="99"/>
        <v>0</v>
      </c>
      <c r="AB165" s="89">
        <f t="shared" si="100"/>
        <v>0</v>
      </c>
      <c r="AC165" s="90">
        <f t="shared" si="101"/>
        <v>0</v>
      </c>
      <c r="AD165" s="91">
        <f t="shared" si="102"/>
        <v>0</v>
      </c>
      <c r="AE165" s="93">
        <f t="shared" si="103"/>
        <v>0</v>
      </c>
      <c r="AF165" s="93">
        <f t="shared" si="104"/>
        <v>0</v>
      </c>
      <c r="AG165" s="93">
        <f t="shared" si="105"/>
        <v>0</v>
      </c>
      <c r="AH165" s="93">
        <f t="shared" si="106"/>
        <v>0</v>
      </c>
      <c r="AI165" s="93">
        <f t="shared" si="107"/>
        <v>0</v>
      </c>
      <c r="AJ165" s="93">
        <f t="shared" si="108"/>
        <v>0</v>
      </c>
      <c r="AK165" s="93">
        <f t="shared" si="109"/>
        <v>0</v>
      </c>
      <c r="AL165" s="93">
        <f t="shared" si="110"/>
        <v>0</v>
      </c>
      <c r="AM165" s="92">
        <f t="shared" si="111"/>
        <v>0</v>
      </c>
      <c r="AN165" s="1" t="str">
        <f t="shared" si="120"/>
        <v xml:space="preserve"> </v>
      </c>
      <c r="AO165" s="1" t="str">
        <f t="shared" si="121"/>
        <v xml:space="preserve"> </v>
      </c>
      <c r="AP165" s="1" t="str">
        <f t="shared" si="122"/>
        <v xml:space="preserve"> </v>
      </c>
      <c r="AQ165" s="1" t="str">
        <f t="shared" si="123"/>
        <v xml:space="preserve"> </v>
      </c>
      <c r="AR165" s="1" t="str">
        <f t="shared" si="124"/>
        <v xml:space="preserve"> </v>
      </c>
      <c r="AS165" s="1" t="str">
        <f t="shared" si="125"/>
        <v xml:space="preserve"> </v>
      </c>
      <c r="AT165" s="1" t="str">
        <f t="shared" si="126"/>
        <v xml:space="preserve"> </v>
      </c>
      <c r="AU165" s="103" t="str">
        <f t="shared" si="127"/>
        <v xml:space="preserve"> </v>
      </c>
      <c r="AV165" s="111">
        <f t="shared" si="112"/>
        <v>0</v>
      </c>
      <c r="AW165" s="4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6"/>
      <c r="DM165" s="111">
        <f t="shared" si="113"/>
        <v>0</v>
      </c>
      <c r="DN165" s="4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6"/>
      <c r="GD165" s="111">
        <f t="shared" si="114"/>
        <v>0</v>
      </c>
      <c r="GE165" s="4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6"/>
      <c r="IU165" s="111">
        <f t="shared" si="115"/>
        <v>0</v>
      </c>
      <c r="IV165" s="4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6"/>
      <c r="LL165" s="111">
        <f t="shared" si="116"/>
        <v>0</v>
      </c>
      <c r="LM165" s="4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6"/>
      <c r="OC165" s="111">
        <f t="shared" si="117"/>
        <v>0</v>
      </c>
      <c r="OD165" s="4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6"/>
      <c r="QT165" s="111">
        <f t="shared" si="118"/>
        <v>0</v>
      </c>
      <c r="QU165" s="4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6"/>
      <c r="TK165" s="111">
        <f t="shared" si="119"/>
        <v>0</v>
      </c>
      <c r="TL165" s="4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6"/>
    </row>
    <row r="166" spans="1:599" ht="14.25" customHeight="1" x14ac:dyDescent="0.3">
      <c r="A166" s="85"/>
      <c r="B166" s="39"/>
      <c r="C166" s="86"/>
      <c r="D166" s="86"/>
      <c r="E166" s="81"/>
      <c r="F166" s="81"/>
      <c r="G166" s="81"/>
      <c r="H166" s="81"/>
      <c r="I166" s="81"/>
      <c r="J166" s="81"/>
      <c r="K166" s="81"/>
      <c r="L166" s="81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89" t="str">
        <f t="shared" si="97"/>
        <v/>
      </c>
      <c r="Z166" s="89" t="str">
        <f t="shared" si="98"/>
        <v/>
      </c>
      <c r="AA166" s="89">
        <f t="shared" si="99"/>
        <v>0</v>
      </c>
      <c r="AB166" s="89">
        <f t="shared" si="100"/>
        <v>0</v>
      </c>
      <c r="AC166" s="90">
        <f t="shared" si="101"/>
        <v>0</v>
      </c>
      <c r="AD166" s="91">
        <f t="shared" si="102"/>
        <v>0</v>
      </c>
      <c r="AE166" s="93">
        <f t="shared" si="103"/>
        <v>0</v>
      </c>
      <c r="AF166" s="93">
        <f t="shared" si="104"/>
        <v>0</v>
      </c>
      <c r="AG166" s="93">
        <f t="shared" si="105"/>
        <v>0</v>
      </c>
      <c r="AH166" s="93">
        <f t="shared" si="106"/>
        <v>0</v>
      </c>
      <c r="AI166" s="93">
        <f t="shared" si="107"/>
        <v>0</v>
      </c>
      <c r="AJ166" s="93">
        <f t="shared" si="108"/>
        <v>0</v>
      </c>
      <c r="AK166" s="93">
        <f t="shared" si="109"/>
        <v>0</v>
      </c>
      <c r="AL166" s="93">
        <f t="shared" si="110"/>
        <v>0</v>
      </c>
      <c r="AM166" s="92">
        <f t="shared" si="111"/>
        <v>0</v>
      </c>
      <c r="AN166" s="1" t="str">
        <f t="shared" si="120"/>
        <v xml:space="preserve"> </v>
      </c>
      <c r="AO166" s="1" t="str">
        <f t="shared" si="121"/>
        <v xml:space="preserve"> </v>
      </c>
      <c r="AP166" s="1" t="str">
        <f t="shared" si="122"/>
        <v xml:space="preserve"> </v>
      </c>
      <c r="AQ166" s="1" t="str">
        <f t="shared" si="123"/>
        <v xml:space="preserve"> </v>
      </c>
      <c r="AR166" s="1" t="str">
        <f t="shared" si="124"/>
        <v xml:space="preserve"> </v>
      </c>
      <c r="AS166" s="1" t="str">
        <f t="shared" si="125"/>
        <v xml:space="preserve"> </v>
      </c>
      <c r="AT166" s="1" t="str">
        <f t="shared" si="126"/>
        <v xml:space="preserve"> </v>
      </c>
      <c r="AU166" s="103" t="str">
        <f t="shared" si="127"/>
        <v xml:space="preserve"> </v>
      </c>
      <c r="AV166" s="111">
        <f t="shared" si="112"/>
        <v>0</v>
      </c>
      <c r="AW166" s="4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6"/>
      <c r="DM166" s="111">
        <f t="shared" si="113"/>
        <v>0</v>
      </c>
      <c r="DN166" s="4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6"/>
      <c r="GD166" s="111">
        <f t="shared" si="114"/>
        <v>0</v>
      </c>
      <c r="GE166" s="4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6"/>
      <c r="IU166" s="111">
        <f t="shared" si="115"/>
        <v>0</v>
      </c>
      <c r="IV166" s="4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6"/>
      <c r="LL166" s="111">
        <f t="shared" si="116"/>
        <v>0</v>
      </c>
      <c r="LM166" s="4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6"/>
      <c r="OC166" s="111">
        <f t="shared" si="117"/>
        <v>0</v>
      </c>
      <c r="OD166" s="4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6"/>
      <c r="QT166" s="111">
        <f t="shared" si="118"/>
        <v>0</v>
      </c>
      <c r="QU166" s="4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6"/>
      <c r="TK166" s="111">
        <f t="shared" si="119"/>
        <v>0</v>
      </c>
      <c r="TL166" s="4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6"/>
    </row>
    <row r="167" spans="1:599" ht="14.25" customHeight="1" x14ac:dyDescent="0.3">
      <c r="A167" s="85"/>
      <c r="B167" s="39"/>
      <c r="C167" s="86"/>
      <c r="D167" s="86"/>
      <c r="E167" s="81"/>
      <c r="F167" s="81"/>
      <c r="G167" s="81"/>
      <c r="H167" s="81"/>
      <c r="I167" s="81"/>
      <c r="J167" s="81"/>
      <c r="K167" s="81"/>
      <c r="L167" s="81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89" t="str">
        <f t="shared" si="97"/>
        <v/>
      </c>
      <c r="Z167" s="89" t="str">
        <f t="shared" si="98"/>
        <v/>
      </c>
      <c r="AA167" s="89">
        <f t="shared" si="99"/>
        <v>0</v>
      </c>
      <c r="AB167" s="89">
        <f t="shared" si="100"/>
        <v>0</v>
      </c>
      <c r="AC167" s="90">
        <f t="shared" si="101"/>
        <v>0</v>
      </c>
      <c r="AD167" s="91">
        <f t="shared" si="102"/>
        <v>0</v>
      </c>
      <c r="AE167" s="93">
        <f t="shared" si="103"/>
        <v>0</v>
      </c>
      <c r="AF167" s="93">
        <f t="shared" si="104"/>
        <v>0</v>
      </c>
      <c r="AG167" s="93">
        <f t="shared" si="105"/>
        <v>0</v>
      </c>
      <c r="AH167" s="93">
        <f t="shared" si="106"/>
        <v>0</v>
      </c>
      <c r="AI167" s="93">
        <f t="shared" si="107"/>
        <v>0</v>
      </c>
      <c r="AJ167" s="93">
        <f t="shared" si="108"/>
        <v>0</v>
      </c>
      <c r="AK167" s="93">
        <f t="shared" si="109"/>
        <v>0</v>
      </c>
      <c r="AL167" s="93">
        <f t="shared" si="110"/>
        <v>0</v>
      </c>
      <c r="AM167" s="92">
        <f t="shared" si="111"/>
        <v>0</v>
      </c>
      <c r="AN167" s="1" t="str">
        <f t="shared" si="120"/>
        <v xml:space="preserve"> </v>
      </c>
      <c r="AO167" s="1" t="str">
        <f t="shared" si="121"/>
        <v xml:space="preserve"> </v>
      </c>
      <c r="AP167" s="1" t="str">
        <f t="shared" si="122"/>
        <v xml:space="preserve"> </v>
      </c>
      <c r="AQ167" s="1" t="str">
        <f t="shared" si="123"/>
        <v xml:space="preserve"> </v>
      </c>
      <c r="AR167" s="1" t="str">
        <f t="shared" si="124"/>
        <v xml:space="preserve"> </v>
      </c>
      <c r="AS167" s="1" t="str">
        <f t="shared" si="125"/>
        <v xml:space="preserve"> </v>
      </c>
      <c r="AT167" s="1" t="str">
        <f t="shared" si="126"/>
        <v xml:space="preserve"> </v>
      </c>
      <c r="AU167" s="103" t="str">
        <f t="shared" si="127"/>
        <v xml:space="preserve"> </v>
      </c>
      <c r="AV167" s="111">
        <f t="shared" si="112"/>
        <v>0</v>
      </c>
      <c r="AW167" s="4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6"/>
      <c r="DM167" s="111">
        <f t="shared" si="113"/>
        <v>0</v>
      </c>
      <c r="DN167" s="4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6"/>
      <c r="GD167" s="111">
        <f t="shared" si="114"/>
        <v>0</v>
      </c>
      <c r="GE167" s="4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6"/>
      <c r="IU167" s="111">
        <f t="shared" si="115"/>
        <v>0</v>
      </c>
      <c r="IV167" s="4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6"/>
      <c r="LL167" s="111">
        <f t="shared" si="116"/>
        <v>0</v>
      </c>
      <c r="LM167" s="4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6"/>
      <c r="OC167" s="111">
        <f t="shared" si="117"/>
        <v>0</v>
      </c>
      <c r="OD167" s="4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6"/>
      <c r="QT167" s="111">
        <f t="shared" si="118"/>
        <v>0</v>
      </c>
      <c r="QU167" s="4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6"/>
      <c r="TK167" s="111">
        <f t="shared" si="119"/>
        <v>0</v>
      </c>
      <c r="TL167" s="4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6"/>
    </row>
    <row r="168" spans="1:599" ht="14.25" customHeight="1" x14ac:dyDescent="0.3">
      <c r="A168" s="41"/>
      <c r="B168" s="39"/>
      <c r="C168" s="40"/>
      <c r="D168" s="40"/>
      <c r="E168" s="81"/>
      <c r="F168" s="81"/>
      <c r="G168" s="81"/>
      <c r="H168" s="81"/>
      <c r="I168" s="81"/>
      <c r="J168" s="81"/>
      <c r="K168" s="81"/>
      <c r="L168" s="81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89" t="str">
        <f t="shared" si="97"/>
        <v/>
      </c>
      <c r="Z168" s="89" t="str">
        <f t="shared" si="98"/>
        <v/>
      </c>
      <c r="AA168" s="89">
        <f t="shared" si="99"/>
        <v>0</v>
      </c>
      <c r="AB168" s="89">
        <f t="shared" si="100"/>
        <v>0</v>
      </c>
      <c r="AC168" s="90">
        <f t="shared" si="101"/>
        <v>0</v>
      </c>
      <c r="AD168" s="91">
        <f t="shared" si="102"/>
        <v>0</v>
      </c>
      <c r="AE168" s="93">
        <f t="shared" si="103"/>
        <v>0</v>
      </c>
      <c r="AF168" s="93">
        <f t="shared" si="104"/>
        <v>0</v>
      </c>
      <c r="AG168" s="93">
        <f t="shared" si="105"/>
        <v>0</v>
      </c>
      <c r="AH168" s="93">
        <f t="shared" si="106"/>
        <v>0</v>
      </c>
      <c r="AI168" s="93">
        <f t="shared" si="107"/>
        <v>0</v>
      </c>
      <c r="AJ168" s="93">
        <f t="shared" si="108"/>
        <v>0</v>
      </c>
      <c r="AK168" s="93">
        <f t="shared" si="109"/>
        <v>0</v>
      </c>
      <c r="AL168" s="93">
        <f t="shared" si="110"/>
        <v>0</v>
      </c>
      <c r="AM168" s="92">
        <f t="shared" si="111"/>
        <v>0</v>
      </c>
      <c r="AN168" s="1" t="str">
        <f t="shared" si="120"/>
        <v xml:space="preserve"> </v>
      </c>
      <c r="AO168" s="1" t="str">
        <f t="shared" si="121"/>
        <v xml:space="preserve"> </v>
      </c>
      <c r="AP168" s="1" t="str">
        <f t="shared" si="122"/>
        <v xml:space="preserve"> </v>
      </c>
      <c r="AQ168" s="1" t="str">
        <f t="shared" si="123"/>
        <v xml:space="preserve"> </v>
      </c>
      <c r="AR168" s="1" t="str">
        <f t="shared" si="124"/>
        <v xml:space="preserve"> </v>
      </c>
      <c r="AS168" s="1" t="str">
        <f t="shared" si="125"/>
        <v xml:space="preserve"> </v>
      </c>
      <c r="AT168" s="1" t="str">
        <f t="shared" si="126"/>
        <v xml:space="preserve"> </v>
      </c>
      <c r="AU168" s="103" t="str">
        <f t="shared" si="127"/>
        <v xml:space="preserve"> </v>
      </c>
      <c r="AV168" s="111">
        <f t="shared" si="112"/>
        <v>0</v>
      </c>
      <c r="AW168" s="4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6"/>
      <c r="DM168" s="111">
        <f t="shared" si="113"/>
        <v>0</v>
      </c>
      <c r="DN168" s="4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6"/>
      <c r="GD168" s="111">
        <f t="shared" si="114"/>
        <v>0</v>
      </c>
      <c r="GE168" s="4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6"/>
      <c r="IU168" s="111">
        <f t="shared" si="115"/>
        <v>0</v>
      </c>
      <c r="IV168" s="4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6"/>
      <c r="LL168" s="111">
        <f t="shared" si="116"/>
        <v>0</v>
      </c>
      <c r="LM168" s="4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6"/>
      <c r="OC168" s="111">
        <f t="shared" si="117"/>
        <v>0</v>
      </c>
      <c r="OD168" s="4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6"/>
      <c r="QT168" s="111">
        <f t="shared" si="118"/>
        <v>0</v>
      </c>
      <c r="QU168" s="4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6"/>
      <c r="TK168" s="111">
        <f t="shared" si="119"/>
        <v>0</v>
      </c>
      <c r="TL168" s="4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6"/>
    </row>
    <row r="169" spans="1:599" ht="14.25" customHeight="1" x14ac:dyDescent="0.3">
      <c r="A169" s="85"/>
      <c r="B169" s="39"/>
      <c r="C169" s="86"/>
      <c r="D169" s="86"/>
      <c r="E169" s="81"/>
      <c r="F169" s="81"/>
      <c r="G169" s="81"/>
      <c r="H169" s="81"/>
      <c r="I169" s="81"/>
      <c r="J169" s="81"/>
      <c r="K169" s="81"/>
      <c r="L169" s="81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89" t="str">
        <f t="shared" si="97"/>
        <v/>
      </c>
      <c r="Z169" s="89" t="str">
        <f t="shared" si="98"/>
        <v/>
      </c>
      <c r="AA169" s="89">
        <f t="shared" si="99"/>
        <v>0</v>
      </c>
      <c r="AB169" s="89">
        <f t="shared" si="100"/>
        <v>0</v>
      </c>
      <c r="AC169" s="90">
        <f t="shared" si="101"/>
        <v>0</v>
      </c>
      <c r="AD169" s="91">
        <f t="shared" si="102"/>
        <v>0</v>
      </c>
      <c r="AE169" s="93">
        <f t="shared" si="103"/>
        <v>0</v>
      </c>
      <c r="AF169" s="93">
        <f t="shared" si="104"/>
        <v>0</v>
      </c>
      <c r="AG169" s="93">
        <f t="shared" si="105"/>
        <v>0</v>
      </c>
      <c r="AH169" s="93">
        <f t="shared" si="106"/>
        <v>0</v>
      </c>
      <c r="AI169" s="93">
        <f t="shared" si="107"/>
        <v>0</v>
      </c>
      <c r="AJ169" s="93">
        <f t="shared" si="108"/>
        <v>0</v>
      </c>
      <c r="AK169" s="93">
        <f t="shared" si="109"/>
        <v>0</v>
      </c>
      <c r="AL169" s="93">
        <f t="shared" si="110"/>
        <v>0</v>
      </c>
      <c r="AM169" s="92">
        <f t="shared" si="111"/>
        <v>0</v>
      </c>
      <c r="AN169" s="1" t="str">
        <f t="shared" si="120"/>
        <v xml:space="preserve"> </v>
      </c>
      <c r="AO169" s="1" t="str">
        <f t="shared" si="121"/>
        <v xml:space="preserve"> </v>
      </c>
      <c r="AP169" s="1" t="str">
        <f t="shared" si="122"/>
        <v xml:space="preserve"> </v>
      </c>
      <c r="AQ169" s="1" t="str">
        <f t="shared" si="123"/>
        <v xml:space="preserve"> </v>
      </c>
      <c r="AR169" s="1" t="str">
        <f t="shared" si="124"/>
        <v xml:space="preserve"> </v>
      </c>
      <c r="AS169" s="1" t="str">
        <f t="shared" si="125"/>
        <v xml:space="preserve"> </v>
      </c>
      <c r="AT169" s="1" t="str">
        <f t="shared" si="126"/>
        <v xml:space="preserve"> </v>
      </c>
      <c r="AU169" s="103" t="str">
        <f t="shared" si="127"/>
        <v xml:space="preserve"> </v>
      </c>
      <c r="AV169" s="111">
        <f t="shared" si="112"/>
        <v>0</v>
      </c>
      <c r="AW169" s="4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6"/>
      <c r="DM169" s="111">
        <f t="shared" si="113"/>
        <v>0</v>
      </c>
      <c r="DN169" s="4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6"/>
      <c r="GD169" s="111">
        <f t="shared" si="114"/>
        <v>0</v>
      </c>
      <c r="GE169" s="4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6"/>
      <c r="IU169" s="111">
        <f t="shared" si="115"/>
        <v>0</v>
      </c>
      <c r="IV169" s="4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6"/>
      <c r="LL169" s="111">
        <f t="shared" si="116"/>
        <v>0</v>
      </c>
      <c r="LM169" s="4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6"/>
      <c r="OC169" s="111">
        <f t="shared" si="117"/>
        <v>0</v>
      </c>
      <c r="OD169" s="4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6"/>
      <c r="QT169" s="111">
        <f t="shared" si="118"/>
        <v>0</v>
      </c>
      <c r="QU169" s="4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6"/>
      <c r="TK169" s="111">
        <f t="shared" si="119"/>
        <v>0</v>
      </c>
      <c r="TL169" s="4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6"/>
    </row>
    <row r="170" spans="1:599" ht="14.25" customHeight="1" x14ac:dyDescent="0.3">
      <c r="A170" s="85"/>
      <c r="B170" s="39"/>
      <c r="C170" s="86"/>
      <c r="D170" s="86"/>
      <c r="E170" s="81"/>
      <c r="F170" s="81"/>
      <c r="G170" s="81"/>
      <c r="H170" s="81"/>
      <c r="I170" s="81"/>
      <c r="J170" s="81"/>
      <c r="K170" s="81"/>
      <c r="L170" s="81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89" t="str">
        <f t="shared" si="97"/>
        <v/>
      </c>
      <c r="Z170" s="89" t="str">
        <f t="shared" si="98"/>
        <v/>
      </c>
      <c r="AA170" s="89">
        <f t="shared" si="99"/>
        <v>0</v>
      </c>
      <c r="AB170" s="89">
        <f t="shared" si="100"/>
        <v>0</v>
      </c>
      <c r="AC170" s="90">
        <f t="shared" si="101"/>
        <v>0</v>
      </c>
      <c r="AD170" s="91">
        <f t="shared" si="102"/>
        <v>0</v>
      </c>
      <c r="AE170" s="93">
        <f t="shared" si="103"/>
        <v>0</v>
      </c>
      <c r="AF170" s="93">
        <f t="shared" si="104"/>
        <v>0</v>
      </c>
      <c r="AG170" s="93">
        <f t="shared" si="105"/>
        <v>0</v>
      </c>
      <c r="AH170" s="93">
        <f t="shared" si="106"/>
        <v>0</v>
      </c>
      <c r="AI170" s="93">
        <f t="shared" si="107"/>
        <v>0</v>
      </c>
      <c r="AJ170" s="93">
        <f t="shared" si="108"/>
        <v>0</v>
      </c>
      <c r="AK170" s="93">
        <f t="shared" si="109"/>
        <v>0</v>
      </c>
      <c r="AL170" s="93">
        <f t="shared" si="110"/>
        <v>0</v>
      </c>
      <c r="AM170" s="92">
        <f t="shared" si="111"/>
        <v>0</v>
      </c>
      <c r="AN170" s="1" t="str">
        <f t="shared" si="120"/>
        <v xml:space="preserve"> </v>
      </c>
      <c r="AO170" s="1" t="str">
        <f t="shared" si="121"/>
        <v xml:space="preserve"> </v>
      </c>
      <c r="AP170" s="1" t="str">
        <f t="shared" si="122"/>
        <v xml:space="preserve"> </v>
      </c>
      <c r="AQ170" s="1" t="str">
        <f t="shared" si="123"/>
        <v xml:space="preserve"> </v>
      </c>
      <c r="AR170" s="1" t="str">
        <f t="shared" si="124"/>
        <v xml:space="preserve"> </v>
      </c>
      <c r="AS170" s="1" t="str">
        <f t="shared" si="125"/>
        <v xml:space="preserve"> </v>
      </c>
      <c r="AT170" s="1" t="str">
        <f t="shared" si="126"/>
        <v xml:space="preserve"> </v>
      </c>
      <c r="AU170" s="103" t="str">
        <f t="shared" si="127"/>
        <v xml:space="preserve"> </v>
      </c>
      <c r="AV170" s="111">
        <f t="shared" si="112"/>
        <v>0</v>
      </c>
      <c r="AW170" s="4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6"/>
      <c r="DM170" s="111">
        <f t="shared" si="113"/>
        <v>0</v>
      </c>
      <c r="DN170" s="4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6"/>
      <c r="GD170" s="111">
        <f t="shared" si="114"/>
        <v>0</v>
      </c>
      <c r="GE170" s="4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6"/>
      <c r="IU170" s="111">
        <f t="shared" si="115"/>
        <v>0</v>
      </c>
      <c r="IV170" s="4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6"/>
      <c r="LL170" s="111">
        <f t="shared" si="116"/>
        <v>0</v>
      </c>
      <c r="LM170" s="4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6"/>
      <c r="OC170" s="111">
        <f t="shared" si="117"/>
        <v>0</v>
      </c>
      <c r="OD170" s="4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6"/>
      <c r="QT170" s="111">
        <f t="shared" si="118"/>
        <v>0</v>
      </c>
      <c r="QU170" s="4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6"/>
      <c r="TK170" s="111">
        <f t="shared" si="119"/>
        <v>0</v>
      </c>
      <c r="TL170" s="4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6"/>
    </row>
    <row r="171" spans="1:599" ht="14.25" customHeight="1" x14ac:dyDescent="0.3">
      <c r="A171" s="85"/>
      <c r="B171" s="39"/>
      <c r="C171" s="86"/>
      <c r="D171" s="86"/>
      <c r="E171" s="81"/>
      <c r="F171" s="81"/>
      <c r="G171" s="81"/>
      <c r="H171" s="81"/>
      <c r="I171" s="81"/>
      <c r="J171" s="81"/>
      <c r="K171" s="81"/>
      <c r="L171" s="8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89" t="str">
        <f t="shared" si="97"/>
        <v/>
      </c>
      <c r="Z171" s="89" t="str">
        <f t="shared" si="98"/>
        <v/>
      </c>
      <c r="AA171" s="89">
        <f t="shared" si="99"/>
        <v>0</v>
      </c>
      <c r="AB171" s="89">
        <f t="shared" si="100"/>
        <v>0</v>
      </c>
      <c r="AC171" s="90">
        <f t="shared" si="101"/>
        <v>0</v>
      </c>
      <c r="AD171" s="91">
        <f t="shared" si="102"/>
        <v>0</v>
      </c>
      <c r="AE171" s="93">
        <f t="shared" si="103"/>
        <v>0</v>
      </c>
      <c r="AF171" s="93">
        <f t="shared" si="104"/>
        <v>0</v>
      </c>
      <c r="AG171" s="93">
        <f t="shared" si="105"/>
        <v>0</v>
      </c>
      <c r="AH171" s="93">
        <f t="shared" si="106"/>
        <v>0</v>
      </c>
      <c r="AI171" s="93">
        <f t="shared" si="107"/>
        <v>0</v>
      </c>
      <c r="AJ171" s="93">
        <f t="shared" si="108"/>
        <v>0</v>
      </c>
      <c r="AK171" s="93">
        <f t="shared" si="109"/>
        <v>0</v>
      </c>
      <c r="AL171" s="93">
        <f t="shared" si="110"/>
        <v>0</v>
      </c>
      <c r="AM171" s="92">
        <f t="shared" si="111"/>
        <v>0</v>
      </c>
      <c r="AN171" s="1" t="str">
        <f t="shared" si="120"/>
        <v xml:space="preserve"> </v>
      </c>
      <c r="AO171" s="1" t="str">
        <f t="shared" si="121"/>
        <v xml:space="preserve"> </v>
      </c>
      <c r="AP171" s="1" t="str">
        <f t="shared" si="122"/>
        <v xml:space="preserve"> </v>
      </c>
      <c r="AQ171" s="1" t="str">
        <f t="shared" si="123"/>
        <v xml:space="preserve"> </v>
      </c>
      <c r="AR171" s="1" t="str">
        <f t="shared" si="124"/>
        <v xml:space="preserve"> </v>
      </c>
      <c r="AS171" s="1" t="str">
        <f t="shared" si="125"/>
        <v xml:space="preserve"> </v>
      </c>
      <c r="AT171" s="1" t="str">
        <f t="shared" si="126"/>
        <v xml:space="preserve"> </v>
      </c>
      <c r="AU171" s="103" t="str">
        <f t="shared" si="127"/>
        <v xml:space="preserve"> </v>
      </c>
      <c r="AV171" s="111">
        <f t="shared" si="112"/>
        <v>0</v>
      </c>
      <c r="AW171" s="4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6"/>
      <c r="DM171" s="111">
        <f t="shared" si="113"/>
        <v>0</v>
      </c>
      <c r="DN171" s="4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6"/>
      <c r="GD171" s="111">
        <f t="shared" si="114"/>
        <v>0</v>
      </c>
      <c r="GE171" s="4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6"/>
      <c r="IU171" s="111">
        <f t="shared" si="115"/>
        <v>0</v>
      </c>
      <c r="IV171" s="4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6"/>
      <c r="LL171" s="111">
        <f t="shared" si="116"/>
        <v>0</v>
      </c>
      <c r="LM171" s="4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6"/>
      <c r="OC171" s="111">
        <f t="shared" si="117"/>
        <v>0</v>
      </c>
      <c r="OD171" s="4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6"/>
      <c r="QT171" s="111">
        <f t="shared" si="118"/>
        <v>0</v>
      </c>
      <c r="QU171" s="4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6"/>
      <c r="TK171" s="111">
        <f t="shared" si="119"/>
        <v>0</v>
      </c>
      <c r="TL171" s="4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6"/>
    </row>
    <row r="172" spans="1:599" ht="14.25" customHeight="1" x14ac:dyDescent="0.3">
      <c r="A172" s="85"/>
      <c r="B172" s="39"/>
      <c r="C172" s="86"/>
      <c r="D172" s="86"/>
      <c r="E172" s="81"/>
      <c r="F172" s="81"/>
      <c r="G172" s="81"/>
      <c r="H172" s="81"/>
      <c r="I172" s="81"/>
      <c r="J172" s="81"/>
      <c r="K172" s="81"/>
      <c r="L172" s="81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89" t="str">
        <f t="shared" si="97"/>
        <v/>
      </c>
      <c r="Z172" s="89" t="str">
        <f t="shared" si="98"/>
        <v/>
      </c>
      <c r="AA172" s="89">
        <f t="shared" si="99"/>
        <v>0</v>
      </c>
      <c r="AB172" s="89">
        <f t="shared" si="100"/>
        <v>0</v>
      </c>
      <c r="AC172" s="90">
        <f t="shared" si="101"/>
        <v>0</v>
      </c>
      <c r="AD172" s="91">
        <f t="shared" si="102"/>
        <v>0</v>
      </c>
      <c r="AE172" s="93">
        <f t="shared" si="103"/>
        <v>0</v>
      </c>
      <c r="AF172" s="93">
        <f t="shared" si="104"/>
        <v>0</v>
      </c>
      <c r="AG172" s="93">
        <f t="shared" si="105"/>
        <v>0</v>
      </c>
      <c r="AH172" s="93">
        <f t="shared" si="106"/>
        <v>0</v>
      </c>
      <c r="AI172" s="93">
        <f t="shared" si="107"/>
        <v>0</v>
      </c>
      <c r="AJ172" s="93">
        <f t="shared" si="108"/>
        <v>0</v>
      </c>
      <c r="AK172" s="93">
        <f t="shared" si="109"/>
        <v>0</v>
      </c>
      <c r="AL172" s="93">
        <f t="shared" si="110"/>
        <v>0</v>
      </c>
      <c r="AM172" s="92">
        <f t="shared" si="111"/>
        <v>0</v>
      </c>
      <c r="AN172" s="1" t="str">
        <f t="shared" si="120"/>
        <v xml:space="preserve"> </v>
      </c>
      <c r="AO172" s="1" t="str">
        <f t="shared" si="121"/>
        <v xml:space="preserve"> </v>
      </c>
      <c r="AP172" s="1" t="str">
        <f t="shared" si="122"/>
        <v xml:space="preserve"> </v>
      </c>
      <c r="AQ172" s="1" t="str">
        <f t="shared" si="123"/>
        <v xml:space="preserve"> </v>
      </c>
      <c r="AR172" s="1" t="str">
        <f t="shared" si="124"/>
        <v xml:space="preserve"> </v>
      </c>
      <c r="AS172" s="1" t="str">
        <f t="shared" si="125"/>
        <v xml:space="preserve"> </v>
      </c>
      <c r="AT172" s="1" t="str">
        <f t="shared" si="126"/>
        <v xml:space="preserve"> </v>
      </c>
      <c r="AU172" s="103" t="str">
        <f t="shared" si="127"/>
        <v xml:space="preserve"> </v>
      </c>
      <c r="AV172" s="111">
        <f t="shared" si="112"/>
        <v>0</v>
      </c>
      <c r="AW172" s="4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6"/>
      <c r="DM172" s="111">
        <f t="shared" si="113"/>
        <v>0</v>
      </c>
      <c r="DN172" s="4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6"/>
      <c r="GD172" s="111">
        <f t="shared" si="114"/>
        <v>0</v>
      </c>
      <c r="GE172" s="4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6"/>
      <c r="IU172" s="111">
        <f t="shared" si="115"/>
        <v>0</v>
      </c>
      <c r="IV172" s="4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6"/>
      <c r="LL172" s="111">
        <f t="shared" si="116"/>
        <v>0</v>
      </c>
      <c r="LM172" s="4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6"/>
      <c r="OC172" s="111">
        <f t="shared" si="117"/>
        <v>0</v>
      </c>
      <c r="OD172" s="4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6"/>
      <c r="QT172" s="111">
        <f t="shared" si="118"/>
        <v>0</v>
      </c>
      <c r="QU172" s="4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6"/>
      <c r="TK172" s="111">
        <f t="shared" si="119"/>
        <v>0</v>
      </c>
      <c r="TL172" s="4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6"/>
    </row>
    <row r="173" spans="1:599" ht="14.25" customHeight="1" x14ac:dyDescent="0.3">
      <c r="A173" s="41"/>
      <c r="B173" s="39"/>
      <c r="C173" s="40"/>
      <c r="D173" s="40"/>
      <c r="E173" s="81"/>
      <c r="F173" s="81"/>
      <c r="G173" s="81"/>
      <c r="H173" s="81"/>
      <c r="I173" s="81"/>
      <c r="J173" s="81"/>
      <c r="K173" s="81"/>
      <c r="L173" s="81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89" t="str">
        <f t="shared" si="97"/>
        <v/>
      </c>
      <c r="Z173" s="89" t="str">
        <f t="shared" si="98"/>
        <v/>
      </c>
      <c r="AA173" s="89">
        <f t="shared" si="99"/>
        <v>0</v>
      </c>
      <c r="AB173" s="89">
        <f t="shared" si="100"/>
        <v>0</v>
      </c>
      <c r="AC173" s="90">
        <f t="shared" si="101"/>
        <v>0</v>
      </c>
      <c r="AD173" s="91">
        <f t="shared" si="102"/>
        <v>0</v>
      </c>
      <c r="AE173" s="93">
        <f t="shared" si="103"/>
        <v>0</v>
      </c>
      <c r="AF173" s="93">
        <f t="shared" si="104"/>
        <v>0</v>
      </c>
      <c r="AG173" s="93">
        <f t="shared" si="105"/>
        <v>0</v>
      </c>
      <c r="AH173" s="93">
        <f t="shared" si="106"/>
        <v>0</v>
      </c>
      <c r="AI173" s="93">
        <f t="shared" si="107"/>
        <v>0</v>
      </c>
      <c r="AJ173" s="93">
        <f t="shared" si="108"/>
        <v>0</v>
      </c>
      <c r="AK173" s="93">
        <f t="shared" si="109"/>
        <v>0</v>
      </c>
      <c r="AL173" s="93">
        <f t="shared" si="110"/>
        <v>0</v>
      </c>
      <c r="AM173" s="92">
        <f t="shared" si="111"/>
        <v>0</v>
      </c>
      <c r="AN173" s="1" t="str">
        <f t="shared" si="120"/>
        <v xml:space="preserve"> </v>
      </c>
      <c r="AO173" s="1" t="str">
        <f t="shared" si="121"/>
        <v xml:space="preserve"> </v>
      </c>
      <c r="AP173" s="1" t="str">
        <f t="shared" si="122"/>
        <v xml:space="preserve"> </v>
      </c>
      <c r="AQ173" s="1" t="str">
        <f t="shared" si="123"/>
        <v xml:space="preserve"> </v>
      </c>
      <c r="AR173" s="1" t="str">
        <f t="shared" si="124"/>
        <v xml:space="preserve"> </v>
      </c>
      <c r="AS173" s="1" t="str">
        <f t="shared" si="125"/>
        <v xml:space="preserve"> </v>
      </c>
      <c r="AT173" s="1" t="str">
        <f t="shared" si="126"/>
        <v xml:space="preserve"> </v>
      </c>
      <c r="AU173" s="103" t="str">
        <f t="shared" si="127"/>
        <v xml:space="preserve"> </v>
      </c>
      <c r="AV173" s="111">
        <f t="shared" si="112"/>
        <v>0</v>
      </c>
      <c r="AW173" s="4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6"/>
      <c r="DM173" s="111">
        <f t="shared" si="113"/>
        <v>0</v>
      </c>
      <c r="DN173" s="4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6"/>
      <c r="GD173" s="111">
        <f t="shared" si="114"/>
        <v>0</v>
      </c>
      <c r="GE173" s="4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6"/>
      <c r="IU173" s="111">
        <f t="shared" si="115"/>
        <v>0</v>
      </c>
      <c r="IV173" s="4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6"/>
      <c r="LL173" s="111">
        <f t="shared" si="116"/>
        <v>0</v>
      </c>
      <c r="LM173" s="4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6"/>
      <c r="OC173" s="111">
        <f t="shared" si="117"/>
        <v>0</v>
      </c>
      <c r="OD173" s="4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6"/>
      <c r="QT173" s="111">
        <f t="shared" si="118"/>
        <v>0</v>
      </c>
      <c r="QU173" s="4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6"/>
      <c r="TK173" s="111">
        <f t="shared" si="119"/>
        <v>0</v>
      </c>
      <c r="TL173" s="4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6"/>
    </row>
    <row r="174" spans="1:599" ht="14.25" customHeight="1" x14ac:dyDescent="0.3">
      <c r="A174" s="85"/>
      <c r="B174" s="39"/>
      <c r="C174" s="86"/>
      <c r="D174" s="86"/>
      <c r="E174" s="81"/>
      <c r="F174" s="81"/>
      <c r="G174" s="81"/>
      <c r="H174" s="81"/>
      <c r="I174" s="81"/>
      <c r="J174" s="81"/>
      <c r="K174" s="81"/>
      <c r="L174" s="81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89" t="str">
        <f t="shared" si="97"/>
        <v/>
      </c>
      <c r="Z174" s="89" t="str">
        <f t="shared" si="98"/>
        <v/>
      </c>
      <c r="AA174" s="89">
        <f t="shared" si="99"/>
        <v>0</v>
      </c>
      <c r="AB174" s="89">
        <f t="shared" si="100"/>
        <v>0</v>
      </c>
      <c r="AC174" s="90">
        <f t="shared" si="101"/>
        <v>0</v>
      </c>
      <c r="AD174" s="91">
        <f t="shared" si="102"/>
        <v>0</v>
      </c>
      <c r="AE174" s="93">
        <f t="shared" si="103"/>
        <v>0</v>
      </c>
      <c r="AF174" s="93">
        <f t="shared" si="104"/>
        <v>0</v>
      </c>
      <c r="AG174" s="93">
        <f t="shared" si="105"/>
        <v>0</v>
      </c>
      <c r="AH174" s="93">
        <f t="shared" si="106"/>
        <v>0</v>
      </c>
      <c r="AI174" s="93">
        <f t="shared" si="107"/>
        <v>0</v>
      </c>
      <c r="AJ174" s="93">
        <f t="shared" si="108"/>
        <v>0</v>
      </c>
      <c r="AK174" s="93">
        <f t="shared" si="109"/>
        <v>0</v>
      </c>
      <c r="AL174" s="93">
        <f t="shared" si="110"/>
        <v>0</v>
      </c>
      <c r="AM174" s="92">
        <f t="shared" si="111"/>
        <v>0</v>
      </c>
      <c r="AN174" s="1" t="str">
        <f t="shared" si="120"/>
        <v xml:space="preserve"> </v>
      </c>
      <c r="AO174" s="1" t="str">
        <f t="shared" si="121"/>
        <v xml:space="preserve"> </v>
      </c>
      <c r="AP174" s="1" t="str">
        <f t="shared" si="122"/>
        <v xml:space="preserve"> </v>
      </c>
      <c r="AQ174" s="1" t="str">
        <f t="shared" si="123"/>
        <v xml:space="preserve"> </v>
      </c>
      <c r="AR174" s="1" t="str">
        <f t="shared" si="124"/>
        <v xml:space="preserve"> </v>
      </c>
      <c r="AS174" s="1" t="str">
        <f t="shared" si="125"/>
        <v xml:space="preserve"> </v>
      </c>
      <c r="AT174" s="1" t="str">
        <f t="shared" si="126"/>
        <v xml:space="preserve"> </v>
      </c>
      <c r="AU174" s="103" t="str">
        <f t="shared" si="127"/>
        <v xml:space="preserve"> </v>
      </c>
      <c r="AV174" s="111">
        <f t="shared" si="112"/>
        <v>0</v>
      </c>
      <c r="AW174" s="4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6"/>
      <c r="DM174" s="111">
        <f t="shared" si="113"/>
        <v>0</v>
      </c>
      <c r="DN174" s="4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6"/>
      <c r="GD174" s="111">
        <f t="shared" si="114"/>
        <v>0</v>
      </c>
      <c r="GE174" s="4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6"/>
      <c r="IU174" s="111">
        <f t="shared" si="115"/>
        <v>0</v>
      </c>
      <c r="IV174" s="4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6"/>
      <c r="LL174" s="111">
        <f t="shared" si="116"/>
        <v>0</v>
      </c>
      <c r="LM174" s="4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6"/>
      <c r="OC174" s="111">
        <f t="shared" si="117"/>
        <v>0</v>
      </c>
      <c r="OD174" s="4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6"/>
      <c r="QT174" s="111">
        <f t="shared" si="118"/>
        <v>0</v>
      </c>
      <c r="QU174" s="4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6"/>
      <c r="TK174" s="111">
        <f t="shared" si="119"/>
        <v>0</v>
      </c>
      <c r="TL174" s="4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6"/>
    </row>
    <row r="175" spans="1:599" ht="14.25" customHeight="1" x14ac:dyDescent="0.3">
      <c r="A175" s="85"/>
      <c r="B175" s="39"/>
      <c r="C175" s="86"/>
      <c r="D175" s="86"/>
      <c r="E175" s="81"/>
      <c r="F175" s="81"/>
      <c r="G175" s="81"/>
      <c r="H175" s="81"/>
      <c r="I175" s="81"/>
      <c r="J175" s="81"/>
      <c r="K175" s="81"/>
      <c r="L175" s="81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89" t="str">
        <f t="shared" si="97"/>
        <v/>
      </c>
      <c r="Z175" s="89" t="str">
        <f t="shared" si="98"/>
        <v/>
      </c>
      <c r="AA175" s="89">
        <f t="shared" si="99"/>
        <v>0</v>
      </c>
      <c r="AB175" s="89">
        <f t="shared" si="100"/>
        <v>0</v>
      </c>
      <c r="AC175" s="90">
        <f t="shared" si="101"/>
        <v>0</v>
      </c>
      <c r="AD175" s="91">
        <f t="shared" si="102"/>
        <v>0</v>
      </c>
      <c r="AE175" s="93">
        <f t="shared" si="103"/>
        <v>0</v>
      </c>
      <c r="AF175" s="93">
        <f t="shared" si="104"/>
        <v>0</v>
      </c>
      <c r="AG175" s="93">
        <f t="shared" si="105"/>
        <v>0</v>
      </c>
      <c r="AH175" s="93">
        <f t="shared" si="106"/>
        <v>0</v>
      </c>
      <c r="AI175" s="93">
        <f t="shared" si="107"/>
        <v>0</v>
      </c>
      <c r="AJ175" s="93">
        <f t="shared" si="108"/>
        <v>0</v>
      </c>
      <c r="AK175" s="93">
        <f t="shared" si="109"/>
        <v>0</v>
      </c>
      <c r="AL175" s="93">
        <f t="shared" si="110"/>
        <v>0</v>
      </c>
      <c r="AM175" s="92">
        <f t="shared" si="111"/>
        <v>0</v>
      </c>
      <c r="AN175" s="1" t="str">
        <f t="shared" si="120"/>
        <v xml:space="preserve"> </v>
      </c>
      <c r="AO175" s="1" t="str">
        <f t="shared" si="121"/>
        <v xml:space="preserve"> </v>
      </c>
      <c r="AP175" s="1" t="str">
        <f t="shared" si="122"/>
        <v xml:space="preserve"> </v>
      </c>
      <c r="AQ175" s="1" t="str">
        <f t="shared" si="123"/>
        <v xml:space="preserve"> </v>
      </c>
      <c r="AR175" s="1" t="str">
        <f t="shared" si="124"/>
        <v xml:space="preserve"> </v>
      </c>
      <c r="AS175" s="1" t="str">
        <f t="shared" si="125"/>
        <v xml:space="preserve"> </v>
      </c>
      <c r="AT175" s="1" t="str">
        <f t="shared" si="126"/>
        <v xml:space="preserve"> </v>
      </c>
      <c r="AU175" s="103" t="str">
        <f t="shared" si="127"/>
        <v xml:space="preserve"> </v>
      </c>
      <c r="AV175" s="111">
        <f t="shared" si="112"/>
        <v>0</v>
      </c>
      <c r="AW175" s="4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6"/>
      <c r="DM175" s="111">
        <f t="shared" si="113"/>
        <v>0</v>
      </c>
      <c r="DN175" s="4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6"/>
      <c r="GD175" s="111">
        <f t="shared" si="114"/>
        <v>0</v>
      </c>
      <c r="GE175" s="4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6"/>
      <c r="IU175" s="111">
        <f t="shared" si="115"/>
        <v>0</v>
      </c>
      <c r="IV175" s="4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6"/>
      <c r="LL175" s="111">
        <f t="shared" si="116"/>
        <v>0</v>
      </c>
      <c r="LM175" s="4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6"/>
      <c r="OC175" s="111">
        <f t="shared" si="117"/>
        <v>0</v>
      </c>
      <c r="OD175" s="4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6"/>
      <c r="QT175" s="111">
        <f t="shared" si="118"/>
        <v>0</v>
      </c>
      <c r="QU175" s="4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6"/>
      <c r="TK175" s="111">
        <f t="shared" si="119"/>
        <v>0</v>
      </c>
      <c r="TL175" s="4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6"/>
    </row>
    <row r="176" spans="1:599" ht="14.25" customHeight="1" x14ac:dyDescent="0.3">
      <c r="A176" s="85"/>
      <c r="B176" s="39"/>
      <c r="C176" s="86"/>
      <c r="D176" s="86"/>
      <c r="E176" s="81"/>
      <c r="F176" s="81"/>
      <c r="G176" s="81"/>
      <c r="H176" s="81"/>
      <c r="I176" s="81"/>
      <c r="J176" s="81"/>
      <c r="K176" s="81"/>
      <c r="L176" s="81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89" t="str">
        <f t="shared" si="97"/>
        <v/>
      </c>
      <c r="Z176" s="89" t="str">
        <f t="shared" si="98"/>
        <v/>
      </c>
      <c r="AA176" s="89">
        <f t="shared" si="99"/>
        <v>0</v>
      </c>
      <c r="AB176" s="89">
        <f t="shared" si="100"/>
        <v>0</v>
      </c>
      <c r="AC176" s="90">
        <f t="shared" si="101"/>
        <v>0</v>
      </c>
      <c r="AD176" s="91">
        <f t="shared" si="102"/>
        <v>0</v>
      </c>
      <c r="AE176" s="93">
        <f t="shared" si="103"/>
        <v>0</v>
      </c>
      <c r="AF176" s="93">
        <f t="shared" si="104"/>
        <v>0</v>
      </c>
      <c r="AG176" s="93">
        <f t="shared" si="105"/>
        <v>0</v>
      </c>
      <c r="AH176" s="93">
        <f t="shared" si="106"/>
        <v>0</v>
      </c>
      <c r="AI176" s="93">
        <f t="shared" si="107"/>
        <v>0</v>
      </c>
      <c r="AJ176" s="93">
        <f t="shared" si="108"/>
        <v>0</v>
      </c>
      <c r="AK176" s="93">
        <f t="shared" si="109"/>
        <v>0</v>
      </c>
      <c r="AL176" s="93">
        <f t="shared" si="110"/>
        <v>0</v>
      </c>
      <c r="AM176" s="92">
        <f t="shared" si="111"/>
        <v>0</v>
      </c>
      <c r="AN176" s="1" t="str">
        <f t="shared" si="120"/>
        <v xml:space="preserve"> </v>
      </c>
      <c r="AO176" s="1" t="str">
        <f t="shared" si="121"/>
        <v xml:space="preserve"> </v>
      </c>
      <c r="AP176" s="1" t="str">
        <f t="shared" si="122"/>
        <v xml:space="preserve"> </v>
      </c>
      <c r="AQ176" s="1" t="str">
        <f t="shared" si="123"/>
        <v xml:space="preserve"> </v>
      </c>
      <c r="AR176" s="1" t="str">
        <f t="shared" si="124"/>
        <v xml:space="preserve"> </v>
      </c>
      <c r="AS176" s="1" t="str">
        <f t="shared" si="125"/>
        <v xml:space="preserve"> </v>
      </c>
      <c r="AT176" s="1" t="str">
        <f t="shared" si="126"/>
        <v xml:space="preserve"> </v>
      </c>
      <c r="AU176" s="103" t="str">
        <f t="shared" si="127"/>
        <v xml:space="preserve"> </v>
      </c>
      <c r="AV176" s="111">
        <f t="shared" si="112"/>
        <v>0</v>
      </c>
      <c r="AW176" s="4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6"/>
      <c r="DM176" s="111">
        <f t="shared" si="113"/>
        <v>0</v>
      </c>
      <c r="DN176" s="4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6"/>
      <c r="GD176" s="111">
        <f t="shared" si="114"/>
        <v>0</v>
      </c>
      <c r="GE176" s="4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6"/>
      <c r="IU176" s="111">
        <f t="shared" si="115"/>
        <v>0</v>
      </c>
      <c r="IV176" s="4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6"/>
      <c r="LL176" s="111">
        <f t="shared" si="116"/>
        <v>0</v>
      </c>
      <c r="LM176" s="4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6"/>
      <c r="OC176" s="111">
        <f t="shared" si="117"/>
        <v>0</v>
      </c>
      <c r="OD176" s="4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6"/>
      <c r="QT176" s="111">
        <f t="shared" si="118"/>
        <v>0</v>
      </c>
      <c r="QU176" s="4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6"/>
      <c r="TK176" s="111">
        <f t="shared" si="119"/>
        <v>0</v>
      </c>
      <c r="TL176" s="4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6"/>
    </row>
    <row r="177" spans="1:599" ht="14.25" customHeight="1" x14ac:dyDescent="0.3">
      <c r="A177" s="85"/>
      <c r="B177" s="39"/>
      <c r="C177" s="86"/>
      <c r="D177" s="86"/>
      <c r="E177" s="81"/>
      <c r="F177" s="81"/>
      <c r="G177" s="81"/>
      <c r="H177" s="81"/>
      <c r="I177" s="81"/>
      <c r="J177" s="81"/>
      <c r="K177" s="81"/>
      <c r="L177" s="81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89" t="str">
        <f t="shared" si="97"/>
        <v/>
      </c>
      <c r="Z177" s="89" t="str">
        <f t="shared" si="98"/>
        <v/>
      </c>
      <c r="AA177" s="89">
        <f t="shared" si="99"/>
        <v>0</v>
      </c>
      <c r="AB177" s="89">
        <f t="shared" si="100"/>
        <v>0</v>
      </c>
      <c r="AC177" s="90">
        <f t="shared" si="101"/>
        <v>0</v>
      </c>
      <c r="AD177" s="91">
        <f t="shared" si="102"/>
        <v>0</v>
      </c>
      <c r="AE177" s="93">
        <f t="shared" si="103"/>
        <v>0</v>
      </c>
      <c r="AF177" s="93">
        <f t="shared" si="104"/>
        <v>0</v>
      </c>
      <c r="AG177" s="93">
        <f t="shared" si="105"/>
        <v>0</v>
      </c>
      <c r="AH177" s="93">
        <f t="shared" si="106"/>
        <v>0</v>
      </c>
      <c r="AI177" s="93">
        <f t="shared" si="107"/>
        <v>0</v>
      </c>
      <c r="AJ177" s="93">
        <f t="shared" si="108"/>
        <v>0</v>
      </c>
      <c r="AK177" s="93">
        <f t="shared" si="109"/>
        <v>0</v>
      </c>
      <c r="AL177" s="93">
        <f t="shared" si="110"/>
        <v>0</v>
      </c>
      <c r="AM177" s="92">
        <f t="shared" si="111"/>
        <v>0</v>
      </c>
      <c r="AN177" s="1" t="str">
        <f t="shared" si="120"/>
        <v xml:space="preserve"> </v>
      </c>
      <c r="AO177" s="1" t="str">
        <f t="shared" si="121"/>
        <v xml:space="preserve"> </v>
      </c>
      <c r="AP177" s="1" t="str">
        <f t="shared" si="122"/>
        <v xml:space="preserve"> </v>
      </c>
      <c r="AQ177" s="1" t="str">
        <f t="shared" si="123"/>
        <v xml:space="preserve"> </v>
      </c>
      <c r="AR177" s="1" t="str">
        <f t="shared" si="124"/>
        <v xml:space="preserve"> </v>
      </c>
      <c r="AS177" s="1" t="str">
        <f t="shared" si="125"/>
        <v xml:space="preserve"> </v>
      </c>
      <c r="AT177" s="1" t="str">
        <f t="shared" si="126"/>
        <v xml:space="preserve"> </v>
      </c>
      <c r="AU177" s="103" t="str">
        <f t="shared" si="127"/>
        <v xml:space="preserve"> </v>
      </c>
      <c r="AV177" s="111">
        <f t="shared" si="112"/>
        <v>0</v>
      </c>
      <c r="AW177" s="4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6"/>
      <c r="DM177" s="111">
        <f t="shared" si="113"/>
        <v>0</v>
      </c>
      <c r="DN177" s="4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6"/>
      <c r="GD177" s="111">
        <f t="shared" si="114"/>
        <v>0</v>
      </c>
      <c r="GE177" s="4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6"/>
      <c r="IU177" s="111">
        <f t="shared" si="115"/>
        <v>0</v>
      </c>
      <c r="IV177" s="4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6"/>
      <c r="LL177" s="111">
        <f t="shared" si="116"/>
        <v>0</v>
      </c>
      <c r="LM177" s="4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6"/>
      <c r="OC177" s="111">
        <f t="shared" si="117"/>
        <v>0</v>
      </c>
      <c r="OD177" s="4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6"/>
      <c r="QT177" s="111">
        <f t="shared" si="118"/>
        <v>0</v>
      </c>
      <c r="QU177" s="4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6"/>
      <c r="TK177" s="111">
        <f t="shared" si="119"/>
        <v>0</v>
      </c>
      <c r="TL177" s="4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6"/>
    </row>
    <row r="178" spans="1:599" ht="14.25" customHeight="1" x14ac:dyDescent="0.3">
      <c r="A178" s="85"/>
      <c r="B178" s="39"/>
      <c r="C178" s="86"/>
      <c r="D178" s="86"/>
      <c r="E178" s="81"/>
      <c r="F178" s="81"/>
      <c r="G178" s="81"/>
      <c r="H178" s="81"/>
      <c r="I178" s="82"/>
      <c r="J178" s="82"/>
      <c r="K178" s="82"/>
      <c r="L178" s="82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89" t="str">
        <f t="shared" si="97"/>
        <v/>
      </c>
      <c r="Z178" s="89" t="str">
        <f t="shared" si="98"/>
        <v/>
      </c>
      <c r="AA178" s="89">
        <f t="shared" si="99"/>
        <v>0</v>
      </c>
      <c r="AB178" s="89">
        <f t="shared" si="100"/>
        <v>0</v>
      </c>
      <c r="AC178" s="90">
        <f t="shared" si="101"/>
        <v>0</v>
      </c>
      <c r="AD178" s="91">
        <f t="shared" si="102"/>
        <v>0</v>
      </c>
      <c r="AE178" s="93">
        <f t="shared" si="103"/>
        <v>0</v>
      </c>
      <c r="AF178" s="93">
        <f t="shared" si="104"/>
        <v>0</v>
      </c>
      <c r="AG178" s="93">
        <f t="shared" si="105"/>
        <v>0</v>
      </c>
      <c r="AH178" s="93">
        <f t="shared" si="106"/>
        <v>0</v>
      </c>
      <c r="AI178" s="93">
        <f t="shared" si="107"/>
        <v>0</v>
      </c>
      <c r="AJ178" s="93">
        <f t="shared" si="108"/>
        <v>0</v>
      </c>
      <c r="AK178" s="93">
        <f t="shared" si="109"/>
        <v>0</v>
      </c>
      <c r="AL178" s="93">
        <f t="shared" si="110"/>
        <v>0</v>
      </c>
      <c r="AM178" s="92">
        <f t="shared" si="111"/>
        <v>0</v>
      </c>
      <c r="AN178" s="1" t="str">
        <f t="shared" si="120"/>
        <v xml:space="preserve"> </v>
      </c>
      <c r="AO178" s="1" t="str">
        <f t="shared" si="121"/>
        <v xml:space="preserve"> </v>
      </c>
      <c r="AP178" s="1" t="str">
        <f t="shared" si="122"/>
        <v xml:space="preserve"> </v>
      </c>
      <c r="AQ178" s="1" t="str">
        <f t="shared" si="123"/>
        <v xml:space="preserve"> </v>
      </c>
      <c r="AR178" s="1" t="str">
        <f t="shared" si="124"/>
        <v xml:space="preserve"> </v>
      </c>
      <c r="AS178" s="1" t="str">
        <f t="shared" si="125"/>
        <v xml:space="preserve"> </v>
      </c>
      <c r="AT178" s="1" t="str">
        <f t="shared" si="126"/>
        <v xml:space="preserve"> </v>
      </c>
      <c r="AU178" s="103" t="str">
        <f t="shared" si="127"/>
        <v xml:space="preserve"> </v>
      </c>
      <c r="AV178" s="111">
        <f t="shared" si="112"/>
        <v>0</v>
      </c>
      <c r="AW178" s="71"/>
      <c r="AX178" s="72"/>
      <c r="AY178" s="72"/>
      <c r="AZ178" s="72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  <c r="BL178" s="72"/>
      <c r="BM178" s="72"/>
      <c r="BN178" s="72"/>
      <c r="BO178" s="72"/>
      <c r="BP178" s="72"/>
      <c r="BQ178" s="72"/>
      <c r="BR178" s="72"/>
      <c r="BS178" s="72"/>
      <c r="BT178" s="72"/>
      <c r="BU178" s="72"/>
      <c r="BV178" s="72"/>
      <c r="BW178" s="72"/>
      <c r="BX178" s="72"/>
      <c r="BY178" s="72"/>
      <c r="BZ178" s="72"/>
      <c r="CA178" s="72"/>
      <c r="CB178" s="72"/>
      <c r="CC178" s="72"/>
      <c r="CD178" s="72"/>
      <c r="CE178" s="72"/>
      <c r="CF178" s="72"/>
      <c r="CG178" s="72"/>
      <c r="CH178" s="72"/>
      <c r="CI178" s="72"/>
      <c r="CJ178" s="72"/>
      <c r="CK178" s="72"/>
      <c r="CL178" s="72"/>
      <c r="CM178" s="72"/>
      <c r="CN178" s="72"/>
      <c r="CO178" s="72"/>
      <c r="CP178" s="72"/>
      <c r="CQ178" s="72"/>
      <c r="CR178" s="72"/>
      <c r="CS178" s="72"/>
      <c r="CT178" s="72"/>
      <c r="CU178" s="72"/>
      <c r="CV178" s="72"/>
      <c r="CW178" s="72"/>
      <c r="CX178" s="72"/>
      <c r="CY178" s="72"/>
      <c r="CZ178" s="72"/>
      <c r="DA178" s="72"/>
      <c r="DB178" s="72"/>
      <c r="DC178" s="72"/>
      <c r="DD178" s="72"/>
      <c r="DE178" s="72"/>
      <c r="DF178" s="72"/>
      <c r="DG178" s="72"/>
      <c r="DH178" s="72"/>
      <c r="DI178" s="72"/>
      <c r="DJ178" s="72"/>
      <c r="DK178" s="72"/>
      <c r="DL178" s="73"/>
      <c r="DM178" s="111">
        <f t="shared" si="113"/>
        <v>0</v>
      </c>
      <c r="DN178" s="4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6"/>
      <c r="GD178" s="111">
        <f t="shared" si="114"/>
        <v>0</v>
      </c>
      <c r="GE178" s="4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6"/>
      <c r="IU178" s="111">
        <f t="shared" si="115"/>
        <v>0</v>
      </c>
      <c r="IV178" s="4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6"/>
      <c r="LL178" s="111">
        <f t="shared" si="116"/>
        <v>0</v>
      </c>
      <c r="LM178" s="4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6"/>
      <c r="OC178" s="111">
        <f t="shared" si="117"/>
        <v>0</v>
      </c>
      <c r="OD178" s="4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6"/>
      <c r="QT178" s="111">
        <f t="shared" si="118"/>
        <v>0</v>
      </c>
      <c r="QU178" s="4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6"/>
      <c r="TK178" s="111">
        <f t="shared" si="119"/>
        <v>0</v>
      </c>
      <c r="TL178" s="4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6"/>
    </row>
    <row r="179" spans="1:599" ht="14.25" customHeight="1" x14ac:dyDescent="0.3">
      <c r="A179" s="41"/>
      <c r="B179" s="39"/>
      <c r="C179" s="40"/>
      <c r="D179" s="40"/>
      <c r="E179" s="83"/>
      <c r="F179" s="83"/>
      <c r="G179" s="83"/>
      <c r="H179" s="83"/>
      <c r="I179" s="83"/>
      <c r="J179" s="83"/>
      <c r="K179" s="83"/>
      <c r="L179" s="8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89" t="str">
        <f t="shared" si="97"/>
        <v/>
      </c>
      <c r="Z179" s="89" t="str">
        <f t="shared" si="98"/>
        <v/>
      </c>
      <c r="AA179" s="89">
        <f t="shared" si="99"/>
        <v>0</v>
      </c>
      <c r="AB179" s="89">
        <f t="shared" si="100"/>
        <v>0</v>
      </c>
      <c r="AC179" s="90">
        <f t="shared" si="101"/>
        <v>0</v>
      </c>
      <c r="AD179" s="91">
        <f t="shared" si="102"/>
        <v>0</v>
      </c>
      <c r="AE179" s="93">
        <f t="shared" si="103"/>
        <v>0</v>
      </c>
      <c r="AF179" s="93">
        <f t="shared" si="104"/>
        <v>0</v>
      </c>
      <c r="AG179" s="93">
        <f t="shared" si="105"/>
        <v>0</v>
      </c>
      <c r="AH179" s="93">
        <f t="shared" si="106"/>
        <v>0</v>
      </c>
      <c r="AI179" s="93">
        <f t="shared" si="107"/>
        <v>0</v>
      </c>
      <c r="AJ179" s="93">
        <f t="shared" si="108"/>
        <v>0</v>
      </c>
      <c r="AK179" s="93">
        <f t="shared" si="109"/>
        <v>0</v>
      </c>
      <c r="AL179" s="93">
        <f t="shared" si="110"/>
        <v>0</v>
      </c>
      <c r="AM179" s="92">
        <f t="shared" si="111"/>
        <v>0</v>
      </c>
      <c r="AN179" s="1" t="str">
        <f t="shared" si="120"/>
        <v xml:space="preserve"> </v>
      </c>
      <c r="AO179" s="1" t="str">
        <f t="shared" si="121"/>
        <v xml:space="preserve"> </v>
      </c>
      <c r="AP179" s="1" t="str">
        <f t="shared" si="122"/>
        <v xml:space="preserve"> </v>
      </c>
      <c r="AQ179" s="1" t="str">
        <f t="shared" si="123"/>
        <v xml:space="preserve"> </v>
      </c>
      <c r="AR179" s="1" t="str">
        <f t="shared" si="124"/>
        <v xml:space="preserve"> </v>
      </c>
      <c r="AS179" s="1" t="str">
        <f t="shared" si="125"/>
        <v xml:space="preserve"> </v>
      </c>
      <c r="AT179" s="1" t="str">
        <f t="shared" si="126"/>
        <v xml:space="preserve"> </v>
      </c>
      <c r="AU179" s="103" t="str">
        <f t="shared" si="127"/>
        <v xml:space="preserve"> </v>
      </c>
      <c r="AV179" s="111">
        <f t="shared" si="112"/>
        <v>0</v>
      </c>
      <c r="AW179" s="75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6"/>
      <c r="DM179" s="111">
        <f t="shared" si="113"/>
        <v>0</v>
      </c>
      <c r="DN179" s="4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6"/>
      <c r="GD179" s="111">
        <f t="shared" si="114"/>
        <v>0</v>
      </c>
      <c r="GE179" s="4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6"/>
      <c r="IU179" s="111">
        <f t="shared" si="115"/>
        <v>0</v>
      </c>
      <c r="IV179" s="4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6"/>
      <c r="LL179" s="111">
        <f t="shared" si="116"/>
        <v>0</v>
      </c>
      <c r="LM179" s="4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6"/>
      <c r="OC179" s="111">
        <f t="shared" si="117"/>
        <v>0</v>
      </c>
      <c r="OD179" s="4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6"/>
      <c r="QT179" s="111">
        <f t="shared" si="118"/>
        <v>0</v>
      </c>
      <c r="QU179" s="4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6"/>
      <c r="TK179" s="111">
        <f t="shared" si="119"/>
        <v>0</v>
      </c>
      <c r="TL179" s="4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6"/>
    </row>
    <row r="180" spans="1:599" ht="14.25" customHeight="1" x14ac:dyDescent="0.3">
      <c r="A180" s="85"/>
      <c r="B180" s="39"/>
      <c r="C180" s="86"/>
      <c r="D180" s="86"/>
      <c r="E180" s="81"/>
      <c r="F180" s="81"/>
      <c r="G180" s="81"/>
      <c r="H180" s="81"/>
      <c r="I180" s="81"/>
      <c r="J180" s="81"/>
      <c r="K180" s="81"/>
      <c r="L180" s="81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89" t="str">
        <f t="shared" si="97"/>
        <v/>
      </c>
      <c r="Z180" s="89" t="str">
        <f t="shared" si="98"/>
        <v/>
      </c>
      <c r="AA180" s="89">
        <f t="shared" si="99"/>
        <v>0</v>
      </c>
      <c r="AB180" s="89">
        <f t="shared" si="100"/>
        <v>0</v>
      </c>
      <c r="AC180" s="90">
        <f t="shared" si="101"/>
        <v>0</v>
      </c>
      <c r="AD180" s="91">
        <f t="shared" si="102"/>
        <v>0</v>
      </c>
      <c r="AE180" s="93">
        <f t="shared" si="103"/>
        <v>0</v>
      </c>
      <c r="AF180" s="93">
        <f t="shared" si="104"/>
        <v>0</v>
      </c>
      <c r="AG180" s="93">
        <f t="shared" si="105"/>
        <v>0</v>
      </c>
      <c r="AH180" s="93">
        <f t="shared" si="106"/>
        <v>0</v>
      </c>
      <c r="AI180" s="93">
        <f t="shared" si="107"/>
        <v>0</v>
      </c>
      <c r="AJ180" s="93">
        <f t="shared" si="108"/>
        <v>0</v>
      </c>
      <c r="AK180" s="93">
        <f t="shared" si="109"/>
        <v>0</v>
      </c>
      <c r="AL180" s="93">
        <f t="shared" si="110"/>
        <v>0</v>
      </c>
      <c r="AM180" s="92">
        <f t="shared" si="111"/>
        <v>0</v>
      </c>
      <c r="AN180" s="1" t="str">
        <f t="shared" si="120"/>
        <v xml:space="preserve"> </v>
      </c>
      <c r="AO180" s="1" t="str">
        <f t="shared" si="121"/>
        <v xml:space="preserve"> </v>
      </c>
      <c r="AP180" s="1" t="str">
        <f t="shared" si="122"/>
        <v xml:space="preserve"> </v>
      </c>
      <c r="AQ180" s="1" t="str">
        <f t="shared" si="123"/>
        <v xml:space="preserve"> </v>
      </c>
      <c r="AR180" s="1" t="str">
        <f t="shared" si="124"/>
        <v xml:space="preserve"> </v>
      </c>
      <c r="AS180" s="1" t="str">
        <f t="shared" si="125"/>
        <v xml:space="preserve"> </v>
      </c>
      <c r="AT180" s="1" t="str">
        <f t="shared" si="126"/>
        <v xml:space="preserve"> </v>
      </c>
      <c r="AU180" s="103" t="str">
        <f t="shared" si="127"/>
        <v xml:space="preserve"> </v>
      </c>
      <c r="AV180" s="111">
        <f t="shared" si="112"/>
        <v>0</v>
      </c>
      <c r="AW180" s="4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6"/>
      <c r="DM180" s="111">
        <f t="shared" si="113"/>
        <v>0</v>
      </c>
      <c r="DN180" s="4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6"/>
      <c r="GD180" s="111">
        <f t="shared" si="114"/>
        <v>0</v>
      </c>
      <c r="GE180" s="4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6"/>
      <c r="IU180" s="111">
        <f t="shared" si="115"/>
        <v>0</v>
      </c>
      <c r="IV180" s="4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6"/>
      <c r="LL180" s="111">
        <f t="shared" si="116"/>
        <v>0</v>
      </c>
      <c r="LM180" s="4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6"/>
      <c r="OC180" s="111">
        <f t="shared" si="117"/>
        <v>0</v>
      </c>
      <c r="OD180" s="4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6"/>
      <c r="QT180" s="111">
        <f t="shared" si="118"/>
        <v>0</v>
      </c>
      <c r="QU180" s="4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6"/>
      <c r="TK180" s="111">
        <f t="shared" si="119"/>
        <v>0</v>
      </c>
      <c r="TL180" s="4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6"/>
    </row>
    <row r="181" spans="1:599" ht="14.25" customHeight="1" x14ac:dyDescent="0.3">
      <c r="A181" s="85"/>
      <c r="B181" s="39"/>
      <c r="C181" s="86"/>
      <c r="D181" s="86"/>
      <c r="E181" s="81"/>
      <c r="F181" s="81"/>
      <c r="G181" s="81"/>
      <c r="H181" s="81"/>
      <c r="I181" s="81"/>
      <c r="J181" s="81"/>
      <c r="K181" s="81"/>
      <c r="L181" s="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89" t="str">
        <f t="shared" si="97"/>
        <v/>
      </c>
      <c r="Z181" s="89" t="str">
        <f t="shared" si="98"/>
        <v/>
      </c>
      <c r="AA181" s="89">
        <f t="shared" si="99"/>
        <v>0</v>
      </c>
      <c r="AB181" s="89">
        <f t="shared" si="100"/>
        <v>0</v>
      </c>
      <c r="AC181" s="90">
        <f t="shared" si="101"/>
        <v>0</v>
      </c>
      <c r="AD181" s="91">
        <f t="shared" si="102"/>
        <v>0</v>
      </c>
      <c r="AE181" s="93">
        <f t="shared" si="103"/>
        <v>0</v>
      </c>
      <c r="AF181" s="93">
        <f t="shared" si="104"/>
        <v>0</v>
      </c>
      <c r="AG181" s="93">
        <f t="shared" si="105"/>
        <v>0</v>
      </c>
      <c r="AH181" s="93">
        <f t="shared" si="106"/>
        <v>0</v>
      </c>
      <c r="AI181" s="93">
        <f t="shared" si="107"/>
        <v>0</v>
      </c>
      <c r="AJ181" s="93">
        <f t="shared" si="108"/>
        <v>0</v>
      </c>
      <c r="AK181" s="93">
        <f t="shared" si="109"/>
        <v>0</v>
      </c>
      <c r="AL181" s="93">
        <f t="shared" si="110"/>
        <v>0</v>
      </c>
      <c r="AM181" s="92">
        <f t="shared" si="111"/>
        <v>0</v>
      </c>
      <c r="AN181" s="1" t="str">
        <f t="shared" si="120"/>
        <v xml:space="preserve"> </v>
      </c>
      <c r="AO181" s="1" t="str">
        <f t="shared" si="121"/>
        <v xml:space="preserve"> </v>
      </c>
      <c r="AP181" s="1" t="str">
        <f t="shared" si="122"/>
        <v xml:space="preserve"> </v>
      </c>
      <c r="AQ181" s="1" t="str">
        <f t="shared" si="123"/>
        <v xml:space="preserve"> </v>
      </c>
      <c r="AR181" s="1" t="str">
        <f t="shared" si="124"/>
        <v xml:space="preserve"> </v>
      </c>
      <c r="AS181" s="1" t="str">
        <f t="shared" si="125"/>
        <v xml:space="preserve"> </v>
      </c>
      <c r="AT181" s="1" t="str">
        <f t="shared" si="126"/>
        <v xml:space="preserve"> </v>
      </c>
      <c r="AU181" s="103" t="str">
        <f t="shared" si="127"/>
        <v xml:space="preserve"> </v>
      </c>
      <c r="AV181" s="111">
        <f t="shared" si="112"/>
        <v>0</v>
      </c>
      <c r="AW181" s="4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6"/>
      <c r="DM181" s="111">
        <f t="shared" si="113"/>
        <v>0</v>
      </c>
      <c r="DN181" s="4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6"/>
      <c r="GD181" s="111">
        <f t="shared" si="114"/>
        <v>0</v>
      </c>
      <c r="GE181" s="4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6"/>
      <c r="IU181" s="111">
        <f t="shared" si="115"/>
        <v>0</v>
      </c>
      <c r="IV181" s="4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6"/>
      <c r="LL181" s="111">
        <f t="shared" si="116"/>
        <v>0</v>
      </c>
      <c r="LM181" s="4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6"/>
      <c r="OC181" s="111">
        <f t="shared" si="117"/>
        <v>0</v>
      </c>
      <c r="OD181" s="4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6"/>
      <c r="QT181" s="111">
        <f t="shared" si="118"/>
        <v>0</v>
      </c>
      <c r="QU181" s="4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6"/>
      <c r="TK181" s="111">
        <f t="shared" si="119"/>
        <v>0</v>
      </c>
      <c r="TL181" s="4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6"/>
    </row>
    <row r="182" spans="1:599" ht="14.25" customHeight="1" x14ac:dyDescent="0.3">
      <c r="A182" s="85"/>
      <c r="B182" s="39"/>
      <c r="C182" s="86"/>
      <c r="D182" s="86"/>
      <c r="E182" s="81"/>
      <c r="F182" s="81"/>
      <c r="G182" s="81"/>
      <c r="H182" s="81"/>
      <c r="I182" s="81"/>
      <c r="J182" s="81"/>
      <c r="K182" s="81"/>
      <c r="L182" s="81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89" t="str">
        <f t="shared" si="97"/>
        <v/>
      </c>
      <c r="Z182" s="89" t="str">
        <f t="shared" si="98"/>
        <v/>
      </c>
      <c r="AA182" s="89">
        <f t="shared" si="99"/>
        <v>0</v>
      </c>
      <c r="AB182" s="89">
        <f t="shared" si="100"/>
        <v>0</v>
      </c>
      <c r="AC182" s="90">
        <f t="shared" si="101"/>
        <v>0</v>
      </c>
      <c r="AD182" s="91">
        <f t="shared" si="102"/>
        <v>0</v>
      </c>
      <c r="AE182" s="93">
        <f t="shared" si="103"/>
        <v>0</v>
      </c>
      <c r="AF182" s="93">
        <f t="shared" si="104"/>
        <v>0</v>
      </c>
      <c r="AG182" s="93">
        <f t="shared" si="105"/>
        <v>0</v>
      </c>
      <c r="AH182" s="93">
        <f t="shared" si="106"/>
        <v>0</v>
      </c>
      <c r="AI182" s="93">
        <f t="shared" si="107"/>
        <v>0</v>
      </c>
      <c r="AJ182" s="93">
        <f t="shared" si="108"/>
        <v>0</v>
      </c>
      <c r="AK182" s="93">
        <f t="shared" si="109"/>
        <v>0</v>
      </c>
      <c r="AL182" s="93">
        <f t="shared" si="110"/>
        <v>0</v>
      </c>
      <c r="AM182" s="92">
        <f t="shared" si="111"/>
        <v>0</v>
      </c>
      <c r="AN182" s="1" t="str">
        <f t="shared" si="120"/>
        <v xml:space="preserve"> </v>
      </c>
      <c r="AO182" s="1" t="str">
        <f t="shared" si="121"/>
        <v xml:space="preserve"> </v>
      </c>
      <c r="AP182" s="1" t="str">
        <f t="shared" si="122"/>
        <v xml:space="preserve"> </v>
      </c>
      <c r="AQ182" s="1" t="str">
        <f t="shared" si="123"/>
        <v xml:space="preserve"> </v>
      </c>
      <c r="AR182" s="1" t="str">
        <f t="shared" si="124"/>
        <v xml:space="preserve"> </v>
      </c>
      <c r="AS182" s="1" t="str">
        <f t="shared" si="125"/>
        <v xml:space="preserve"> </v>
      </c>
      <c r="AT182" s="1" t="str">
        <f t="shared" si="126"/>
        <v xml:space="preserve"> </v>
      </c>
      <c r="AU182" s="103" t="str">
        <f t="shared" si="127"/>
        <v xml:space="preserve"> </v>
      </c>
      <c r="AV182" s="111">
        <f t="shared" si="112"/>
        <v>0</v>
      </c>
      <c r="AW182" s="4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6"/>
      <c r="DM182" s="111">
        <f t="shared" si="113"/>
        <v>0</v>
      </c>
      <c r="DN182" s="4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6"/>
      <c r="GD182" s="111">
        <f t="shared" si="114"/>
        <v>0</v>
      </c>
      <c r="GE182" s="4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6"/>
      <c r="IU182" s="111">
        <f t="shared" si="115"/>
        <v>0</v>
      </c>
      <c r="IV182" s="4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6"/>
      <c r="LL182" s="111">
        <f t="shared" si="116"/>
        <v>0</v>
      </c>
      <c r="LM182" s="4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6"/>
      <c r="OC182" s="111">
        <f t="shared" si="117"/>
        <v>0</v>
      </c>
      <c r="OD182" s="4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6"/>
      <c r="QT182" s="111">
        <f t="shared" si="118"/>
        <v>0</v>
      </c>
      <c r="QU182" s="4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6"/>
      <c r="TK182" s="111">
        <f t="shared" si="119"/>
        <v>0</v>
      </c>
      <c r="TL182" s="4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6"/>
    </row>
    <row r="183" spans="1:599" ht="14.25" customHeight="1" x14ac:dyDescent="0.3">
      <c r="A183" s="85"/>
      <c r="B183" s="39"/>
      <c r="C183" s="86"/>
      <c r="D183" s="86"/>
      <c r="E183" s="81"/>
      <c r="F183" s="81"/>
      <c r="G183" s="81"/>
      <c r="H183" s="81"/>
      <c r="I183" s="81"/>
      <c r="J183" s="81"/>
      <c r="K183" s="81"/>
      <c r="L183" s="81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89" t="str">
        <f t="shared" si="97"/>
        <v/>
      </c>
      <c r="Z183" s="89" t="str">
        <f t="shared" si="98"/>
        <v/>
      </c>
      <c r="AA183" s="89">
        <f t="shared" si="99"/>
        <v>0</v>
      </c>
      <c r="AB183" s="89">
        <f t="shared" si="100"/>
        <v>0</v>
      </c>
      <c r="AC183" s="90">
        <f t="shared" si="101"/>
        <v>0</v>
      </c>
      <c r="AD183" s="91">
        <f t="shared" si="102"/>
        <v>0</v>
      </c>
      <c r="AE183" s="93">
        <f t="shared" si="103"/>
        <v>0</v>
      </c>
      <c r="AF183" s="93">
        <f t="shared" si="104"/>
        <v>0</v>
      </c>
      <c r="AG183" s="93">
        <f t="shared" si="105"/>
        <v>0</v>
      </c>
      <c r="AH183" s="93">
        <f t="shared" si="106"/>
        <v>0</v>
      </c>
      <c r="AI183" s="93">
        <f t="shared" si="107"/>
        <v>0</v>
      </c>
      <c r="AJ183" s="93">
        <f t="shared" si="108"/>
        <v>0</v>
      </c>
      <c r="AK183" s="93">
        <f t="shared" si="109"/>
        <v>0</v>
      </c>
      <c r="AL183" s="93">
        <f t="shared" si="110"/>
        <v>0</v>
      </c>
      <c r="AM183" s="92">
        <f t="shared" si="111"/>
        <v>0</v>
      </c>
      <c r="AN183" s="1" t="str">
        <f t="shared" si="120"/>
        <v xml:space="preserve"> </v>
      </c>
      <c r="AO183" s="1" t="str">
        <f t="shared" si="121"/>
        <v xml:space="preserve"> </v>
      </c>
      <c r="AP183" s="1" t="str">
        <f t="shared" si="122"/>
        <v xml:space="preserve"> </v>
      </c>
      <c r="AQ183" s="1" t="str">
        <f t="shared" si="123"/>
        <v xml:space="preserve"> </v>
      </c>
      <c r="AR183" s="1" t="str">
        <f t="shared" si="124"/>
        <v xml:space="preserve"> </v>
      </c>
      <c r="AS183" s="1" t="str">
        <f t="shared" si="125"/>
        <v xml:space="preserve"> </v>
      </c>
      <c r="AT183" s="1" t="str">
        <f t="shared" si="126"/>
        <v xml:space="preserve"> </v>
      </c>
      <c r="AU183" s="103" t="str">
        <f t="shared" si="127"/>
        <v xml:space="preserve"> </v>
      </c>
      <c r="AV183" s="111">
        <f t="shared" si="112"/>
        <v>0</v>
      </c>
      <c r="AW183" s="4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6"/>
      <c r="DM183" s="111">
        <f t="shared" si="113"/>
        <v>0</v>
      </c>
      <c r="DN183" s="4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6"/>
      <c r="GD183" s="111">
        <f t="shared" si="114"/>
        <v>0</v>
      </c>
      <c r="GE183" s="4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6"/>
      <c r="IU183" s="111">
        <f t="shared" si="115"/>
        <v>0</v>
      </c>
      <c r="IV183" s="4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6"/>
      <c r="LL183" s="111">
        <f t="shared" si="116"/>
        <v>0</v>
      </c>
      <c r="LM183" s="4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6"/>
      <c r="OC183" s="111">
        <f t="shared" si="117"/>
        <v>0</v>
      </c>
      <c r="OD183" s="4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6"/>
      <c r="QT183" s="111">
        <f t="shared" si="118"/>
        <v>0</v>
      </c>
      <c r="QU183" s="4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6"/>
      <c r="TK183" s="111">
        <f t="shared" si="119"/>
        <v>0</v>
      </c>
      <c r="TL183" s="4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6"/>
    </row>
    <row r="184" spans="1:599" ht="14.25" customHeight="1" x14ac:dyDescent="0.3">
      <c r="A184" s="85"/>
      <c r="B184" s="39"/>
      <c r="C184" s="86"/>
      <c r="D184" s="86"/>
      <c r="E184" s="81"/>
      <c r="F184" s="81"/>
      <c r="G184" s="81"/>
      <c r="H184" s="81"/>
      <c r="I184" s="81"/>
      <c r="J184" s="81"/>
      <c r="K184" s="81"/>
      <c r="L184" s="81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89" t="str">
        <f t="shared" si="97"/>
        <v/>
      </c>
      <c r="Z184" s="89" t="str">
        <f t="shared" si="98"/>
        <v/>
      </c>
      <c r="AA184" s="89">
        <f t="shared" si="99"/>
        <v>0</v>
      </c>
      <c r="AB184" s="89">
        <f t="shared" si="100"/>
        <v>0</v>
      </c>
      <c r="AC184" s="90">
        <f t="shared" si="101"/>
        <v>0</v>
      </c>
      <c r="AD184" s="91">
        <f t="shared" si="102"/>
        <v>0</v>
      </c>
      <c r="AE184" s="93">
        <f t="shared" si="103"/>
        <v>0</v>
      </c>
      <c r="AF184" s="93">
        <f t="shared" si="104"/>
        <v>0</v>
      </c>
      <c r="AG184" s="93">
        <f t="shared" si="105"/>
        <v>0</v>
      </c>
      <c r="AH184" s="93">
        <f t="shared" si="106"/>
        <v>0</v>
      </c>
      <c r="AI184" s="93">
        <f t="shared" si="107"/>
        <v>0</v>
      </c>
      <c r="AJ184" s="93">
        <f t="shared" si="108"/>
        <v>0</v>
      </c>
      <c r="AK184" s="93">
        <f t="shared" si="109"/>
        <v>0</v>
      </c>
      <c r="AL184" s="93">
        <f t="shared" si="110"/>
        <v>0</v>
      </c>
      <c r="AM184" s="92">
        <f t="shared" si="111"/>
        <v>0</v>
      </c>
      <c r="AN184" s="1" t="str">
        <f t="shared" si="120"/>
        <v xml:space="preserve"> </v>
      </c>
      <c r="AO184" s="1" t="str">
        <f t="shared" si="121"/>
        <v xml:space="preserve"> </v>
      </c>
      <c r="AP184" s="1" t="str">
        <f t="shared" si="122"/>
        <v xml:space="preserve"> </v>
      </c>
      <c r="AQ184" s="1" t="str">
        <f t="shared" si="123"/>
        <v xml:space="preserve"> </v>
      </c>
      <c r="AR184" s="1" t="str">
        <f t="shared" si="124"/>
        <v xml:space="preserve"> </v>
      </c>
      <c r="AS184" s="1" t="str">
        <f t="shared" si="125"/>
        <v xml:space="preserve"> </v>
      </c>
      <c r="AT184" s="1" t="str">
        <f t="shared" si="126"/>
        <v xml:space="preserve"> </v>
      </c>
      <c r="AU184" s="103" t="str">
        <f t="shared" si="127"/>
        <v xml:space="preserve"> </v>
      </c>
      <c r="AV184" s="111">
        <f t="shared" si="112"/>
        <v>0</v>
      </c>
      <c r="AW184" s="4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6"/>
      <c r="DM184" s="111">
        <f t="shared" si="113"/>
        <v>0</v>
      </c>
      <c r="DN184" s="4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6"/>
      <c r="GD184" s="111">
        <f t="shared" si="114"/>
        <v>0</v>
      </c>
      <c r="GE184" s="4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6"/>
      <c r="IU184" s="111">
        <f t="shared" si="115"/>
        <v>0</v>
      </c>
      <c r="IV184" s="4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6"/>
      <c r="LL184" s="111">
        <f t="shared" si="116"/>
        <v>0</v>
      </c>
      <c r="LM184" s="4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6"/>
      <c r="OC184" s="111">
        <f t="shared" si="117"/>
        <v>0</v>
      </c>
      <c r="OD184" s="4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6"/>
      <c r="QT184" s="111">
        <f t="shared" si="118"/>
        <v>0</v>
      </c>
      <c r="QU184" s="4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6"/>
      <c r="TK184" s="111">
        <f t="shared" si="119"/>
        <v>0</v>
      </c>
      <c r="TL184" s="4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6"/>
    </row>
    <row r="185" spans="1:599" ht="14.25" customHeight="1" x14ac:dyDescent="0.3">
      <c r="A185" s="41"/>
      <c r="B185" s="39"/>
      <c r="C185" s="40"/>
      <c r="D185" s="40"/>
      <c r="E185" s="81"/>
      <c r="F185" s="81"/>
      <c r="G185" s="81"/>
      <c r="H185" s="81"/>
      <c r="I185" s="81"/>
      <c r="J185" s="81"/>
      <c r="K185" s="81"/>
      <c r="L185" s="81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89" t="str">
        <f t="shared" si="97"/>
        <v/>
      </c>
      <c r="Z185" s="89" t="str">
        <f t="shared" si="98"/>
        <v/>
      </c>
      <c r="AA185" s="89">
        <f t="shared" si="99"/>
        <v>0</v>
      </c>
      <c r="AB185" s="89">
        <f t="shared" si="100"/>
        <v>0</v>
      </c>
      <c r="AC185" s="90">
        <f t="shared" si="101"/>
        <v>0</v>
      </c>
      <c r="AD185" s="91">
        <f t="shared" si="102"/>
        <v>0</v>
      </c>
      <c r="AE185" s="93">
        <f t="shared" si="103"/>
        <v>0</v>
      </c>
      <c r="AF185" s="93">
        <f t="shared" si="104"/>
        <v>0</v>
      </c>
      <c r="AG185" s="93">
        <f t="shared" si="105"/>
        <v>0</v>
      </c>
      <c r="AH185" s="93">
        <f t="shared" si="106"/>
        <v>0</v>
      </c>
      <c r="AI185" s="93">
        <f t="shared" si="107"/>
        <v>0</v>
      </c>
      <c r="AJ185" s="93">
        <f t="shared" si="108"/>
        <v>0</v>
      </c>
      <c r="AK185" s="93">
        <f t="shared" si="109"/>
        <v>0</v>
      </c>
      <c r="AL185" s="93">
        <f t="shared" si="110"/>
        <v>0</v>
      </c>
      <c r="AM185" s="92">
        <f t="shared" si="111"/>
        <v>0</v>
      </c>
      <c r="AN185" s="1" t="str">
        <f t="shared" si="120"/>
        <v xml:space="preserve"> </v>
      </c>
      <c r="AO185" s="1" t="str">
        <f t="shared" si="121"/>
        <v xml:space="preserve"> </v>
      </c>
      <c r="AP185" s="1" t="str">
        <f t="shared" si="122"/>
        <v xml:space="preserve"> </v>
      </c>
      <c r="AQ185" s="1" t="str">
        <f t="shared" si="123"/>
        <v xml:space="preserve"> </v>
      </c>
      <c r="AR185" s="1" t="str">
        <f t="shared" si="124"/>
        <v xml:space="preserve"> </v>
      </c>
      <c r="AS185" s="1" t="str">
        <f t="shared" si="125"/>
        <v xml:space="preserve"> </v>
      </c>
      <c r="AT185" s="1" t="str">
        <f t="shared" si="126"/>
        <v xml:space="preserve"> </v>
      </c>
      <c r="AU185" s="103" t="str">
        <f t="shared" si="127"/>
        <v xml:space="preserve"> </v>
      </c>
      <c r="AV185" s="111">
        <f t="shared" si="112"/>
        <v>0</v>
      </c>
      <c r="AW185" s="4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6"/>
      <c r="DM185" s="111">
        <f t="shared" si="113"/>
        <v>0</v>
      </c>
      <c r="DN185" s="4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6"/>
      <c r="GD185" s="111">
        <f t="shared" si="114"/>
        <v>0</v>
      </c>
      <c r="GE185" s="4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6"/>
      <c r="IU185" s="111">
        <f t="shared" si="115"/>
        <v>0</v>
      </c>
      <c r="IV185" s="4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6"/>
      <c r="LL185" s="111">
        <f t="shared" si="116"/>
        <v>0</v>
      </c>
      <c r="LM185" s="4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6"/>
      <c r="OC185" s="111">
        <f t="shared" si="117"/>
        <v>0</v>
      </c>
      <c r="OD185" s="4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6"/>
      <c r="QT185" s="111">
        <f t="shared" si="118"/>
        <v>0</v>
      </c>
      <c r="QU185" s="4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6"/>
      <c r="TK185" s="111">
        <f t="shared" si="119"/>
        <v>0</v>
      </c>
      <c r="TL185" s="4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6"/>
    </row>
    <row r="186" spans="1:599" ht="14.25" customHeight="1" x14ac:dyDescent="0.3">
      <c r="A186" s="85"/>
      <c r="B186" s="39"/>
      <c r="C186" s="86"/>
      <c r="D186" s="86"/>
      <c r="E186" s="81"/>
      <c r="F186" s="81"/>
      <c r="G186" s="81"/>
      <c r="H186" s="81"/>
      <c r="I186" s="81"/>
      <c r="J186" s="81"/>
      <c r="K186" s="81"/>
      <c r="L186" s="81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89" t="str">
        <f t="shared" si="97"/>
        <v/>
      </c>
      <c r="Z186" s="89" t="str">
        <f t="shared" si="98"/>
        <v/>
      </c>
      <c r="AA186" s="89">
        <f t="shared" si="99"/>
        <v>0</v>
      </c>
      <c r="AB186" s="89">
        <f t="shared" si="100"/>
        <v>0</v>
      </c>
      <c r="AC186" s="90">
        <f t="shared" si="101"/>
        <v>0</v>
      </c>
      <c r="AD186" s="91">
        <f t="shared" si="102"/>
        <v>0</v>
      </c>
      <c r="AE186" s="93">
        <f t="shared" si="103"/>
        <v>0</v>
      </c>
      <c r="AF186" s="93">
        <f t="shared" si="104"/>
        <v>0</v>
      </c>
      <c r="AG186" s="93">
        <f t="shared" si="105"/>
        <v>0</v>
      </c>
      <c r="AH186" s="93">
        <f t="shared" si="106"/>
        <v>0</v>
      </c>
      <c r="AI186" s="93">
        <f t="shared" si="107"/>
        <v>0</v>
      </c>
      <c r="AJ186" s="93">
        <f t="shared" si="108"/>
        <v>0</v>
      </c>
      <c r="AK186" s="93">
        <f t="shared" si="109"/>
        <v>0</v>
      </c>
      <c r="AL186" s="93">
        <f t="shared" si="110"/>
        <v>0</v>
      </c>
      <c r="AM186" s="92">
        <f t="shared" si="111"/>
        <v>0</v>
      </c>
      <c r="AN186" s="1" t="str">
        <f t="shared" si="120"/>
        <v xml:space="preserve"> </v>
      </c>
      <c r="AO186" s="1" t="str">
        <f t="shared" si="121"/>
        <v xml:space="preserve"> </v>
      </c>
      <c r="AP186" s="1" t="str">
        <f t="shared" si="122"/>
        <v xml:space="preserve"> </v>
      </c>
      <c r="AQ186" s="1" t="str">
        <f t="shared" si="123"/>
        <v xml:space="preserve"> </v>
      </c>
      <c r="AR186" s="1" t="str">
        <f t="shared" si="124"/>
        <v xml:space="preserve"> </v>
      </c>
      <c r="AS186" s="1" t="str">
        <f t="shared" si="125"/>
        <v xml:space="preserve"> </v>
      </c>
      <c r="AT186" s="1" t="str">
        <f t="shared" si="126"/>
        <v xml:space="preserve"> </v>
      </c>
      <c r="AU186" s="103" t="str">
        <f t="shared" si="127"/>
        <v xml:space="preserve"> </v>
      </c>
      <c r="AV186" s="111">
        <f t="shared" si="112"/>
        <v>0</v>
      </c>
      <c r="AW186" s="4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6"/>
      <c r="DM186" s="111">
        <f t="shared" si="113"/>
        <v>0</v>
      </c>
      <c r="DN186" s="4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6"/>
      <c r="GD186" s="111">
        <f t="shared" si="114"/>
        <v>0</v>
      </c>
      <c r="GE186" s="4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6"/>
      <c r="IU186" s="111">
        <f t="shared" si="115"/>
        <v>0</v>
      </c>
      <c r="IV186" s="4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6"/>
      <c r="LL186" s="111">
        <f t="shared" si="116"/>
        <v>0</v>
      </c>
      <c r="LM186" s="4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6"/>
      <c r="OC186" s="111">
        <f t="shared" si="117"/>
        <v>0</v>
      </c>
      <c r="OD186" s="4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6"/>
      <c r="QT186" s="111">
        <f t="shared" si="118"/>
        <v>0</v>
      </c>
      <c r="QU186" s="4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6"/>
      <c r="TK186" s="111">
        <f t="shared" si="119"/>
        <v>0</v>
      </c>
      <c r="TL186" s="4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6"/>
    </row>
    <row r="187" spans="1:599" ht="14.25" customHeight="1" x14ac:dyDescent="0.3">
      <c r="A187" s="85"/>
      <c r="B187" s="39"/>
      <c r="C187" s="86"/>
      <c r="D187" s="86"/>
      <c r="E187" s="81"/>
      <c r="F187" s="81"/>
      <c r="G187" s="81"/>
      <c r="H187" s="81"/>
      <c r="I187" s="81"/>
      <c r="J187" s="81"/>
      <c r="K187" s="81"/>
      <c r="L187" s="81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89" t="str">
        <f t="shared" si="97"/>
        <v/>
      </c>
      <c r="Z187" s="89" t="str">
        <f t="shared" si="98"/>
        <v/>
      </c>
      <c r="AA187" s="89">
        <f t="shared" si="99"/>
        <v>0</v>
      </c>
      <c r="AB187" s="89">
        <f t="shared" si="100"/>
        <v>0</v>
      </c>
      <c r="AC187" s="90">
        <f t="shared" si="101"/>
        <v>0</v>
      </c>
      <c r="AD187" s="91">
        <f t="shared" si="102"/>
        <v>0</v>
      </c>
      <c r="AE187" s="93">
        <f t="shared" si="103"/>
        <v>0</v>
      </c>
      <c r="AF187" s="93">
        <f t="shared" si="104"/>
        <v>0</v>
      </c>
      <c r="AG187" s="93">
        <f t="shared" si="105"/>
        <v>0</v>
      </c>
      <c r="AH187" s="93">
        <f t="shared" si="106"/>
        <v>0</v>
      </c>
      <c r="AI187" s="93">
        <f t="shared" si="107"/>
        <v>0</v>
      </c>
      <c r="AJ187" s="93">
        <f t="shared" si="108"/>
        <v>0</v>
      </c>
      <c r="AK187" s="93">
        <f t="shared" si="109"/>
        <v>0</v>
      </c>
      <c r="AL187" s="93">
        <f t="shared" si="110"/>
        <v>0</v>
      </c>
      <c r="AM187" s="92">
        <f t="shared" si="111"/>
        <v>0</v>
      </c>
      <c r="AN187" s="1" t="str">
        <f t="shared" si="120"/>
        <v xml:space="preserve"> </v>
      </c>
      <c r="AO187" s="1" t="str">
        <f t="shared" si="121"/>
        <v xml:space="preserve"> </v>
      </c>
      <c r="AP187" s="1" t="str">
        <f t="shared" si="122"/>
        <v xml:space="preserve"> </v>
      </c>
      <c r="AQ187" s="1" t="str">
        <f t="shared" si="123"/>
        <v xml:space="preserve"> </v>
      </c>
      <c r="AR187" s="1" t="str">
        <f t="shared" si="124"/>
        <v xml:space="preserve"> </v>
      </c>
      <c r="AS187" s="1" t="str">
        <f t="shared" si="125"/>
        <v xml:space="preserve"> </v>
      </c>
      <c r="AT187" s="1" t="str">
        <f t="shared" si="126"/>
        <v xml:space="preserve"> </v>
      </c>
      <c r="AU187" s="103" t="str">
        <f t="shared" si="127"/>
        <v xml:space="preserve"> </v>
      </c>
      <c r="AV187" s="111">
        <f t="shared" si="112"/>
        <v>0</v>
      </c>
      <c r="AW187" s="4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6"/>
      <c r="DM187" s="111">
        <f t="shared" si="113"/>
        <v>0</v>
      </c>
      <c r="DN187" s="4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6"/>
      <c r="GD187" s="111">
        <f t="shared" si="114"/>
        <v>0</v>
      </c>
      <c r="GE187" s="4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6"/>
      <c r="IU187" s="111">
        <f t="shared" si="115"/>
        <v>0</v>
      </c>
      <c r="IV187" s="4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6"/>
      <c r="LL187" s="111">
        <f t="shared" si="116"/>
        <v>0</v>
      </c>
      <c r="LM187" s="4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6"/>
      <c r="OC187" s="111">
        <f t="shared" si="117"/>
        <v>0</v>
      </c>
      <c r="OD187" s="4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6"/>
      <c r="QT187" s="111">
        <f t="shared" si="118"/>
        <v>0</v>
      </c>
      <c r="QU187" s="4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6"/>
      <c r="TK187" s="111">
        <f t="shared" si="119"/>
        <v>0</v>
      </c>
      <c r="TL187" s="4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6"/>
    </row>
    <row r="188" spans="1:599" ht="14.25" customHeight="1" x14ac:dyDescent="0.3">
      <c r="A188" s="41"/>
      <c r="B188" s="39"/>
      <c r="C188" s="40"/>
      <c r="D188" s="40"/>
      <c r="E188" s="81"/>
      <c r="F188" s="81"/>
      <c r="G188" s="81"/>
      <c r="H188" s="81"/>
      <c r="I188" s="81"/>
      <c r="J188" s="81"/>
      <c r="K188" s="81"/>
      <c r="L188" s="81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89" t="str">
        <f t="shared" si="97"/>
        <v/>
      </c>
      <c r="Z188" s="89" t="str">
        <f t="shared" si="98"/>
        <v/>
      </c>
      <c r="AA188" s="89">
        <f t="shared" si="99"/>
        <v>0</v>
      </c>
      <c r="AB188" s="89">
        <f t="shared" si="100"/>
        <v>0</v>
      </c>
      <c r="AC188" s="90">
        <f t="shared" si="101"/>
        <v>0</v>
      </c>
      <c r="AD188" s="91">
        <f t="shared" si="102"/>
        <v>0</v>
      </c>
      <c r="AE188" s="93">
        <f t="shared" si="103"/>
        <v>0</v>
      </c>
      <c r="AF188" s="93">
        <f t="shared" si="104"/>
        <v>0</v>
      </c>
      <c r="AG188" s="93">
        <f t="shared" si="105"/>
        <v>0</v>
      </c>
      <c r="AH188" s="93">
        <f t="shared" si="106"/>
        <v>0</v>
      </c>
      <c r="AI188" s="93">
        <f t="shared" si="107"/>
        <v>0</v>
      </c>
      <c r="AJ188" s="93">
        <f t="shared" si="108"/>
        <v>0</v>
      </c>
      <c r="AK188" s="93">
        <f t="shared" si="109"/>
        <v>0</v>
      </c>
      <c r="AL188" s="93">
        <f t="shared" si="110"/>
        <v>0</v>
      </c>
      <c r="AM188" s="92">
        <f t="shared" si="111"/>
        <v>0</v>
      </c>
      <c r="AN188" s="1" t="str">
        <f t="shared" si="120"/>
        <v xml:space="preserve"> </v>
      </c>
      <c r="AO188" s="1" t="str">
        <f t="shared" si="121"/>
        <v xml:space="preserve"> </v>
      </c>
      <c r="AP188" s="1" t="str">
        <f t="shared" si="122"/>
        <v xml:space="preserve"> </v>
      </c>
      <c r="AQ188" s="1" t="str">
        <f t="shared" si="123"/>
        <v xml:space="preserve"> </v>
      </c>
      <c r="AR188" s="1" t="str">
        <f t="shared" si="124"/>
        <v xml:space="preserve"> </v>
      </c>
      <c r="AS188" s="1" t="str">
        <f t="shared" si="125"/>
        <v xml:space="preserve"> </v>
      </c>
      <c r="AT188" s="1" t="str">
        <f t="shared" si="126"/>
        <v xml:space="preserve"> </v>
      </c>
      <c r="AU188" s="103" t="str">
        <f t="shared" si="127"/>
        <v xml:space="preserve"> </v>
      </c>
      <c r="AV188" s="111">
        <f t="shared" si="112"/>
        <v>0</v>
      </c>
      <c r="AW188" s="4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6"/>
      <c r="DM188" s="111">
        <f t="shared" si="113"/>
        <v>0</v>
      </c>
      <c r="DN188" s="4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6"/>
      <c r="GD188" s="111">
        <f t="shared" si="114"/>
        <v>0</v>
      </c>
      <c r="GE188" s="4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6"/>
      <c r="IU188" s="111">
        <f t="shared" si="115"/>
        <v>0</v>
      </c>
      <c r="IV188" s="4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6"/>
      <c r="LL188" s="111">
        <f t="shared" si="116"/>
        <v>0</v>
      </c>
      <c r="LM188" s="4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6"/>
      <c r="OC188" s="111">
        <f t="shared" si="117"/>
        <v>0</v>
      </c>
      <c r="OD188" s="4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6"/>
      <c r="QT188" s="111">
        <f t="shared" si="118"/>
        <v>0</v>
      </c>
      <c r="QU188" s="4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6"/>
      <c r="TK188" s="111">
        <f t="shared" si="119"/>
        <v>0</v>
      </c>
      <c r="TL188" s="4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6"/>
    </row>
    <row r="189" spans="1:599" ht="14.25" customHeight="1" x14ac:dyDescent="0.3">
      <c r="A189" s="85"/>
      <c r="B189" s="39"/>
      <c r="C189" s="86"/>
      <c r="D189" s="86"/>
      <c r="E189" s="81"/>
      <c r="F189" s="81"/>
      <c r="G189" s="81"/>
      <c r="H189" s="81"/>
      <c r="I189" s="81"/>
      <c r="J189" s="81"/>
      <c r="K189" s="81"/>
      <c r="L189" s="81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89" t="str">
        <f t="shared" si="97"/>
        <v/>
      </c>
      <c r="Z189" s="89" t="str">
        <f t="shared" si="98"/>
        <v/>
      </c>
      <c r="AA189" s="89">
        <f t="shared" si="99"/>
        <v>0</v>
      </c>
      <c r="AB189" s="89">
        <f t="shared" si="100"/>
        <v>0</v>
      </c>
      <c r="AC189" s="90">
        <f t="shared" si="101"/>
        <v>0</v>
      </c>
      <c r="AD189" s="91">
        <f t="shared" si="102"/>
        <v>0</v>
      </c>
      <c r="AE189" s="93">
        <f t="shared" si="103"/>
        <v>0</v>
      </c>
      <c r="AF189" s="93">
        <f t="shared" si="104"/>
        <v>0</v>
      </c>
      <c r="AG189" s="93">
        <f t="shared" si="105"/>
        <v>0</v>
      </c>
      <c r="AH189" s="93">
        <f t="shared" si="106"/>
        <v>0</v>
      </c>
      <c r="AI189" s="93">
        <f t="shared" si="107"/>
        <v>0</v>
      </c>
      <c r="AJ189" s="93">
        <f t="shared" si="108"/>
        <v>0</v>
      </c>
      <c r="AK189" s="93">
        <f t="shared" si="109"/>
        <v>0</v>
      </c>
      <c r="AL189" s="93">
        <f t="shared" si="110"/>
        <v>0</v>
      </c>
      <c r="AM189" s="92">
        <f t="shared" si="111"/>
        <v>0</v>
      </c>
      <c r="AN189" s="1" t="str">
        <f t="shared" si="120"/>
        <v xml:space="preserve"> </v>
      </c>
      <c r="AO189" s="1" t="str">
        <f t="shared" si="121"/>
        <v xml:space="preserve"> </v>
      </c>
      <c r="AP189" s="1" t="str">
        <f t="shared" si="122"/>
        <v xml:space="preserve"> </v>
      </c>
      <c r="AQ189" s="1" t="str">
        <f t="shared" si="123"/>
        <v xml:space="preserve"> </v>
      </c>
      <c r="AR189" s="1" t="str">
        <f t="shared" si="124"/>
        <v xml:space="preserve"> </v>
      </c>
      <c r="AS189" s="1" t="str">
        <f t="shared" si="125"/>
        <v xml:space="preserve"> </v>
      </c>
      <c r="AT189" s="1" t="str">
        <f t="shared" si="126"/>
        <v xml:space="preserve"> </v>
      </c>
      <c r="AU189" s="103" t="str">
        <f t="shared" si="127"/>
        <v xml:space="preserve"> </v>
      </c>
      <c r="AV189" s="111">
        <f t="shared" si="112"/>
        <v>0</v>
      </c>
      <c r="AW189" s="4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6"/>
      <c r="DM189" s="111">
        <f t="shared" si="113"/>
        <v>0</v>
      </c>
      <c r="DN189" s="4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6"/>
      <c r="GD189" s="111">
        <f t="shared" si="114"/>
        <v>0</v>
      </c>
      <c r="GE189" s="4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6"/>
      <c r="IU189" s="111">
        <f t="shared" si="115"/>
        <v>0</v>
      </c>
      <c r="IV189" s="4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6"/>
      <c r="LL189" s="111">
        <f t="shared" si="116"/>
        <v>0</v>
      </c>
      <c r="LM189" s="4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6"/>
      <c r="OC189" s="111">
        <f t="shared" si="117"/>
        <v>0</v>
      </c>
      <c r="OD189" s="4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6"/>
      <c r="QT189" s="111">
        <f t="shared" si="118"/>
        <v>0</v>
      </c>
      <c r="QU189" s="4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6"/>
      <c r="TK189" s="111">
        <f t="shared" si="119"/>
        <v>0</v>
      </c>
      <c r="TL189" s="4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6"/>
    </row>
    <row r="190" spans="1:599" ht="14.25" customHeight="1" x14ac:dyDescent="0.3">
      <c r="A190" s="66"/>
      <c r="B190" s="39"/>
      <c r="C190" s="40"/>
      <c r="D190" s="40"/>
      <c r="E190" s="81"/>
      <c r="F190" s="81"/>
      <c r="G190" s="81"/>
      <c r="H190" s="81"/>
      <c r="I190" s="81"/>
      <c r="J190" s="81"/>
      <c r="K190" s="81"/>
      <c r="L190" s="81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69"/>
      <c r="X190" s="69"/>
      <c r="Y190" s="89" t="str">
        <f t="shared" si="97"/>
        <v/>
      </c>
      <c r="Z190" s="89" t="str">
        <f t="shared" si="98"/>
        <v/>
      </c>
      <c r="AA190" s="89">
        <f t="shared" si="99"/>
        <v>0</v>
      </c>
      <c r="AB190" s="89">
        <f t="shared" si="100"/>
        <v>0</v>
      </c>
      <c r="AC190" s="90">
        <f t="shared" si="101"/>
        <v>0</v>
      </c>
      <c r="AD190" s="91">
        <f t="shared" si="102"/>
        <v>0</v>
      </c>
      <c r="AE190" s="93">
        <f t="shared" si="103"/>
        <v>0</v>
      </c>
      <c r="AF190" s="93">
        <f t="shared" si="104"/>
        <v>0</v>
      </c>
      <c r="AG190" s="93">
        <f t="shared" si="105"/>
        <v>0</v>
      </c>
      <c r="AH190" s="93">
        <f t="shared" si="106"/>
        <v>0</v>
      </c>
      <c r="AI190" s="93">
        <f t="shared" si="107"/>
        <v>0</v>
      </c>
      <c r="AJ190" s="93">
        <f t="shared" si="108"/>
        <v>0</v>
      </c>
      <c r="AK190" s="93">
        <f t="shared" si="109"/>
        <v>0</v>
      </c>
      <c r="AL190" s="93">
        <f t="shared" si="110"/>
        <v>0</v>
      </c>
      <c r="AM190" s="92">
        <f t="shared" si="111"/>
        <v>0</v>
      </c>
      <c r="AN190" s="70" t="str">
        <f t="shared" si="120"/>
        <v xml:space="preserve"> </v>
      </c>
      <c r="AO190" s="70" t="str">
        <f t="shared" si="121"/>
        <v xml:space="preserve"> </v>
      </c>
      <c r="AP190" s="70" t="str">
        <f t="shared" si="122"/>
        <v xml:space="preserve"> </v>
      </c>
      <c r="AQ190" s="70" t="str">
        <f t="shared" si="123"/>
        <v xml:space="preserve"> </v>
      </c>
      <c r="AR190" s="70" t="str">
        <f t="shared" si="124"/>
        <v xml:space="preserve"> </v>
      </c>
      <c r="AS190" s="70" t="str">
        <f t="shared" si="125"/>
        <v xml:space="preserve"> </v>
      </c>
      <c r="AT190" s="70" t="str">
        <f t="shared" si="126"/>
        <v xml:space="preserve"> </v>
      </c>
      <c r="AU190" s="105" t="str">
        <f t="shared" si="127"/>
        <v xml:space="preserve"> </v>
      </c>
      <c r="AV190" s="111">
        <f t="shared" si="112"/>
        <v>0</v>
      </c>
      <c r="AW190" s="4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6"/>
      <c r="DM190" s="111">
        <f t="shared" si="113"/>
        <v>0</v>
      </c>
      <c r="DN190" s="71"/>
      <c r="DO190" s="72"/>
      <c r="DP190" s="72"/>
      <c r="DQ190" s="72"/>
      <c r="DR190" s="72"/>
      <c r="DS190" s="72"/>
      <c r="DT190" s="72"/>
      <c r="DU190" s="72"/>
      <c r="DV190" s="72"/>
      <c r="DW190" s="72"/>
      <c r="DX190" s="72"/>
      <c r="DY190" s="72"/>
      <c r="DZ190" s="72"/>
      <c r="EA190" s="72"/>
      <c r="EB190" s="72"/>
      <c r="EC190" s="72"/>
      <c r="ED190" s="72"/>
      <c r="EE190" s="72"/>
      <c r="EF190" s="72"/>
      <c r="EG190" s="72"/>
      <c r="EH190" s="72"/>
      <c r="EI190" s="72"/>
      <c r="EJ190" s="72"/>
      <c r="EK190" s="72"/>
      <c r="EL190" s="72"/>
      <c r="EM190" s="72"/>
      <c r="EN190" s="72"/>
      <c r="EO190" s="72"/>
      <c r="EP190" s="72"/>
      <c r="EQ190" s="72"/>
      <c r="ER190" s="72"/>
      <c r="ES190" s="72"/>
      <c r="ET190" s="72"/>
      <c r="EU190" s="72"/>
      <c r="EV190" s="72"/>
      <c r="EW190" s="72"/>
      <c r="EX190" s="72"/>
      <c r="EY190" s="72"/>
      <c r="EZ190" s="72"/>
      <c r="FA190" s="72"/>
      <c r="FB190" s="72"/>
      <c r="FC190" s="72"/>
      <c r="FD190" s="72"/>
      <c r="FE190" s="72"/>
      <c r="FF190" s="72"/>
      <c r="FG190" s="72"/>
      <c r="FH190" s="72"/>
      <c r="FI190" s="72"/>
      <c r="FJ190" s="72"/>
      <c r="FK190" s="72"/>
      <c r="FL190" s="72"/>
      <c r="FM190" s="72"/>
      <c r="FN190" s="72"/>
      <c r="FO190" s="72"/>
      <c r="FP190" s="72"/>
      <c r="FQ190" s="72"/>
      <c r="FR190" s="72"/>
      <c r="FS190" s="72"/>
      <c r="FT190" s="72"/>
      <c r="FU190" s="72"/>
      <c r="FV190" s="72"/>
      <c r="FW190" s="72"/>
      <c r="FX190" s="72"/>
      <c r="FY190" s="72"/>
      <c r="FZ190" s="72"/>
      <c r="GA190" s="72"/>
      <c r="GB190" s="72"/>
      <c r="GC190" s="73"/>
      <c r="GD190" s="111">
        <f t="shared" si="114"/>
        <v>0</v>
      </c>
      <c r="GE190" s="71"/>
      <c r="GF190" s="72"/>
      <c r="GG190" s="72"/>
      <c r="GH190" s="72"/>
      <c r="GI190" s="72"/>
      <c r="GJ190" s="72"/>
      <c r="GK190" s="72"/>
      <c r="GL190" s="72"/>
      <c r="GM190" s="72"/>
      <c r="GN190" s="72"/>
      <c r="GO190" s="72"/>
      <c r="GP190" s="72"/>
      <c r="GQ190" s="72"/>
      <c r="GR190" s="72"/>
      <c r="GS190" s="72"/>
      <c r="GT190" s="72"/>
      <c r="GU190" s="72"/>
      <c r="GV190" s="72"/>
      <c r="GW190" s="72"/>
      <c r="GX190" s="72"/>
      <c r="GY190" s="72"/>
      <c r="GZ190" s="72"/>
      <c r="HA190" s="72"/>
      <c r="HB190" s="72"/>
      <c r="HC190" s="72"/>
      <c r="HD190" s="72"/>
      <c r="HE190" s="72"/>
      <c r="HF190" s="72"/>
      <c r="HG190" s="72"/>
      <c r="HH190" s="72"/>
      <c r="HI190" s="72"/>
      <c r="HJ190" s="72"/>
      <c r="HK190" s="72"/>
      <c r="HL190" s="72"/>
      <c r="HM190" s="72"/>
      <c r="HN190" s="72"/>
      <c r="HO190" s="72"/>
      <c r="HP190" s="72"/>
      <c r="HQ190" s="72"/>
      <c r="HR190" s="72"/>
      <c r="HS190" s="72"/>
      <c r="HT190" s="72"/>
      <c r="HU190" s="72"/>
      <c r="HV190" s="72"/>
      <c r="HW190" s="72"/>
      <c r="HX190" s="72"/>
      <c r="HY190" s="72"/>
      <c r="HZ190" s="72"/>
      <c r="IA190" s="72"/>
      <c r="IB190" s="72"/>
      <c r="IC190" s="72"/>
      <c r="ID190" s="72"/>
      <c r="IE190" s="72"/>
      <c r="IF190" s="72"/>
      <c r="IG190" s="72"/>
      <c r="IH190" s="72"/>
      <c r="II190" s="72"/>
      <c r="IJ190" s="72"/>
      <c r="IK190" s="72"/>
      <c r="IL190" s="72"/>
      <c r="IM190" s="72"/>
      <c r="IN190" s="72"/>
      <c r="IO190" s="72"/>
      <c r="IP190" s="72"/>
      <c r="IQ190" s="72"/>
      <c r="IR190" s="72"/>
      <c r="IS190" s="72"/>
      <c r="IT190" s="73"/>
      <c r="IU190" s="111">
        <f t="shared" si="115"/>
        <v>0</v>
      </c>
      <c r="IV190" s="71"/>
      <c r="IW190" s="72"/>
      <c r="IX190" s="72"/>
      <c r="IY190" s="72"/>
      <c r="IZ190" s="72"/>
      <c r="JA190" s="72"/>
      <c r="JB190" s="72"/>
      <c r="JC190" s="72"/>
      <c r="JD190" s="72"/>
      <c r="JE190" s="72"/>
      <c r="JF190" s="72"/>
      <c r="JG190" s="72"/>
      <c r="JH190" s="72"/>
      <c r="JI190" s="72"/>
      <c r="JJ190" s="72"/>
      <c r="JK190" s="72"/>
      <c r="JL190" s="72"/>
      <c r="JM190" s="72"/>
      <c r="JN190" s="72"/>
      <c r="JO190" s="72"/>
      <c r="JP190" s="72"/>
      <c r="JQ190" s="72"/>
      <c r="JR190" s="72"/>
      <c r="JS190" s="72"/>
      <c r="JT190" s="72"/>
      <c r="JU190" s="72"/>
      <c r="JV190" s="72"/>
      <c r="JW190" s="72"/>
      <c r="JX190" s="72"/>
      <c r="JY190" s="72"/>
      <c r="JZ190" s="72"/>
      <c r="KA190" s="72"/>
      <c r="KB190" s="72"/>
      <c r="KC190" s="72"/>
      <c r="KD190" s="72"/>
      <c r="KE190" s="72"/>
      <c r="KF190" s="72"/>
      <c r="KG190" s="72"/>
      <c r="KH190" s="72"/>
      <c r="KI190" s="72"/>
      <c r="KJ190" s="72"/>
      <c r="KK190" s="72"/>
      <c r="KL190" s="72"/>
      <c r="KM190" s="72"/>
      <c r="KN190" s="72"/>
      <c r="KO190" s="72"/>
      <c r="KP190" s="72"/>
      <c r="KQ190" s="72"/>
      <c r="KR190" s="72"/>
      <c r="KS190" s="72"/>
      <c r="KT190" s="72"/>
      <c r="KU190" s="72"/>
      <c r="KV190" s="72"/>
      <c r="KW190" s="72"/>
      <c r="KX190" s="72"/>
      <c r="KY190" s="72"/>
      <c r="KZ190" s="72"/>
      <c r="LA190" s="72"/>
      <c r="LB190" s="72"/>
      <c r="LC190" s="72"/>
      <c r="LD190" s="72"/>
      <c r="LE190" s="72"/>
      <c r="LF190" s="72"/>
      <c r="LG190" s="72"/>
      <c r="LH190" s="72"/>
      <c r="LI190" s="72"/>
      <c r="LJ190" s="72"/>
      <c r="LK190" s="73"/>
      <c r="LL190" s="111">
        <f t="shared" si="116"/>
        <v>0</v>
      </c>
      <c r="LM190" s="71"/>
      <c r="LN190" s="72"/>
      <c r="LO190" s="72"/>
      <c r="LP190" s="72"/>
      <c r="LQ190" s="72"/>
      <c r="LR190" s="72"/>
      <c r="LS190" s="72"/>
      <c r="LT190" s="72"/>
      <c r="LU190" s="72"/>
      <c r="LV190" s="72"/>
      <c r="LW190" s="72"/>
      <c r="LX190" s="72"/>
      <c r="LY190" s="72"/>
      <c r="LZ190" s="72"/>
      <c r="MA190" s="72"/>
      <c r="MB190" s="72"/>
      <c r="MC190" s="72"/>
      <c r="MD190" s="72"/>
      <c r="ME190" s="72"/>
      <c r="MF190" s="72"/>
      <c r="MG190" s="72"/>
      <c r="MH190" s="72"/>
      <c r="MI190" s="72"/>
      <c r="MJ190" s="72"/>
      <c r="MK190" s="72"/>
      <c r="ML190" s="72"/>
      <c r="MM190" s="72"/>
      <c r="MN190" s="72"/>
      <c r="MO190" s="72"/>
      <c r="MP190" s="72"/>
      <c r="MQ190" s="72"/>
      <c r="MR190" s="72"/>
      <c r="MS190" s="72"/>
      <c r="MT190" s="72"/>
      <c r="MU190" s="72"/>
      <c r="MV190" s="72"/>
      <c r="MW190" s="72"/>
      <c r="MX190" s="72"/>
      <c r="MY190" s="72"/>
      <c r="MZ190" s="72"/>
      <c r="NA190" s="72"/>
      <c r="NB190" s="72"/>
      <c r="NC190" s="72"/>
      <c r="ND190" s="72"/>
      <c r="NE190" s="72"/>
      <c r="NF190" s="72"/>
      <c r="NG190" s="72"/>
      <c r="NH190" s="72"/>
      <c r="NI190" s="72"/>
      <c r="NJ190" s="72"/>
      <c r="NK190" s="72"/>
      <c r="NL190" s="72"/>
      <c r="NM190" s="72"/>
      <c r="NN190" s="72"/>
      <c r="NO190" s="72"/>
      <c r="NP190" s="72"/>
      <c r="NQ190" s="72"/>
      <c r="NR190" s="72"/>
      <c r="NS190" s="72"/>
      <c r="NT190" s="72"/>
      <c r="NU190" s="72"/>
      <c r="NV190" s="72"/>
      <c r="NW190" s="72"/>
      <c r="NX190" s="72"/>
      <c r="NY190" s="72"/>
      <c r="NZ190" s="72"/>
      <c r="OA190" s="72"/>
      <c r="OB190" s="73"/>
      <c r="OC190" s="111">
        <f t="shared" si="117"/>
        <v>0</v>
      </c>
      <c r="OD190" s="71"/>
      <c r="OE190" s="72"/>
      <c r="OF190" s="72"/>
      <c r="OG190" s="72"/>
      <c r="OH190" s="72"/>
      <c r="OI190" s="72"/>
      <c r="OJ190" s="72"/>
      <c r="OK190" s="72"/>
      <c r="OL190" s="72"/>
      <c r="OM190" s="72"/>
      <c r="ON190" s="72"/>
      <c r="OO190" s="72"/>
      <c r="OP190" s="72"/>
      <c r="OQ190" s="72"/>
      <c r="OR190" s="72"/>
      <c r="OS190" s="72"/>
      <c r="OT190" s="72"/>
      <c r="OU190" s="72"/>
      <c r="OV190" s="72"/>
      <c r="OW190" s="72"/>
      <c r="OX190" s="72"/>
      <c r="OY190" s="72"/>
      <c r="OZ190" s="72"/>
      <c r="PA190" s="72"/>
      <c r="PB190" s="72"/>
      <c r="PC190" s="72"/>
      <c r="PD190" s="72"/>
      <c r="PE190" s="72"/>
      <c r="PF190" s="72"/>
      <c r="PG190" s="72"/>
      <c r="PH190" s="72"/>
      <c r="PI190" s="72"/>
      <c r="PJ190" s="72"/>
      <c r="PK190" s="72"/>
      <c r="PL190" s="72"/>
      <c r="PM190" s="72"/>
      <c r="PN190" s="72"/>
      <c r="PO190" s="72"/>
      <c r="PP190" s="72"/>
      <c r="PQ190" s="72"/>
      <c r="PR190" s="72"/>
      <c r="PS190" s="72"/>
      <c r="PT190" s="72"/>
      <c r="PU190" s="72"/>
      <c r="PV190" s="72"/>
      <c r="PW190" s="72"/>
      <c r="PX190" s="72"/>
      <c r="PY190" s="72"/>
      <c r="PZ190" s="72"/>
      <c r="QA190" s="72"/>
      <c r="QB190" s="72"/>
      <c r="QC190" s="72"/>
      <c r="QD190" s="72"/>
      <c r="QE190" s="72"/>
      <c r="QF190" s="72"/>
      <c r="QG190" s="72"/>
      <c r="QH190" s="72"/>
      <c r="QI190" s="72"/>
      <c r="QJ190" s="72"/>
      <c r="QK190" s="72"/>
      <c r="QL190" s="72"/>
      <c r="QM190" s="72"/>
      <c r="QN190" s="72"/>
      <c r="QO190" s="72"/>
      <c r="QP190" s="72"/>
      <c r="QQ190" s="72"/>
      <c r="QR190" s="72"/>
      <c r="QS190" s="73"/>
      <c r="QT190" s="111">
        <f t="shared" si="118"/>
        <v>0</v>
      </c>
      <c r="QU190" s="71"/>
      <c r="QV190" s="72"/>
      <c r="QW190" s="72"/>
      <c r="QX190" s="72"/>
      <c r="QY190" s="72"/>
      <c r="QZ190" s="72"/>
      <c r="RA190" s="72"/>
      <c r="RB190" s="72"/>
      <c r="RC190" s="72"/>
      <c r="RD190" s="72"/>
      <c r="RE190" s="72"/>
      <c r="RF190" s="72"/>
      <c r="RG190" s="72"/>
      <c r="RH190" s="72"/>
      <c r="RI190" s="72"/>
      <c r="RJ190" s="72"/>
      <c r="RK190" s="72"/>
      <c r="RL190" s="72"/>
      <c r="RM190" s="72"/>
      <c r="RN190" s="72"/>
      <c r="RO190" s="72"/>
      <c r="RP190" s="72"/>
      <c r="RQ190" s="72"/>
      <c r="RR190" s="72"/>
      <c r="RS190" s="72"/>
      <c r="RT190" s="72"/>
      <c r="RU190" s="72"/>
      <c r="RV190" s="72"/>
      <c r="RW190" s="72"/>
      <c r="RX190" s="72"/>
      <c r="RY190" s="72"/>
      <c r="RZ190" s="72"/>
      <c r="SA190" s="72"/>
      <c r="SB190" s="72"/>
      <c r="SC190" s="72"/>
      <c r="SD190" s="72"/>
      <c r="SE190" s="72"/>
      <c r="SF190" s="72"/>
      <c r="SG190" s="72"/>
      <c r="SH190" s="72"/>
      <c r="SI190" s="72"/>
      <c r="SJ190" s="72"/>
      <c r="SK190" s="72"/>
      <c r="SL190" s="72"/>
      <c r="SM190" s="72"/>
      <c r="SN190" s="72"/>
      <c r="SO190" s="72"/>
      <c r="SP190" s="72"/>
      <c r="SQ190" s="72"/>
      <c r="SR190" s="72"/>
      <c r="SS190" s="72"/>
      <c r="ST190" s="72"/>
      <c r="SU190" s="72"/>
      <c r="SV190" s="72"/>
      <c r="SW190" s="72"/>
      <c r="SX190" s="72"/>
      <c r="SY190" s="72"/>
      <c r="SZ190" s="72"/>
      <c r="TA190" s="72"/>
      <c r="TB190" s="72"/>
      <c r="TC190" s="72"/>
      <c r="TD190" s="72"/>
      <c r="TE190" s="72"/>
      <c r="TF190" s="72"/>
      <c r="TG190" s="72"/>
      <c r="TH190" s="72"/>
      <c r="TI190" s="72"/>
      <c r="TJ190" s="73"/>
      <c r="TK190" s="111">
        <f t="shared" si="119"/>
        <v>0</v>
      </c>
      <c r="TL190" s="71"/>
      <c r="TM190" s="72"/>
      <c r="TN190" s="72"/>
      <c r="TO190" s="72"/>
      <c r="TP190" s="72"/>
      <c r="TQ190" s="72"/>
      <c r="TR190" s="72"/>
      <c r="TS190" s="72"/>
      <c r="TT190" s="72"/>
      <c r="TU190" s="72"/>
      <c r="TV190" s="72"/>
      <c r="TW190" s="72"/>
      <c r="TX190" s="72"/>
      <c r="TY190" s="72"/>
      <c r="TZ190" s="72"/>
      <c r="UA190" s="72"/>
      <c r="UB190" s="72"/>
      <c r="UC190" s="72"/>
      <c r="UD190" s="72"/>
      <c r="UE190" s="72"/>
      <c r="UF190" s="72"/>
      <c r="UG190" s="72"/>
      <c r="UH190" s="72"/>
      <c r="UI190" s="72"/>
      <c r="UJ190" s="72"/>
      <c r="UK190" s="72"/>
      <c r="UL190" s="72"/>
      <c r="UM190" s="72"/>
      <c r="UN190" s="72"/>
      <c r="UO190" s="72"/>
      <c r="UP190" s="72"/>
      <c r="UQ190" s="72"/>
      <c r="UR190" s="72"/>
      <c r="US190" s="72"/>
      <c r="UT190" s="72"/>
      <c r="UU190" s="72"/>
      <c r="UV190" s="72"/>
      <c r="UW190" s="72"/>
      <c r="UX190" s="72"/>
      <c r="UY190" s="72"/>
      <c r="UZ190" s="72"/>
      <c r="VA190" s="72"/>
      <c r="VB190" s="72"/>
      <c r="VC190" s="72"/>
      <c r="VD190" s="72"/>
      <c r="VE190" s="72"/>
      <c r="VF190" s="72"/>
      <c r="VG190" s="72"/>
      <c r="VH190" s="72"/>
      <c r="VI190" s="72"/>
      <c r="VJ190" s="72"/>
      <c r="VK190" s="72"/>
      <c r="VL190" s="72"/>
      <c r="VM190" s="72"/>
      <c r="VN190" s="72"/>
      <c r="VO190" s="72"/>
      <c r="VP190" s="72"/>
      <c r="VQ190" s="72"/>
      <c r="VR190" s="72"/>
      <c r="VS190" s="72"/>
      <c r="VT190" s="72"/>
      <c r="VU190" s="72"/>
      <c r="VV190" s="72"/>
      <c r="VW190" s="72"/>
      <c r="VX190" s="72"/>
      <c r="VY190" s="72"/>
      <c r="VZ190" s="72"/>
      <c r="WA190" s="73"/>
    </row>
    <row r="191" spans="1:599" s="76" customFormat="1" ht="14.25" customHeight="1" x14ac:dyDescent="0.3">
      <c r="A191" s="85"/>
      <c r="B191" s="39"/>
      <c r="C191" s="86"/>
      <c r="D191" s="86"/>
      <c r="E191" s="81"/>
      <c r="F191" s="81"/>
      <c r="G191" s="81"/>
      <c r="H191" s="81"/>
      <c r="I191" s="81"/>
      <c r="J191" s="81"/>
      <c r="K191" s="81"/>
      <c r="L191" s="81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89" t="str">
        <f t="shared" si="97"/>
        <v/>
      </c>
      <c r="Z191" s="89" t="str">
        <f t="shared" si="98"/>
        <v/>
      </c>
      <c r="AA191" s="89">
        <f t="shared" si="99"/>
        <v>0</v>
      </c>
      <c r="AB191" s="89">
        <f t="shared" si="100"/>
        <v>0</v>
      </c>
      <c r="AC191" s="90">
        <f t="shared" si="101"/>
        <v>0</v>
      </c>
      <c r="AD191" s="91">
        <f t="shared" si="102"/>
        <v>0</v>
      </c>
      <c r="AE191" s="93">
        <f t="shared" si="103"/>
        <v>0</v>
      </c>
      <c r="AF191" s="93">
        <f t="shared" si="104"/>
        <v>0</v>
      </c>
      <c r="AG191" s="93">
        <f t="shared" si="105"/>
        <v>0</v>
      </c>
      <c r="AH191" s="93">
        <f t="shared" si="106"/>
        <v>0</v>
      </c>
      <c r="AI191" s="93">
        <f t="shared" si="107"/>
        <v>0</v>
      </c>
      <c r="AJ191" s="93">
        <f t="shared" si="108"/>
        <v>0</v>
      </c>
      <c r="AK191" s="93">
        <f t="shared" si="109"/>
        <v>0</v>
      </c>
      <c r="AL191" s="93">
        <f t="shared" si="110"/>
        <v>0</v>
      </c>
      <c r="AM191" s="92">
        <f t="shared" si="111"/>
        <v>0</v>
      </c>
      <c r="AN191" s="1" t="str">
        <f t="shared" si="120"/>
        <v xml:space="preserve"> </v>
      </c>
      <c r="AO191" s="1" t="str">
        <f t="shared" si="121"/>
        <v xml:space="preserve"> </v>
      </c>
      <c r="AP191" s="1" t="str">
        <f t="shared" si="122"/>
        <v xml:space="preserve"> </v>
      </c>
      <c r="AQ191" s="1" t="str">
        <f t="shared" si="123"/>
        <v xml:space="preserve"> </v>
      </c>
      <c r="AR191" s="1" t="str">
        <f t="shared" si="124"/>
        <v xml:space="preserve"> </v>
      </c>
      <c r="AS191" s="1" t="str">
        <f t="shared" si="125"/>
        <v xml:space="preserve"> </v>
      </c>
      <c r="AT191" s="1" t="str">
        <f t="shared" si="126"/>
        <v xml:space="preserve"> </v>
      </c>
      <c r="AU191" s="103" t="str">
        <f t="shared" si="127"/>
        <v xml:space="preserve"> </v>
      </c>
      <c r="AV191" s="111">
        <f t="shared" si="112"/>
        <v>0</v>
      </c>
      <c r="AW191" s="4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6"/>
      <c r="DM191" s="111">
        <f t="shared" si="113"/>
        <v>0</v>
      </c>
      <c r="DN191" s="75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6"/>
      <c r="GD191" s="111">
        <f t="shared" si="114"/>
        <v>0</v>
      </c>
      <c r="GE191" s="75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6"/>
      <c r="IU191" s="111">
        <f t="shared" si="115"/>
        <v>0</v>
      </c>
      <c r="IV191" s="75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6"/>
      <c r="LL191" s="111">
        <f t="shared" si="116"/>
        <v>0</v>
      </c>
      <c r="LM191" s="75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6"/>
      <c r="OC191" s="111">
        <f t="shared" si="117"/>
        <v>0</v>
      </c>
      <c r="OD191" s="75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6"/>
      <c r="QT191" s="111">
        <f t="shared" si="118"/>
        <v>0</v>
      </c>
      <c r="QU191" s="75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6"/>
      <c r="TK191" s="111">
        <f t="shared" si="119"/>
        <v>0</v>
      </c>
      <c r="TL191" s="75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6"/>
    </row>
    <row r="192" spans="1:599" ht="14.25" customHeight="1" x14ac:dyDescent="0.3">
      <c r="A192" s="85"/>
      <c r="B192" s="39"/>
      <c r="C192" s="39"/>
      <c r="D192" s="86"/>
      <c r="E192" s="81"/>
      <c r="F192" s="81"/>
      <c r="G192" s="81"/>
      <c r="H192" s="81"/>
      <c r="I192" s="81"/>
      <c r="J192" s="81"/>
      <c r="K192" s="81"/>
      <c r="L192" s="81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89" t="str">
        <f t="shared" si="97"/>
        <v/>
      </c>
      <c r="Z192" s="89" t="str">
        <f t="shared" si="98"/>
        <v/>
      </c>
      <c r="AA192" s="89">
        <f t="shared" si="99"/>
        <v>0</v>
      </c>
      <c r="AB192" s="89">
        <f t="shared" si="100"/>
        <v>0</v>
      </c>
      <c r="AC192" s="90">
        <f t="shared" si="101"/>
        <v>0</v>
      </c>
      <c r="AD192" s="91">
        <f t="shared" si="102"/>
        <v>0</v>
      </c>
      <c r="AE192" s="93">
        <f t="shared" si="103"/>
        <v>0</v>
      </c>
      <c r="AF192" s="93">
        <f t="shared" si="104"/>
        <v>0</v>
      </c>
      <c r="AG192" s="93">
        <f t="shared" si="105"/>
        <v>0</v>
      </c>
      <c r="AH192" s="93">
        <f t="shared" si="106"/>
        <v>0</v>
      </c>
      <c r="AI192" s="93">
        <f t="shared" si="107"/>
        <v>0</v>
      </c>
      <c r="AJ192" s="93">
        <f t="shared" si="108"/>
        <v>0</v>
      </c>
      <c r="AK192" s="93">
        <f t="shared" si="109"/>
        <v>0</v>
      </c>
      <c r="AL192" s="93">
        <f t="shared" si="110"/>
        <v>0</v>
      </c>
      <c r="AM192" s="92">
        <f t="shared" si="111"/>
        <v>0</v>
      </c>
      <c r="AN192" s="1" t="str">
        <f t="shared" si="120"/>
        <v xml:space="preserve"> </v>
      </c>
      <c r="AO192" s="1" t="str">
        <f t="shared" si="121"/>
        <v xml:space="preserve"> </v>
      </c>
      <c r="AP192" s="1" t="str">
        <f t="shared" si="122"/>
        <v xml:space="preserve"> </v>
      </c>
      <c r="AQ192" s="1" t="str">
        <f t="shared" si="123"/>
        <v xml:space="preserve"> </v>
      </c>
      <c r="AR192" s="1" t="str">
        <f t="shared" si="124"/>
        <v xml:space="preserve"> </v>
      </c>
      <c r="AS192" s="1" t="str">
        <f t="shared" si="125"/>
        <v xml:space="preserve"> </v>
      </c>
      <c r="AT192" s="1" t="str">
        <f t="shared" si="126"/>
        <v xml:space="preserve"> </v>
      </c>
      <c r="AU192" s="103" t="str">
        <f t="shared" si="127"/>
        <v xml:space="preserve"> </v>
      </c>
      <c r="AV192" s="111">
        <f t="shared" si="112"/>
        <v>0</v>
      </c>
      <c r="AW192" s="4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6"/>
      <c r="DM192" s="111">
        <f t="shared" si="113"/>
        <v>0</v>
      </c>
      <c r="DN192" s="4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6"/>
      <c r="GD192" s="111">
        <f t="shared" si="114"/>
        <v>0</v>
      </c>
      <c r="GE192" s="4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6"/>
      <c r="IU192" s="111">
        <f t="shared" si="115"/>
        <v>0</v>
      </c>
      <c r="IV192" s="4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6"/>
      <c r="LL192" s="111">
        <f t="shared" si="116"/>
        <v>0</v>
      </c>
      <c r="LM192" s="4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6"/>
      <c r="OC192" s="111">
        <f t="shared" si="117"/>
        <v>0</v>
      </c>
      <c r="OD192" s="4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6"/>
      <c r="QT192" s="111">
        <f t="shared" si="118"/>
        <v>0</v>
      </c>
      <c r="QU192" s="4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6"/>
      <c r="TK192" s="111">
        <f t="shared" si="119"/>
        <v>0</v>
      </c>
      <c r="TL192" s="4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6"/>
    </row>
    <row r="193" spans="1:599" ht="14.25" customHeight="1" x14ac:dyDescent="0.3">
      <c r="A193" s="85"/>
      <c r="B193" s="39"/>
      <c r="C193" s="39"/>
      <c r="D193" s="86"/>
      <c r="E193" s="81"/>
      <c r="F193" s="81"/>
      <c r="G193" s="81"/>
      <c r="H193" s="81"/>
      <c r="I193" s="81"/>
      <c r="J193" s="81"/>
      <c r="K193" s="81"/>
      <c r="L193" s="81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89" t="str">
        <f t="shared" si="97"/>
        <v/>
      </c>
      <c r="Z193" s="89" t="str">
        <f t="shared" si="98"/>
        <v/>
      </c>
      <c r="AA193" s="89">
        <f t="shared" si="99"/>
        <v>0</v>
      </c>
      <c r="AB193" s="89">
        <f t="shared" si="100"/>
        <v>0</v>
      </c>
      <c r="AC193" s="90">
        <f t="shared" si="101"/>
        <v>0</v>
      </c>
      <c r="AD193" s="91">
        <f t="shared" si="102"/>
        <v>0</v>
      </c>
      <c r="AE193" s="93">
        <f t="shared" si="103"/>
        <v>0</v>
      </c>
      <c r="AF193" s="93">
        <f t="shared" si="104"/>
        <v>0</v>
      </c>
      <c r="AG193" s="93">
        <f t="shared" si="105"/>
        <v>0</v>
      </c>
      <c r="AH193" s="93">
        <f t="shared" si="106"/>
        <v>0</v>
      </c>
      <c r="AI193" s="93">
        <f t="shared" si="107"/>
        <v>0</v>
      </c>
      <c r="AJ193" s="93">
        <f t="shared" si="108"/>
        <v>0</v>
      </c>
      <c r="AK193" s="93">
        <f t="shared" si="109"/>
        <v>0</v>
      </c>
      <c r="AL193" s="93">
        <f t="shared" si="110"/>
        <v>0</v>
      </c>
      <c r="AM193" s="92">
        <f t="shared" si="111"/>
        <v>0</v>
      </c>
      <c r="AN193" s="1" t="str">
        <f t="shared" si="120"/>
        <v xml:space="preserve"> </v>
      </c>
      <c r="AO193" s="1" t="str">
        <f t="shared" si="121"/>
        <v xml:space="preserve"> </v>
      </c>
      <c r="AP193" s="1" t="str">
        <f t="shared" si="122"/>
        <v xml:space="preserve"> </v>
      </c>
      <c r="AQ193" s="1" t="str">
        <f t="shared" si="123"/>
        <v xml:space="preserve"> </v>
      </c>
      <c r="AR193" s="1" t="str">
        <f t="shared" si="124"/>
        <v xml:space="preserve"> </v>
      </c>
      <c r="AS193" s="1" t="str">
        <f t="shared" si="125"/>
        <v xml:space="preserve"> </v>
      </c>
      <c r="AT193" s="1" t="str">
        <f t="shared" si="126"/>
        <v xml:space="preserve"> </v>
      </c>
      <c r="AU193" s="103" t="str">
        <f t="shared" si="127"/>
        <v xml:space="preserve"> </v>
      </c>
      <c r="AV193" s="111">
        <f t="shared" si="112"/>
        <v>0</v>
      </c>
      <c r="AW193" s="4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6"/>
      <c r="DM193" s="111">
        <f t="shared" si="113"/>
        <v>0</v>
      </c>
      <c r="DN193" s="4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6"/>
      <c r="GD193" s="111">
        <f t="shared" si="114"/>
        <v>0</v>
      </c>
      <c r="GE193" s="4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6"/>
      <c r="IU193" s="111">
        <f t="shared" si="115"/>
        <v>0</v>
      </c>
      <c r="IV193" s="4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6"/>
      <c r="LL193" s="111">
        <f t="shared" si="116"/>
        <v>0</v>
      </c>
      <c r="LM193" s="4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6"/>
      <c r="OC193" s="111">
        <f t="shared" si="117"/>
        <v>0</v>
      </c>
      <c r="OD193" s="4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6"/>
      <c r="QT193" s="111">
        <f t="shared" si="118"/>
        <v>0</v>
      </c>
      <c r="QU193" s="4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6"/>
      <c r="TK193" s="111">
        <f t="shared" si="119"/>
        <v>0</v>
      </c>
      <c r="TL193" s="4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6"/>
    </row>
    <row r="194" spans="1:599" ht="14.25" customHeight="1" x14ac:dyDescent="0.3">
      <c r="A194" s="41"/>
      <c r="B194" s="39"/>
      <c r="C194" s="40"/>
      <c r="D194" s="40"/>
      <c r="E194" s="81"/>
      <c r="F194" s="81"/>
      <c r="G194" s="81"/>
      <c r="H194" s="81"/>
      <c r="I194" s="81"/>
      <c r="J194" s="81"/>
      <c r="K194" s="81"/>
      <c r="L194" s="81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89" t="str">
        <f t="shared" si="97"/>
        <v/>
      </c>
      <c r="Z194" s="89" t="str">
        <f t="shared" si="98"/>
        <v/>
      </c>
      <c r="AA194" s="89">
        <f t="shared" si="99"/>
        <v>0</v>
      </c>
      <c r="AB194" s="89">
        <f t="shared" si="100"/>
        <v>0</v>
      </c>
      <c r="AC194" s="90">
        <f t="shared" si="101"/>
        <v>0</v>
      </c>
      <c r="AD194" s="91">
        <f t="shared" si="102"/>
        <v>0</v>
      </c>
      <c r="AE194" s="93">
        <f t="shared" si="103"/>
        <v>0</v>
      </c>
      <c r="AF194" s="93">
        <f t="shared" si="104"/>
        <v>0</v>
      </c>
      <c r="AG194" s="93">
        <f t="shared" si="105"/>
        <v>0</v>
      </c>
      <c r="AH194" s="93">
        <f t="shared" si="106"/>
        <v>0</v>
      </c>
      <c r="AI194" s="93">
        <f t="shared" si="107"/>
        <v>0</v>
      </c>
      <c r="AJ194" s="93">
        <f t="shared" si="108"/>
        <v>0</v>
      </c>
      <c r="AK194" s="93">
        <f t="shared" si="109"/>
        <v>0</v>
      </c>
      <c r="AL194" s="93">
        <f t="shared" si="110"/>
        <v>0</v>
      </c>
      <c r="AM194" s="92">
        <f t="shared" si="111"/>
        <v>0</v>
      </c>
      <c r="AN194" s="1" t="str">
        <f t="shared" si="120"/>
        <v xml:space="preserve"> </v>
      </c>
      <c r="AO194" s="1" t="str">
        <f t="shared" si="121"/>
        <v xml:space="preserve"> </v>
      </c>
      <c r="AP194" s="1" t="str">
        <f t="shared" si="122"/>
        <v xml:space="preserve"> </v>
      </c>
      <c r="AQ194" s="1" t="str">
        <f t="shared" si="123"/>
        <v xml:space="preserve"> </v>
      </c>
      <c r="AR194" s="1" t="str">
        <f t="shared" si="124"/>
        <v xml:space="preserve"> </v>
      </c>
      <c r="AS194" s="1" t="str">
        <f t="shared" si="125"/>
        <v xml:space="preserve"> </v>
      </c>
      <c r="AT194" s="1" t="str">
        <f t="shared" si="126"/>
        <v xml:space="preserve"> </v>
      </c>
      <c r="AU194" s="103" t="str">
        <f t="shared" si="127"/>
        <v xml:space="preserve"> </v>
      </c>
      <c r="AV194" s="111">
        <f t="shared" si="112"/>
        <v>0</v>
      </c>
      <c r="AW194" s="4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6"/>
      <c r="DM194" s="111">
        <f t="shared" si="113"/>
        <v>0</v>
      </c>
      <c r="DN194" s="4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6"/>
      <c r="GD194" s="111">
        <f t="shared" si="114"/>
        <v>0</v>
      </c>
      <c r="GE194" s="4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6"/>
      <c r="IU194" s="111">
        <f t="shared" si="115"/>
        <v>0</v>
      </c>
      <c r="IV194" s="4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6"/>
      <c r="LL194" s="111">
        <f t="shared" si="116"/>
        <v>0</v>
      </c>
      <c r="LM194" s="4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6"/>
      <c r="OC194" s="111">
        <f t="shared" si="117"/>
        <v>0</v>
      </c>
      <c r="OD194" s="4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6"/>
      <c r="QT194" s="111">
        <f t="shared" si="118"/>
        <v>0</v>
      </c>
      <c r="QU194" s="4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6"/>
      <c r="TK194" s="111">
        <f t="shared" si="119"/>
        <v>0</v>
      </c>
      <c r="TL194" s="4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6"/>
    </row>
    <row r="195" spans="1:599" ht="14.25" customHeight="1" x14ac:dyDescent="0.3">
      <c r="A195" s="41"/>
      <c r="B195" s="39"/>
      <c r="C195" s="40"/>
      <c r="D195" s="40"/>
      <c r="E195" s="81"/>
      <c r="F195" s="81"/>
      <c r="G195" s="81"/>
      <c r="H195" s="81"/>
      <c r="I195" s="81"/>
      <c r="J195" s="81"/>
      <c r="K195" s="81"/>
      <c r="L195" s="81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89" t="str">
        <f t="shared" si="97"/>
        <v/>
      </c>
      <c r="Z195" s="89" t="str">
        <f t="shared" si="98"/>
        <v/>
      </c>
      <c r="AA195" s="89">
        <f t="shared" si="99"/>
        <v>0</v>
      </c>
      <c r="AB195" s="89">
        <f t="shared" si="100"/>
        <v>0</v>
      </c>
      <c r="AC195" s="90">
        <f t="shared" si="101"/>
        <v>0</v>
      </c>
      <c r="AD195" s="91">
        <f t="shared" si="102"/>
        <v>0</v>
      </c>
      <c r="AE195" s="93">
        <f t="shared" si="103"/>
        <v>0</v>
      </c>
      <c r="AF195" s="93">
        <f t="shared" si="104"/>
        <v>0</v>
      </c>
      <c r="AG195" s="93">
        <f t="shared" si="105"/>
        <v>0</v>
      </c>
      <c r="AH195" s="93">
        <f t="shared" si="106"/>
        <v>0</v>
      </c>
      <c r="AI195" s="93">
        <f t="shared" si="107"/>
        <v>0</v>
      </c>
      <c r="AJ195" s="93">
        <f t="shared" si="108"/>
        <v>0</v>
      </c>
      <c r="AK195" s="93">
        <f t="shared" si="109"/>
        <v>0</v>
      </c>
      <c r="AL195" s="93">
        <f t="shared" si="110"/>
        <v>0</v>
      </c>
      <c r="AM195" s="92">
        <f t="shared" si="111"/>
        <v>0</v>
      </c>
      <c r="AN195" s="1" t="str">
        <f t="shared" si="120"/>
        <v xml:space="preserve"> </v>
      </c>
      <c r="AO195" s="1" t="str">
        <f t="shared" si="121"/>
        <v xml:space="preserve"> </v>
      </c>
      <c r="AP195" s="1" t="str">
        <f t="shared" si="122"/>
        <v xml:space="preserve"> </v>
      </c>
      <c r="AQ195" s="1" t="str">
        <f t="shared" si="123"/>
        <v xml:space="preserve"> </v>
      </c>
      <c r="AR195" s="1" t="str">
        <f t="shared" si="124"/>
        <v xml:space="preserve"> </v>
      </c>
      <c r="AS195" s="1" t="str">
        <f t="shared" si="125"/>
        <v xml:space="preserve"> </v>
      </c>
      <c r="AT195" s="1" t="str">
        <f t="shared" si="126"/>
        <v xml:space="preserve"> </v>
      </c>
      <c r="AU195" s="103" t="str">
        <f t="shared" si="127"/>
        <v xml:space="preserve"> </v>
      </c>
      <c r="AV195" s="111">
        <f t="shared" si="112"/>
        <v>0</v>
      </c>
      <c r="AW195" s="4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6"/>
      <c r="DM195" s="111">
        <f t="shared" si="113"/>
        <v>0</v>
      </c>
      <c r="DN195" s="4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6"/>
      <c r="GD195" s="111">
        <f t="shared" si="114"/>
        <v>0</v>
      </c>
      <c r="GE195" s="4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6"/>
      <c r="IU195" s="111">
        <f t="shared" si="115"/>
        <v>0</v>
      </c>
      <c r="IV195" s="4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6"/>
      <c r="LL195" s="111">
        <f t="shared" si="116"/>
        <v>0</v>
      </c>
      <c r="LM195" s="4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6"/>
      <c r="OC195" s="111">
        <f t="shared" si="117"/>
        <v>0</v>
      </c>
      <c r="OD195" s="4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6"/>
      <c r="QT195" s="111">
        <f t="shared" si="118"/>
        <v>0</v>
      </c>
      <c r="QU195" s="4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6"/>
      <c r="TK195" s="111">
        <f t="shared" si="119"/>
        <v>0</v>
      </c>
      <c r="TL195" s="4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6"/>
    </row>
    <row r="196" spans="1:599" ht="14.25" customHeight="1" x14ac:dyDescent="0.3">
      <c r="A196" s="85"/>
      <c r="B196" s="39"/>
      <c r="C196" s="86"/>
      <c r="D196" s="86"/>
      <c r="E196" s="81"/>
      <c r="F196" s="81"/>
      <c r="G196" s="81"/>
      <c r="H196" s="81"/>
      <c r="I196" s="81"/>
      <c r="J196" s="81"/>
      <c r="K196" s="81"/>
      <c r="L196" s="81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89" t="str">
        <f t="shared" si="97"/>
        <v/>
      </c>
      <c r="Z196" s="89" t="str">
        <f t="shared" si="98"/>
        <v/>
      </c>
      <c r="AA196" s="89">
        <f t="shared" si="99"/>
        <v>0</v>
      </c>
      <c r="AB196" s="89">
        <f t="shared" si="100"/>
        <v>0</v>
      </c>
      <c r="AC196" s="90">
        <f t="shared" si="101"/>
        <v>0</v>
      </c>
      <c r="AD196" s="91">
        <f t="shared" si="102"/>
        <v>0</v>
      </c>
      <c r="AE196" s="93">
        <f t="shared" si="103"/>
        <v>0</v>
      </c>
      <c r="AF196" s="93">
        <f t="shared" si="104"/>
        <v>0</v>
      </c>
      <c r="AG196" s="93">
        <f t="shared" si="105"/>
        <v>0</v>
      </c>
      <c r="AH196" s="93">
        <f t="shared" si="106"/>
        <v>0</v>
      </c>
      <c r="AI196" s="93">
        <f t="shared" si="107"/>
        <v>0</v>
      </c>
      <c r="AJ196" s="93">
        <f t="shared" si="108"/>
        <v>0</v>
      </c>
      <c r="AK196" s="93">
        <f t="shared" si="109"/>
        <v>0</v>
      </c>
      <c r="AL196" s="93">
        <f t="shared" si="110"/>
        <v>0</v>
      </c>
      <c r="AM196" s="92">
        <f t="shared" si="111"/>
        <v>0</v>
      </c>
      <c r="AN196" s="1" t="str">
        <f t="shared" si="120"/>
        <v xml:space="preserve"> </v>
      </c>
      <c r="AO196" s="1" t="str">
        <f t="shared" si="121"/>
        <v xml:space="preserve"> </v>
      </c>
      <c r="AP196" s="1" t="str">
        <f t="shared" si="122"/>
        <v xml:space="preserve"> </v>
      </c>
      <c r="AQ196" s="1" t="str">
        <f t="shared" si="123"/>
        <v xml:space="preserve"> </v>
      </c>
      <c r="AR196" s="1" t="str">
        <f t="shared" si="124"/>
        <v xml:space="preserve"> </v>
      </c>
      <c r="AS196" s="1" t="str">
        <f t="shared" si="125"/>
        <v xml:space="preserve"> </v>
      </c>
      <c r="AT196" s="1" t="str">
        <f t="shared" si="126"/>
        <v xml:space="preserve"> </v>
      </c>
      <c r="AU196" s="103" t="str">
        <f t="shared" si="127"/>
        <v xml:space="preserve"> </v>
      </c>
      <c r="AV196" s="111">
        <f t="shared" si="112"/>
        <v>0</v>
      </c>
      <c r="AW196" s="4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6"/>
      <c r="DM196" s="111">
        <f t="shared" si="113"/>
        <v>0</v>
      </c>
      <c r="DN196" s="4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6"/>
      <c r="GD196" s="111">
        <f t="shared" si="114"/>
        <v>0</v>
      </c>
      <c r="GE196" s="4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6"/>
      <c r="IU196" s="111">
        <f t="shared" si="115"/>
        <v>0</v>
      </c>
      <c r="IV196" s="4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6"/>
      <c r="LL196" s="111">
        <f t="shared" si="116"/>
        <v>0</v>
      </c>
      <c r="LM196" s="4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6"/>
      <c r="OC196" s="111">
        <f t="shared" si="117"/>
        <v>0</v>
      </c>
      <c r="OD196" s="4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6"/>
      <c r="QT196" s="111">
        <f t="shared" si="118"/>
        <v>0</v>
      </c>
      <c r="QU196" s="4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6"/>
      <c r="TK196" s="111">
        <f t="shared" si="119"/>
        <v>0</v>
      </c>
      <c r="TL196" s="4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6"/>
    </row>
    <row r="197" spans="1:599" ht="14.25" customHeight="1" x14ac:dyDescent="0.3">
      <c r="A197" s="85"/>
      <c r="B197" s="39"/>
      <c r="C197" s="86"/>
      <c r="D197" s="86"/>
      <c r="E197" s="81"/>
      <c r="F197" s="81"/>
      <c r="G197" s="81"/>
      <c r="H197" s="81"/>
      <c r="I197" s="81"/>
      <c r="J197" s="81"/>
      <c r="K197" s="81"/>
      <c r="L197" s="81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89" t="str">
        <f t="shared" si="97"/>
        <v/>
      </c>
      <c r="Z197" s="89" t="str">
        <f t="shared" si="98"/>
        <v/>
      </c>
      <c r="AA197" s="89">
        <f t="shared" si="99"/>
        <v>0</v>
      </c>
      <c r="AB197" s="89">
        <f t="shared" si="100"/>
        <v>0</v>
      </c>
      <c r="AC197" s="90">
        <f t="shared" si="101"/>
        <v>0</v>
      </c>
      <c r="AD197" s="91">
        <f t="shared" si="102"/>
        <v>0</v>
      </c>
      <c r="AE197" s="93">
        <f t="shared" si="103"/>
        <v>0</v>
      </c>
      <c r="AF197" s="93">
        <f t="shared" si="104"/>
        <v>0</v>
      </c>
      <c r="AG197" s="93">
        <f t="shared" si="105"/>
        <v>0</v>
      </c>
      <c r="AH197" s="93">
        <f t="shared" si="106"/>
        <v>0</v>
      </c>
      <c r="AI197" s="93">
        <f t="shared" si="107"/>
        <v>0</v>
      </c>
      <c r="AJ197" s="93">
        <f t="shared" si="108"/>
        <v>0</v>
      </c>
      <c r="AK197" s="93">
        <f t="shared" si="109"/>
        <v>0</v>
      </c>
      <c r="AL197" s="93">
        <f t="shared" si="110"/>
        <v>0</v>
      </c>
      <c r="AM197" s="92">
        <f t="shared" si="111"/>
        <v>0</v>
      </c>
      <c r="AN197" s="1" t="str">
        <f t="shared" si="120"/>
        <v xml:space="preserve"> </v>
      </c>
      <c r="AO197" s="1" t="str">
        <f t="shared" si="121"/>
        <v xml:space="preserve"> </v>
      </c>
      <c r="AP197" s="1" t="str">
        <f t="shared" si="122"/>
        <v xml:space="preserve"> </v>
      </c>
      <c r="AQ197" s="1" t="str">
        <f t="shared" si="123"/>
        <v xml:space="preserve"> </v>
      </c>
      <c r="AR197" s="1" t="str">
        <f t="shared" si="124"/>
        <v xml:space="preserve"> </v>
      </c>
      <c r="AS197" s="1" t="str">
        <f t="shared" si="125"/>
        <v xml:space="preserve"> </v>
      </c>
      <c r="AT197" s="1" t="str">
        <f t="shared" si="126"/>
        <v xml:space="preserve"> </v>
      </c>
      <c r="AU197" s="103" t="str">
        <f t="shared" si="127"/>
        <v xml:space="preserve"> </v>
      </c>
      <c r="AV197" s="111">
        <f t="shared" si="112"/>
        <v>0</v>
      </c>
      <c r="AW197" s="4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6"/>
      <c r="DM197" s="111">
        <f t="shared" si="113"/>
        <v>0</v>
      </c>
      <c r="DN197" s="4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6"/>
      <c r="GD197" s="111">
        <f t="shared" si="114"/>
        <v>0</v>
      </c>
      <c r="GE197" s="4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6"/>
      <c r="IU197" s="111">
        <f t="shared" si="115"/>
        <v>0</v>
      </c>
      <c r="IV197" s="4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6"/>
      <c r="LL197" s="111">
        <f t="shared" si="116"/>
        <v>0</v>
      </c>
      <c r="LM197" s="4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6"/>
      <c r="OC197" s="111">
        <f t="shared" si="117"/>
        <v>0</v>
      </c>
      <c r="OD197" s="4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6"/>
      <c r="QT197" s="111">
        <f t="shared" si="118"/>
        <v>0</v>
      </c>
      <c r="QU197" s="4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6"/>
      <c r="TK197" s="111">
        <f t="shared" si="119"/>
        <v>0</v>
      </c>
      <c r="TL197" s="4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6"/>
    </row>
    <row r="198" spans="1:599" ht="14.25" customHeight="1" x14ac:dyDescent="0.3">
      <c r="A198" s="85"/>
      <c r="B198" s="39"/>
      <c r="C198" s="86"/>
      <c r="D198" s="86"/>
      <c r="E198" s="81"/>
      <c r="F198" s="81"/>
      <c r="G198" s="81"/>
      <c r="H198" s="81"/>
      <c r="I198" s="81"/>
      <c r="J198" s="81"/>
      <c r="K198" s="81"/>
      <c r="L198" s="81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89" t="str">
        <f t="shared" si="97"/>
        <v/>
      </c>
      <c r="Z198" s="89" t="str">
        <f t="shared" si="98"/>
        <v/>
      </c>
      <c r="AA198" s="89">
        <f t="shared" si="99"/>
        <v>0</v>
      </c>
      <c r="AB198" s="89">
        <f t="shared" si="100"/>
        <v>0</v>
      </c>
      <c r="AC198" s="90">
        <f t="shared" si="101"/>
        <v>0</v>
      </c>
      <c r="AD198" s="91">
        <f t="shared" si="102"/>
        <v>0</v>
      </c>
      <c r="AE198" s="93">
        <f t="shared" si="103"/>
        <v>0</v>
      </c>
      <c r="AF198" s="93">
        <f t="shared" si="104"/>
        <v>0</v>
      </c>
      <c r="AG198" s="93">
        <f t="shared" si="105"/>
        <v>0</v>
      </c>
      <c r="AH198" s="93">
        <f t="shared" si="106"/>
        <v>0</v>
      </c>
      <c r="AI198" s="93">
        <f t="shared" si="107"/>
        <v>0</v>
      </c>
      <c r="AJ198" s="93">
        <f t="shared" si="108"/>
        <v>0</v>
      </c>
      <c r="AK198" s="93">
        <f t="shared" si="109"/>
        <v>0</v>
      </c>
      <c r="AL198" s="93">
        <f t="shared" si="110"/>
        <v>0</v>
      </c>
      <c r="AM198" s="92">
        <f t="shared" si="111"/>
        <v>0</v>
      </c>
      <c r="AN198" s="1" t="str">
        <f t="shared" si="120"/>
        <v xml:space="preserve"> </v>
      </c>
      <c r="AO198" s="1" t="str">
        <f t="shared" si="121"/>
        <v xml:space="preserve"> </v>
      </c>
      <c r="AP198" s="1" t="str">
        <f t="shared" si="122"/>
        <v xml:space="preserve"> </v>
      </c>
      <c r="AQ198" s="1" t="str">
        <f t="shared" si="123"/>
        <v xml:space="preserve"> </v>
      </c>
      <c r="AR198" s="1" t="str">
        <f t="shared" si="124"/>
        <v xml:space="preserve"> </v>
      </c>
      <c r="AS198" s="1" t="str">
        <f t="shared" si="125"/>
        <v xml:space="preserve"> </v>
      </c>
      <c r="AT198" s="1" t="str">
        <f t="shared" si="126"/>
        <v xml:space="preserve"> </v>
      </c>
      <c r="AU198" s="103" t="str">
        <f t="shared" si="127"/>
        <v xml:space="preserve"> </v>
      </c>
      <c r="AV198" s="111">
        <f t="shared" si="112"/>
        <v>0</v>
      </c>
      <c r="AW198" s="4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6"/>
      <c r="DM198" s="111">
        <f t="shared" si="113"/>
        <v>0</v>
      </c>
      <c r="DN198" s="4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6"/>
      <c r="GD198" s="111">
        <f t="shared" si="114"/>
        <v>0</v>
      </c>
      <c r="GE198" s="4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6"/>
      <c r="IU198" s="111">
        <f t="shared" si="115"/>
        <v>0</v>
      </c>
      <c r="IV198" s="4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6"/>
      <c r="LL198" s="111">
        <f t="shared" si="116"/>
        <v>0</v>
      </c>
      <c r="LM198" s="4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6"/>
      <c r="OC198" s="111">
        <f t="shared" si="117"/>
        <v>0</v>
      </c>
      <c r="OD198" s="4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6"/>
      <c r="QT198" s="111">
        <f t="shared" si="118"/>
        <v>0</v>
      </c>
      <c r="QU198" s="4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6"/>
      <c r="TK198" s="111">
        <f t="shared" si="119"/>
        <v>0</v>
      </c>
      <c r="TL198" s="4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6"/>
    </row>
    <row r="199" spans="1:599" ht="14.25" customHeight="1" x14ac:dyDescent="0.3">
      <c r="A199" s="41"/>
      <c r="B199" s="39"/>
      <c r="C199" s="40"/>
      <c r="D199" s="40"/>
      <c r="E199" s="81"/>
      <c r="F199" s="81"/>
      <c r="G199" s="81"/>
      <c r="H199" s="81"/>
      <c r="I199" s="81"/>
      <c r="J199" s="81"/>
      <c r="K199" s="81"/>
      <c r="L199" s="81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89" t="str">
        <f t="shared" si="97"/>
        <v/>
      </c>
      <c r="Z199" s="89" t="str">
        <f t="shared" si="98"/>
        <v/>
      </c>
      <c r="AA199" s="89">
        <f t="shared" si="99"/>
        <v>0</v>
      </c>
      <c r="AB199" s="89">
        <f t="shared" si="100"/>
        <v>0</v>
      </c>
      <c r="AC199" s="90">
        <f t="shared" si="101"/>
        <v>0</v>
      </c>
      <c r="AD199" s="91">
        <f t="shared" si="102"/>
        <v>0</v>
      </c>
      <c r="AE199" s="93">
        <f t="shared" si="103"/>
        <v>0</v>
      </c>
      <c r="AF199" s="93">
        <f t="shared" si="104"/>
        <v>0</v>
      </c>
      <c r="AG199" s="93">
        <f t="shared" si="105"/>
        <v>0</v>
      </c>
      <c r="AH199" s="93">
        <f t="shared" si="106"/>
        <v>0</v>
      </c>
      <c r="AI199" s="93">
        <f t="shared" si="107"/>
        <v>0</v>
      </c>
      <c r="AJ199" s="93">
        <f t="shared" si="108"/>
        <v>0</v>
      </c>
      <c r="AK199" s="93">
        <f t="shared" si="109"/>
        <v>0</v>
      </c>
      <c r="AL199" s="93">
        <f t="shared" si="110"/>
        <v>0</v>
      </c>
      <c r="AM199" s="92">
        <f t="shared" si="111"/>
        <v>0</v>
      </c>
      <c r="AN199" s="1" t="str">
        <f t="shared" si="120"/>
        <v xml:space="preserve"> </v>
      </c>
      <c r="AO199" s="1" t="str">
        <f t="shared" si="121"/>
        <v xml:space="preserve"> </v>
      </c>
      <c r="AP199" s="1" t="str">
        <f t="shared" si="122"/>
        <v xml:space="preserve"> </v>
      </c>
      <c r="AQ199" s="1" t="str">
        <f t="shared" ref="AQ199:AQ215" si="128">IF(H199&gt;0,H199*$AC199*$AB199/1000," ")</f>
        <v xml:space="preserve"> </v>
      </c>
      <c r="AR199" s="1" t="str">
        <f t="shared" si="124"/>
        <v xml:space="preserve"> </v>
      </c>
      <c r="AS199" s="1" t="str">
        <f t="shared" si="125"/>
        <v xml:space="preserve"> </v>
      </c>
      <c r="AT199" s="1" t="str">
        <f t="shared" si="126"/>
        <v xml:space="preserve"> </v>
      </c>
      <c r="AU199" s="103" t="str">
        <f t="shared" si="127"/>
        <v xml:space="preserve"> </v>
      </c>
      <c r="AV199" s="111">
        <f t="shared" si="112"/>
        <v>0</v>
      </c>
      <c r="AW199" s="4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6"/>
      <c r="DM199" s="111">
        <f t="shared" si="113"/>
        <v>0</v>
      </c>
      <c r="DN199" s="4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6"/>
      <c r="GD199" s="111">
        <f t="shared" si="114"/>
        <v>0</v>
      </c>
      <c r="GE199" s="4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6"/>
      <c r="IU199" s="111">
        <f t="shared" si="115"/>
        <v>0</v>
      </c>
      <c r="IV199" s="4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6"/>
      <c r="LL199" s="111">
        <f t="shared" si="116"/>
        <v>0</v>
      </c>
      <c r="LM199" s="4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6"/>
      <c r="OC199" s="111">
        <f t="shared" si="117"/>
        <v>0</v>
      </c>
      <c r="OD199" s="4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6"/>
      <c r="QT199" s="111">
        <f t="shared" si="118"/>
        <v>0</v>
      </c>
      <c r="QU199" s="4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6"/>
      <c r="TK199" s="111">
        <f t="shared" si="119"/>
        <v>0</v>
      </c>
      <c r="TL199" s="4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6"/>
    </row>
    <row r="200" spans="1:599" ht="14.25" customHeight="1" x14ac:dyDescent="0.3">
      <c r="A200" s="85"/>
      <c r="B200" s="39"/>
      <c r="C200" s="86"/>
      <c r="D200" s="86"/>
      <c r="E200" s="81"/>
      <c r="F200" s="81"/>
      <c r="G200" s="81"/>
      <c r="H200" s="81"/>
      <c r="I200" s="81"/>
      <c r="J200" s="81"/>
      <c r="K200" s="81"/>
      <c r="L200" s="81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89" t="str">
        <f t="shared" ref="Y200:Y263" si="129">CONCATENATE(IF(M200&gt;0,M200,""),IF(N200&gt;0,CONCATENATE("+", N200),""),IF(O200&gt;0,CONCATENATE("+", O200),""),IF(P200&gt;0,CONCATENATE("+", P200),""),IF(Q200&gt;0,CONCATENATE("+", Q200),""),IF(R200&gt;0,CONCATENATE("+", R200),""))</f>
        <v/>
      </c>
      <c r="Z200" s="89" t="str">
        <f t="shared" ref="Z200:Z263" si="130">CONCATENATE(IF(S200&gt;0,S200,""),IF(T200&gt;0,CONCATENATE("+", T200),""),IF(U200&gt;0,CONCATENATE("+", U200),""),IF(V200&gt;0,CONCATENATE("+", V200),""),IF(W200&gt;0,CONCATENATE("+", W200),""),IF(X200&gt;0,CONCATENATE("+", X200),""))</f>
        <v/>
      </c>
      <c r="AA200" s="89">
        <f t="shared" ref="AA200:AA263" si="131">SUM(M200:R200)</f>
        <v>0</v>
      </c>
      <c r="AB200" s="89">
        <f t="shared" ref="AB200:AB263" si="132">SUM(S200:X200)</f>
        <v>0</v>
      </c>
      <c r="AC200" s="90">
        <f t="shared" ref="AC200:AC263" si="133">SUM(AW200:DL200)+SUM(DN200:GC200)+SUM(GE200:IT200)+SUM(IV200:LK200)+SUM(LM200:OB200)+SUM(OD200:QS200)+SUM(QU200:TJ200)+SUM(TL200:WA200)</f>
        <v>0</v>
      </c>
      <c r="AD200" s="91">
        <f t="shared" ref="AD200:AD263" si="134">AA200*AB200/1000000</f>
        <v>0</v>
      </c>
      <c r="AE200" s="93">
        <f t="shared" ref="AE200:AE263" si="135">AV200</f>
        <v>0</v>
      </c>
      <c r="AF200" s="93">
        <f t="shared" ref="AF200:AF263" si="136">DM200</f>
        <v>0</v>
      </c>
      <c r="AG200" s="93">
        <f t="shared" ref="AG200:AG263" si="137">GD200</f>
        <v>0</v>
      </c>
      <c r="AH200" s="93">
        <f t="shared" ref="AH200:AH263" si="138">IU200</f>
        <v>0</v>
      </c>
      <c r="AI200" s="93">
        <f t="shared" ref="AI200:AI263" si="139">LN200</f>
        <v>0</v>
      </c>
      <c r="AJ200" s="93">
        <f t="shared" ref="AJ200:AJ263" si="140">OC200</f>
        <v>0</v>
      </c>
      <c r="AK200" s="93">
        <f t="shared" ref="AK200:AK263" si="141">QT200</f>
        <v>0</v>
      </c>
      <c r="AL200" s="93">
        <f t="shared" ref="AL200:AL263" si="142">TK200</f>
        <v>0</v>
      </c>
      <c r="AM200" s="92">
        <f t="shared" ref="AM200:AM263" si="143">AA200*AB200*AC200/1000000</f>
        <v>0</v>
      </c>
      <c r="AN200" s="1" t="str">
        <f t="shared" si="120"/>
        <v xml:space="preserve"> </v>
      </c>
      <c r="AO200" s="1" t="str">
        <f t="shared" si="121"/>
        <v xml:space="preserve"> </v>
      </c>
      <c r="AP200" s="1" t="str">
        <f t="shared" si="122"/>
        <v xml:space="preserve"> </v>
      </c>
      <c r="AQ200" s="1" t="str">
        <f t="shared" si="128"/>
        <v xml:space="preserve"> </v>
      </c>
      <c r="AR200" s="1" t="str">
        <f t="shared" si="124"/>
        <v xml:space="preserve"> </v>
      </c>
      <c r="AS200" s="1" t="str">
        <f t="shared" si="125"/>
        <v xml:space="preserve"> </v>
      </c>
      <c r="AT200" s="1" t="str">
        <f t="shared" si="126"/>
        <v xml:space="preserve"> </v>
      </c>
      <c r="AU200" s="103" t="str">
        <f t="shared" si="127"/>
        <v xml:space="preserve"> </v>
      </c>
      <c r="AV200" s="111">
        <f t="shared" ref="AV200:AV263" si="144">SUM(AW200:DL200)*AD200</f>
        <v>0</v>
      </c>
      <c r="AW200" s="4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6"/>
      <c r="DM200" s="111">
        <f t="shared" ref="DM200:DM263" si="145">SUM(DN200:GC200)*AD200</f>
        <v>0</v>
      </c>
      <c r="DN200" s="4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6"/>
      <c r="GD200" s="111">
        <f t="shared" ref="GD200:GD263" si="146">SUM(GE200:IT200)*AD200</f>
        <v>0</v>
      </c>
      <c r="GE200" s="4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6"/>
      <c r="IU200" s="111">
        <f t="shared" ref="IU200:IU263" si="147">SUM(IV200:LK200)*AD200</f>
        <v>0</v>
      </c>
      <c r="IV200" s="4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6"/>
      <c r="LL200" s="111">
        <f t="shared" ref="LL200:LL263" si="148">SUM(LM200:OB200)*AD200</f>
        <v>0</v>
      </c>
      <c r="LM200" s="4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6"/>
      <c r="OC200" s="111">
        <f t="shared" ref="OC200:OC263" si="149">SUM(OD200:QS200)*AD200</f>
        <v>0</v>
      </c>
      <c r="OD200" s="4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6"/>
      <c r="QT200" s="111">
        <f t="shared" ref="QT200:QT263" si="150">SUM(QU200:TJ200)*AD200</f>
        <v>0</v>
      </c>
      <c r="QU200" s="4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6"/>
      <c r="TK200" s="111">
        <f t="shared" ref="TK200:TK263" si="151">SUM(TL200:WA200)*AD200</f>
        <v>0</v>
      </c>
      <c r="TL200" s="4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6"/>
    </row>
    <row r="201" spans="1:599" ht="14.25" customHeight="1" x14ac:dyDescent="0.3">
      <c r="A201" s="41"/>
      <c r="B201" s="39"/>
      <c r="C201" s="40"/>
      <c r="D201" s="40"/>
      <c r="E201" s="81"/>
      <c r="F201" s="81"/>
      <c r="G201" s="81"/>
      <c r="H201" s="81"/>
      <c r="I201" s="81"/>
      <c r="J201" s="81"/>
      <c r="K201" s="81"/>
      <c r="L201" s="81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89" t="str">
        <f t="shared" si="129"/>
        <v/>
      </c>
      <c r="Z201" s="89" t="str">
        <f t="shared" si="130"/>
        <v/>
      </c>
      <c r="AA201" s="89">
        <f t="shared" si="131"/>
        <v>0</v>
      </c>
      <c r="AB201" s="89">
        <f t="shared" si="132"/>
        <v>0</v>
      </c>
      <c r="AC201" s="90">
        <f t="shared" si="133"/>
        <v>0</v>
      </c>
      <c r="AD201" s="91">
        <f t="shared" si="134"/>
        <v>0</v>
      </c>
      <c r="AE201" s="93">
        <f t="shared" si="135"/>
        <v>0</v>
      </c>
      <c r="AF201" s="93">
        <f t="shared" si="136"/>
        <v>0</v>
      </c>
      <c r="AG201" s="93">
        <f t="shared" si="137"/>
        <v>0</v>
      </c>
      <c r="AH201" s="93">
        <f t="shared" si="138"/>
        <v>0</v>
      </c>
      <c r="AI201" s="93">
        <f t="shared" si="139"/>
        <v>0</v>
      </c>
      <c r="AJ201" s="93">
        <f t="shared" si="140"/>
        <v>0</v>
      </c>
      <c r="AK201" s="93">
        <f t="shared" si="141"/>
        <v>0</v>
      </c>
      <c r="AL201" s="93">
        <f t="shared" si="142"/>
        <v>0</v>
      </c>
      <c r="AM201" s="92">
        <f t="shared" si="143"/>
        <v>0</v>
      </c>
      <c r="AN201" s="1" t="str">
        <f t="shared" si="120"/>
        <v xml:space="preserve"> </v>
      </c>
      <c r="AO201" s="1" t="str">
        <f t="shared" si="121"/>
        <v xml:space="preserve"> </v>
      </c>
      <c r="AP201" s="1" t="str">
        <f t="shared" si="122"/>
        <v xml:space="preserve"> </v>
      </c>
      <c r="AQ201" s="1" t="str">
        <f t="shared" si="128"/>
        <v xml:space="preserve"> </v>
      </c>
      <c r="AR201" s="1" t="str">
        <f t="shared" si="124"/>
        <v xml:space="preserve"> </v>
      </c>
      <c r="AS201" s="1" t="str">
        <f t="shared" si="125"/>
        <v xml:space="preserve"> </v>
      </c>
      <c r="AT201" s="1" t="str">
        <f t="shared" si="126"/>
        <v xml:space="preserve"> </v>
      </c>
      <c r="AU201" s="103" t="str">
        <f t="shared" si="127"/>
        <v xml:space="preserve"> </v>
      </c>
      <c r="AV201" s="111">
        <f t="shared" si="144"/>
        <v>0</v>
      </c>
      <c r="AW201" s="4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6"/>
      <c r="DM201" s="111">
        <f t="shared" si="145"/>
        <v>0</v>
      </c>
      <c r="DN201" s="4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6"/>
      <c r="GD201" s="111">
        <f t="shared" si="146"/>
        <v>0</v>
      </c>
      <c r="GE201" s="4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6"/>
      <c r="IU201" s="111">
        <f t="shared" si="147"/>
        <v>0</v>
      </c>
      <c r="IV201" s="4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6"/>
      <c r="LL201" s="111">
        <f t="shared" si="148"/>
        <v>0</v>
      </c>
      <c r="LM201" s="4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6"/>
      <c r="OC201" s="111">
        <f t="shared" si="149"/>
        <v>0</v>
      </c>
      <c r="OD201" s="4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6"/>
      <c r="QT201" s="111">
        <f t="shared" si="150"/>
        <v>0</v>
      </c>
      <c r="QU201" s="4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6"/>
      <c r="TK201" s="111">
        <f t="shared" si="151"/>
        <v>0</v>
      </c>
      <c r="TL201" s="4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6"/>
    </row>
    <row r="202" spans="1:599" ht="14.25" customHeight="1" x14ac:dyDescent="0.3">
      <c r="A202" s="41"/>
      <c r="B202" s="39"/>
      <c r="C202" s="40"/>
      <c r="D202" s="40"/>
      <c r="E202" s="81"/>
      <c r="F202" s="81"/>
      <c r="G202" s="81"/>
      <c r="H202" s="81"/>
      <c r="I202" s="81"/>
      <c r="J202" s="81"/>
      <c r="K202" s="81"/>
      <c r="L202" s="81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89" t="str">
        <f t="shared" si="129"/>
        <v/>
      </c>
      <c r="Z202" s="89" t="str">
        <f t="shared" si="130"/>
        <v/>
      </c>
      <c r="AA202" s="89">
        <f t="shared" si="131"/>
        <v>0</v>
      </c>
      <c r="AB202" s="89">
        <f t="shared" si="132"/>
        <v>0</v>
      </c>
      <c r="AC202" s="90">
        <f t="shared" si="133"/>
        <v>0</v>
      </c>
      <c r="AD202" s="91">
        <f t="shared" si="134"/>
        <v>0</v>
      </c>
      <c r="AE202" s="93">
        <f t="shared" si="135"/>
        <v>0</v>
      </c>
      <c r="AF202" s="93">
        <f t="shared" si="136"/>
        <v>0</v>
      </c>
      <c r="AG202" s="93">
        <f t="shared" si="137"/>
        <v>0</v>
      </c>
      <c r="AH202" s="93">
        <f t="shared" si="138"/>
        <v>0</v>
      </c>
      <c r="AI202" s="93">
        <f t="shared" si="139"/>
        <v>0</v>
      </c>
      <c r="AJ202" s="93">
        <f t="shared" si="140"/>
        <v>0</v>
      </c>
      <c r="AK202" s="93">
        <f t="shared" si="141"/>
        <v>0</v>
      </c>
      <c r="AL202" s="93">
        <f t="shared" si="142"/>
        <v>0</v>
      </c>
      <c r="AM202" s="92">
        <f t="shared" si="143"/>
        <v>0</v>
      </c>
      <c r="AN202" s="1" t="str">
        <f t="shared" si="120"/>
        <v xml:space="preserve"> </v>
      </c>
      <c r="AO202" s="1" t="str">
        <f t="shared" si="121"/>
        <v xml:space="preserve"> </v>
      </c>
      <c r="AP202" s="1" t="str">
        <f t="shared" si="122"/>
        <v xml:space="preserve"> </v>
      </c>
      <c r="AQ202" s="1" t="str">
        <f t="shared" si="128"/>
        <v xml:space="preserve"> </v>
      </c>
      <c r="AR202" s="1" t="str">
        <f t="shared" si="124"/>
        <v xml:space="preserve"> </v>
      </c>
      <c r="AS202" s="1" t="str">
        <f t="shared" si="125"/>
        <v xml:space="preserve"> </v>
      </c>
      <c r="AT202" s="1" t="str">
        <f t="shared" si="126"/>
        <v xml:space="preserve"> </v>
      </c>
      <c r="AU202" s="103" t="str">
        <f t="shared" si="127"/>
        <v xml:space="preserve"> </v>
      </c>
      <c r="AV202" s="111">
        <f t="shared" si="144"/>
        <v>0</v>
      </c>
      <c r="AW202" s="4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6"/>
      <c r="DM202" s="111">
        <f t="shared" si="145"/>
        <v>0</v>
      </c>
      <c r="DN202" s="4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6"/>
      <c r="GD202" s="111">
        <f t="shared" si="146"/>
        <v>0</v>
      </c>
      <c r="GE202" s="4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6"/>
      <c r="IU202" s="111">
        <f t="shared" si="147"/>
        <v>0</v>
      </c>
      <c r="IV202" s="4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6"/>
      <c r="LL202" s="111">
        <f t="shared" si="148"/>
        <v>0</v>
      </c>
      <c r="LM202" s="4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6"/>
      <c r="OC202" s="111">
        <f t="shared" si="149"/>
        <v>0</v>
      </c>
      <c r="OD202" s="4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6"/>
      <c r="QT202" s="111">
        <f t="shared" si="150"/>
        <v>0</v>
      </c>
      <c r="QU202" s="4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6"/>
      <c r="TK202" s="111">
        <f t="shared" si="151"/>
        <v>0</v>
      </c>
      <c r="TL202" s="4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6"/>
    </row>
    <row r="203" spans="1:599" ht="14.25" customHeight="1" x14ac:dyDescent="0.3">
      <c r="A203" s="41"/>
      <c r="B203" s="39"/>
      <c r="C203" s="40"/>
      <c r="D203" s="40"/>
      <c r="E203" s="81"/>
      <c r="F203" s="81"/>
      <c r="G203" s="81"/>
      <c r="H203" s="81"/>
      <c r="I203" s="81"/>
      <c r="J203" s="81"/>
      <c r="K203" s="81"/>
      <c r="L203" s="81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89" t="str">
        <f t="shared" si="129"/>
        <v/>
      </c>
      <c r="Z203" s="89" t="str">
        <f t="shared" si="130"/>
        <v/>
      </c>
      <c r="AA203" s="89">
        <f t="shared" si="131"/>
        <v>0</v>
      </c>
      <c r="AB203" s="89">
        <f t="shared" si="132"/>
        <v>0</v>
      </c>
      <c r="AC203" s="90">
        <f t="shared" si="133"/>
        <v>0</v>
      </c>
      <c r="AD203" s="91">
        <f t="shared" si="134"/>
        <v>0</v>
      </c>
      <c r="AE203" s="93">
        <f t="shared" si="135"/>
        <v>0</v>
      </c>
      <c r="AF203" s="93">
        <f t="shared" si="136"/>
        <v>0</v>
      </c>
      <c r="AG203" s="93">
        <f t="shared" si="137"/>
        <v>0</v>
      </c>
      <c r="AH203" s="93">
        <f t="shared" si="138"/>
        <v>0</v>
      </c>
      <c r="AI203" s="93">
        <f t="shared" si="139"/>
        <v>0</v>
      </c>
      <c r="AJ203" s="93">
        <f t="shared" si="140"/>
        <v>0</v>
      </c>
      <c r="AK203" s="93">
        <f t="shared" si="141"/>
        <v>0</v>
      </c>
      <c r="AL203" s="93">
        <f t="shared" si="142"/>
        <v>0</v>
      </c>
      <c r="AM203" s="92">
        <f t="shared" si="143"/>
        <v>0</v>
      </c>
      <c r="AN203" s="1" t="str">
        <f t="shared" si="120"/>
        <v xml:space="preserve"> </v>
      </c>
      <c r="AO203" s="1" t="str">
        <f t="shared" si="121"/>
        <v xml:space="preserve"> </v>
      </c>
      <c r="AP203" s="1" t="str">
        <f t="shared" si="122"/>
        <v xml:space="preserve"> </v>
      </c>
      <c r="AQ203" s="1" t="str">
        <f t="shared" si="128"/>
        <v xml:space="preserve"> </v>
      </c>
      <c r="AR203" s="1" t="str">
        <f t="shared" si="124"/>
        <v xml:space="preserve"> </v>
      </c>
      <c r="AS203" s="1" t="str">
        <f t="shared" si="125"/>
        <v xml:space="preserve"> </v>
      </c>
      <c r="AT203" s="1" t="str">
        <f t="shared" si="126"/>
        <v xml:space="preserve"> </v>
      </c>
      <c r="AU203" s="103" t="str">
        <f t="shared" si="127"/>
        <v xml:space="preserve"> </v>
      </c>
      <c r="AV203" s="111">
        <f t="shared" si="144"/>
        <v>0</v>
      </c>
      <c r="AW203" s="4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6"/>
      <c r="DM203" s="111">
        <f t="shared" si="145"/>
        <v>0</v>
      </c>
      <c r="DN203" s="4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6"/>
      <c r="GD203" s="111">
        <f t="shared" si="146"/>
        <v>0</v>
      </c>
      <c r="GE203" s="4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6"/>
      <c r="IU203" s="111">
        <f t="shared" si="147"/>
        <v>0</v>
      </c>
      <c r="IV203" s="4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6"/>
      <c r="LL203" s="111">
        <f t="shared" si="148"/>
        <v>0</v>
      </c>
      <c r="LM203" s="4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6"/>
      <c r="OC203" s="111">
        <f t="shared" si="149"/>
        <v>0</v>
      </c>
      <c r="OD203" s="4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6"/>
      <c r="QT203" s="111">
        <f t="shared" si="150"/>
        <v>0</v>
      </c>
      <c r="QU203" s="4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6"/>
      <c r="TK203" s="111">
        <f t="shared" si="151"/>
        <v>0</v>
      </c>
      <c r="TL203" s="4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6"/>
    </row>
    <row r="204" spans="1:599" ht="14.25" customHeight="1" x14ac:dyDescent="0.3">
      <c r="A204" s="41"/>
      <c r="B204" s="39"/>
      <c r="C204" s="40"/>
      <c r="D204" s="40"/>
      <c r="E204" s="81"/>
      <c r="F204" s="81"/>
      <c r="G204" s="81"/>
      <c r="H204" s="81"/>
      <c r="I204" s="81"/>
      <c r="J204" s="81"/>
      <c r="K204" s="81"/>
      <c r="L204" s="81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89" t="str">
        <f t="shared" si="129"/>
        <v/>
      </c>
      <c r="Z204" s="89" t="str">
        <f t="shared" si="130"/>
        <v/>
      </c>
      <c r="AA204" s="89">
        <f t="shared" si="131"/>
        <v>0</v>
      </c>
      <c r="AB204" s="89">
        <f t="shared" si="132"/>
        <v>0</v>
      </c>
      <c r="AC204" s="90">
        <f t="shared" si="133"/>
        <v>0</v>
      </c>
      <c r="AD204" s="91">
        <f t="shared" si="134"/>
        <v>0</v>
      </c>
      <c r="AE204" s="93">
        <f t="shared" si="135"/>
        <v>0</v>
      </c>
      <c r="AF204" s="93">
        <f t="shared" si="136"/>
        <v>0</v>
      </c>
      <c r="AG204" s="93">
        <f t="shared" si="137"/>
        <v>0</v>
      </c>
      <c r="AH204" s="93">
        <f t="shared" si="138"/>
        <v>0</v>
      </c>
      <c r="AI204" s="93">
        <f t="shared" si="139"/>
        <v>0</v>
      </c>
      <c r="AJ204" s="93">
        <f t="shared" si="140"/>
        <v>0</v>
      </c>
      <c r="AK204" s="93">
        <f t="shared" si="141"/>
        <v>0</v>
      </c>
      <c r="AL204" s="93">
        <f t="shared" si="142"/>
        <v>0</v>
      </c>
      <c r="AM204" s="92">
        <f t="shared" si="143"/>
        <v>0</v>
      </c>
      <c r="AN204" s="1" t="str">
        <f t="shared" si="120"/>
        <v xml:space="preserve"> </v>
      </c>
      <c r="AO204" s="1" t="str">
        <f t="shared" si="121"/>
        <v xml:space="preserve"> </v>
      </c>
      <c r="AP204" s="1" t="str">
        <f t="shared" si="122"/>
        <v xml:space="preserve"> </v>
      </c>
      <c r="AQ204" s="1" t="str">
        <f t="shared" si="128"/>
        <v xml:space="preserve"> </v>
      </c>
      <c r="AR204" s="1" t="str">
        <f t="shared" si="124"/>
        <v xml:space="preserve"> </v>
      </c>
      <c r="AS204" s="1" t="str">
        <f t="shared" si="125"/>
        <v xml:space="preserve"> </v>
      </c>
      <c r="AT204" s="1" t="str">
        <f t="shared" si="126"/>
        <v xml:space="preserve"> </v>
      </c>
      <c r="AU204" s="103" t="str">
        <f t="shared" si="127"/>
        <v xml:space="preserve"> </v>
      </c>
      <c r="AV204" s="111">
        <f t="shared" si="144"/>
        <v>0</v>
      </c>
      <c r="AW204" s="4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6"/>
      <c r="DM204" s="111">
        <f t="shared" si="145"/>
        <v>0</v>
      </c>
      <c r="DN204" s="4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6"/>
      <c r="GD204" s="111">
        <f t="shared" si="146"/>
        <v>0</v>
      </c>
      <c r="GE204" s="4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6"/>
      <c r="IU204" s="111">
        <f t="shared" si="147"/>
        <v>0</v>
      </c>
      <c r="IV204" s="4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6"/>
      <c r="LL204" s="111">
        <f t="shared" si="148"/>
        <v>0</v>
      </c>
      <c r="LM204" s="4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6"/>
      <c r="OC204" s="111">
        <f t="shared" si="149"/>
        <v>0</v>
      </c>
      <c r="OD204" s="4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6"/>
      <c r="QT204" s="111">
        <f t="shared" si="150"/>
        <v>0</v>
      </c>
      <c r="QU204" s="4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6"/>
      <c r="TK204" s="111">
        <f t="shared" si="151"/>
        <v>0</v>
      </c>
      <c r="TL204" s="4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6"/>
    </row>
    <row r="205" spans="1:599" ht="14.25" customHeight="1" x14ac:dyDescent="0.3">
      <c r="A205" s="41"/>
      <c r="B205" s="39"/>
      <c r="C205" s="40"/>
      <c r="D205" s="40"/>
      <c r="E205" s="81"/>
      <c r="F205" s="81"/>
      <c r="G205" s="81"/>
      <c r="H205" s="81"/>
      <c r="I205" s="81"/>
      <c r="J205" s="81"/>
      <c r="K205" s="81"/>
      <c r="L205" s="81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89" t="str">
        <f t="shared" si="129"/>
        <v/>
      </c>
      <c r="Z205" s="89" t="str">
        <f t="shared" si="130"/>
        <v/>
      </c>
      <c r="AA205" s="89">
        <f t="shared" si="131"/>
        <v>0</v>
      </c>
      <c r="AB205" s="89">
        <f t="shared" si="132"/>
        <v>0</v>
      </c>
      <c r="AC205" s="90">
        <f t="shared" si="133"/>
        <v>0</v>
      </c>
      <c r="AD205" s="91">
        <f t="shared" si="134"/>
        <v>0</v>
      </c>
      <c r="AE205" s="93">
        <f t="shared" si="135"/>
        <v>0</v>
      </c>
      <c r="AF205" s="93">
        <f t="shared" si="136"/>
        <v>0</v>
      </c>
      <c r="AG205" s="93">
        <f t="shared" si="137"/>
        <v>0</v>
      </c>
      <c r="AH205" s="93">
        <f t="shared" si="138"/>
        <v>0</v>
      </c>
      <c r="AI205" s="93">
        <f t="shared" si="139"/>
        <v>0</v>
      </c>
      <c r="AJ205" s="93">
        <f t="shared" si="140"/>
        <v>0</v>
      </c>
      <c r="AK205" s="93">
        <f t="shared" si="141"/>
        <v>0</v>
      </c>
      <c r="AL205" s="93">
        <f t="shared" si="142"/>
        <v>0</v>
      </c>
      <c r="AM205" s="92">
        <f t="shared" si="143"/>
        <v>0</v>
      </c>
      <c r="AN205" s="1" t="str">
        <f t="shared" si="120"/>
        <v xml:space="preserve"> </v>
      </c>
      <c r="AO205" s="1" t="str">
        <f t="shared" si="121"/>
        <v xml:space="preserve"> </v>
      </c>
      <c r="AP205" s="1" t="str">
        <f t="shared" si="122"/>
        <v xml:space="preserve"> </v>
      </c>
      <c r="AQ205" s="1" t="str">
        <f t="shared" si="128"/>
        <v xml:space="preserve"> </v>
      </c>
      <c r="AR205" s="1" t="str">
        <f t="shared" si="124"/>
        <v xml:space="preserve"> </v>
      </c>
      <c r="AS205" s="1" t="str">
        <f t="shared" si="125"/>
        <v xml:space="preserve"> </v>
      </c>
      <c r="AT205" s="1" t="str">
        <f t="shared" si="126"/>
        <v xml:space="preserve"> </v>
      </c>
      <c r="AU205" s="103" t="str">
        <f t="shared" si="127"/>
        <v xml:space="preserve"> </v>
      </c>
      <c r="AV205" s="111">
        <f t="shared" si="144"/>
        <v>0</v>
      </c>
      <c r="AW205" s="4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6"/>
      <c r="DM205" s="111">
        <f t="shared" si="145"/>
        <v>0</v>
      </c>
      <c r="DN205" s="4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6"/>
      <c r="GD205" s="111">
        <f t="shared" si="146"/>
        <v>0</v>
      </c>
      <c r="GE205" s="4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6"/>
      <c r="IU205" s="111">
        <f t="shared" si="147"/>
        <v>0</v>
      </c>
      <c r="IV205" s="4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6"/>
      <c r="LL205" s="111">
        <f t="shared" si="148"/>
        <v>0</v>
      </c>
      <c r="LM205" s="4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6"/>
      <c r="OC205" s="111">
        <f t="shared" si="149"/>
        <v>0</v>
      </c>
      <c r="OD205" s="4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6"/>
      <c r="QT205" s="111">
        <f t="shared" si="150"/>
        <v>0</v>
      </c>
      <c r="QU205" s="4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6"/>
      <c r="TK205" s="111">
        <f t="shared" si="151"/>
        <v>0</v>
      </c>
      <c r="TL205" s="4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6"/>
    </row>
    <row r="206" spans="1:599" ht="14.25" customHeight="1" x14ac:dyDescent="0.3">
      <c r="A206" s="41"/>
      <c r="B206" s="39"/>
      <c r="C206" s="40"/>
      <c r="D206" s="40"/>
      <c r="E206" s="81"/>
      <c r="F206" s="81"/>
      <c r="G206" s="81"/>
      <c r="H206" s="81"/>
      <c r="I206" s="81"/>
      <c r="J206" s="81"/>
      <c r="K206" s="81"/>
      <c r="L206" s="81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89" t="str">
        <f t="shared" si="129"/>
        <v/>
      </c>
      <c r="Z206" s="89" t="str">
        <f t="shared" si="130"/>
        <v/>
      </c>
      <c r="AA206" s="89">
        <f t="shared" si="131"/>
        <v>0</v>
      </c>
      <c r="AB206" s="89">
        <f t="shared" si="132"/>
        <v>0</v>
      </c>
      <c r="AC206" s="90">
        <f t="shared" si="133"/>
        <v>0</v>
      </c>
      <c r="AD206" s="91">
        <f t="shared" si="134"/>
        <v>0</v>
      </c>
      <c r="AE206" s="93">
        <f t="shared" si="135"/>
        <v>0</v>
      </c>
      <c r="AF206" s="93">
        <f t="shared" si="136"/>
        <v>0</v>
      </c>
      <c r="AG206" s="93">
        <f t="shared" si="137"/>
        <v>0</v>
      </c>
      <c r="AH206" s="93">
        <f t="shared" si="138"/>
        <v>0</v>
      </c>
      <c r="AI206" s="93">
        <f t="shared" si="139"/>
        <v>0</v>
      </c>
      <c r="AJ206" s="93">
        <f t="shared" si="140"/>
        <v>0</v>
      </c>
      <c r="AK206" s="93">
        <f t="shared" si="141"/>
        <v>0</v>
      </c>
      <c r="AL206" s="93">
        <f t="shared" si="142"/>
        <v>0</v>
      </c>
      <c r="AM206" s="92">
        <f t="shared" si="143"/>
        <v>0</v>
      </c>
      <c r="AN206" s="1" t="str">
        <f t="shared" si="120"/>
        <v xml:space="preserve"> </v>
      </c>
      <c r="AO206" s="1" t="str">
        <f t="shared" si="121"/>
        <v xml:space="preserve"> </v>
      </c>
      <c r="AP206" s="1" t="str">
        <f t="shared" si="122"/>
        <v xml:space="preserve"> </v>
      </c>
      <c r="AQ206" s="1" t="str">
        <f t="shared" si="128"/>
        <v xml:space="preserve"> </v>
      </c>
      <c r="AR206" s="1" t="str">
        <f t="shared" si="124"/>
        <v xml:space="preserve"> </v>
      </c>
      <c r="AS206" s="1" t="str">
        <f t="shared" si="125"/>
        <v xml:space="preserve"> </v>
      </c>
      <c r="AT206" s="1" t="str">
        <f t="shared" si="126"/>
        <v xml:space="preserve"> </v>
      </c>
      <c r="AU206" s="103" t="str">
        <f t="shared" si="127"/>
        <v xml:space="preserve"> </v>
      </c>
      <c r="AV206" s="111">
        <f t="shared" si="144"/>
        <v>0</v>
      </c>
      <c r="AW206" s="4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6"/>
      <c r="DM206" s="111">
        <f t="shared" si="145"/>
        <v>0</v>
      </c>
      <c r="DN206" s="4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6"/>
      <c r="GD206" s="111">
        <f t="shared" si="146"/>
        <v>0</v>
      </c>
      <c r="GE206" s="4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6"/>
      <c r="IU206" s="111">
        <f t="shared" si="147"/>
        <v>0</v>
      </c>
      <c r="IV206" s="4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6"/>
      <c r="LL206" s="111">
        <f t="shared" si="148"/>
        <v>0</v>
      </c>
      <c r="LM206" s="4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6"/>
      <c r="OC206" s="111">
        <f t="shared" si="149"/>
        <v>0</v>
      </c>
      <c r="OD206" s="4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6"/>
      <c r="QT206" s="111">
        <f t="shared" si="150"/>
        <v>0</v>
      </c>
      <c r="QU206" s="4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6"/>
      <c r="TK206" s="111">
        <f t="shared" si="151"/>
        <v>0</v>
      </c>
      <c r="TL206" s="4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6"/>
    </row>
    <row r="207" spans="1:599" ht="14.25" customHeight="1" x14ac:dyDescent="0.3">
      <c r="A207" s="41"/>
      <c r="B207" s="39"/>
      <c r="C207" s="40"/>
      <c r="D207" s="40"/>
      <c r="E207" s="81"/>
      <c r="F207" s="81"/>
      <c r="G207" s="81"/>
      <c r="H207" s="81"/>
      <c r="I207" s="81"/>
      <c r="J207" s="81"/>
      <c r="K207" s="81"/>
      <c r="L207" s="81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89" t="str">
        <f t="shared" si="129"/>
        <v/>
      </c>
      <c r="Z207" s="89" t="str">
        <f t="shared" si="130"/>
        <v/>
      </c>
      <c r="AA207" s="89">
        <f t="shared" si="131"/>
        <v>0</v>
      </c>
      <c r="AB207" s="89">
        <f t="shared" si="132"/>
        <v>0</v>
      </c>
      <c r="AC207" s="90">
        <f t="shared" si="133"/>
        <v>0</v>
      </c>
      <c r="AD207" s="91">
        <f t="shared" si="134"/>
        <v>0</v>
      </c>
      <c r="AE207" s="93">
        <f t="shared" si="135"/>
        <v>0</v>
      </c>
      <c r="AF207" s="93">
        <f t="shared" si="136"/>
        <v>0</v>
      </c>
      <c r="AG207" s="93">
        <f t="shared" si="137"/>
        <v>0</v>
      </c>
      <c r="AH207" s="93">
        <f t="shared" si="138"/>
        <v>0</v>
      </c>
      <c r="AI207" s="93">
        <f t="shared" si="139"/>
        <v>0</v>
      </c>
      <c r="AJ207" s="93">
        <f t="shared" si="140"/>
        <v>0</v>
      </c>
      <c r="AK207" s="93">
        <f t="shared" si="141"/>
        <v>0</v>
      </c>
      <c r="AL207" s="93">
        <f t="shared" si="142"/>
        <v>0</v>
      </c>
      <c r="AM207" s="92">
        <f t="shared" si="143"/>
        <v>0</v>
      </c>
      <c r="AN207" s="1" t="str">
        <f t="shared" si="120"/>
        <v xml:space="preserve"> </v>
      </c>
      <c r="AO207" s="1" t="str">
        <f t="shared" si="121"/>
        <v xml:space="preserve"> </v>
      </c>
      <c r="AP207" s="1" t="str">
        <f t="shared" si="122"/>
        <v xml:space="preserve"> </v>
      </c>
      <c r="AQ207" s="1" t="str">
        <f t="shared" si="128"/>
        <v xml:space="preserve"> </v>
      </c>
      <c r="AR207" s="1" t="str">
        <f t="shared" si="124"/>
        <v xml:space="preserve"> </v>
      </c>
      <c r="AS207" s="1" t="str">
        <f t="shared" si="125"/>
        <v xml:space="preserve"> </v>
      </c>
      <c r="AT207" s="1" t="str">
        <f t="shared" si="126"/>
        <v xml:space="preserve"> </v>
      </c>
      <c r="AU207" s="103" t="str">
        <f t="shared" si="127"/>
        <v xml:space="preserve"> </v>
      </c>
      <c r="AV207" s="111">
        <f t="shared" si="144"/>
        <v>0</v>
      </c>
      <c r="AW207" s="4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6"/>
      <c r="DM207" s="111">
        <f t="shared" si="145"/>
        <v>0</v>
      </c>
      <c r="DN207" s="4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6"/>
      <c r="GD207" s="111">
        <f t="shared" si="146"/>
        <v>0</v>
      </c>
      <c r="GE207" s="4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6"/>
      <c r="IU207" s="111">
        <f t="shared" si="147"/>
        <v>0</v>
      </c>
      <c r="IV207" s="4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6"/>
      <c r="LL207" s="111">
        <f t="shared" si="148"/>
        <v>0</v>
      </c>
      <c r="LM207" s="4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6"/>
      <c r="OC207" s="111">
        <f t="shared" si="149"/>
        <v>0</v>
      </c>
      <c r="OD207" s="4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6"/>
      <c r="QT207" s="111">
        <f t="shared" si="150"/>
        <v>0</v>
      </c>
      <c r="QU207" s="4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6"/>
      <c r="TK207" s="111">
        <f t="shared" si="151"/>
        <v>0</v>
      </c>
      <c r="TL207" s="4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6"/>
    </row>
    <row r="208" spans="1:599" ht="14.25" customHeight="1" x14ac:dyDescent="0.3">
      <c r="A208" s="41"/>
      <c r="B208" s="39"/>
      <c r="C208" s="40"/>
      <c r="D208" s="40"/>
      <c r="E208" s="81"/>
      <c r="F208" s="81"/>
      <c r="G208" s="81"/>
      <c r="H208" s="81"/>
      <c r="I208" s="81"/>
      <c r="J208" s="81"/>
      <c r="K208" s="81"/>
      <c r="L208" s="81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89" t="str">
        <f t="shared" si="129"/>
        <v/>
      </c>
      <c r="Z208" s="89" t="str">
        <f t="shared" si="130"/>
        <v/>
      </c>
      <c r="AA208" s="89">
        <f t="shared" si="131"/>
        <v>0</v>
      </c>
      <c r="AB208" s="89">
        <f t="shared" si="132"/>
        <v>0</v>
      </c>
      <c r="AC208" s="90">
        <f t="shared" si="133"/>
        <v>0</v>
      </c>
      <c r="AD208" s="91">
        <f t="shared" si="134"/>
        <v>0</v>
      </c>
      <c r="AE208" s="93">
        <f t="shared" si="135"/>
        <v>0</v>
      </c>
      <c r="AF208" s="93">
        <f t="shared" si="136"/>
        <v>0</v>
      </c>
      <c r="AG208" s="93">
        <f t="shared" si="137"/>
        <v>0</v>
      </c>
      <c r="AH208" s="93">
        <f t="shared" si="138"/>
        <v>0</v>
      </c>
      <c r="AI208" s="93">
        <f t="shared" si="139"/>
        <v>0</v>
      </c>
      <c r="AJ208" s="93">
        <f t="shared" si="140"/>
        <v>0</v>
      </c>
      <c r="AK208" s="93">
        <f t="shared" si="141"/>
        <v>0</v>
      </c>
      <c r="AL208" s="93">
        <f t="shared" si="142"/>
        <v>0</v>
      </c>
      <c r="AM208" s="92">
        <f t="shared" si="143"/>
        <v>0</v>
      </c>
      <c r="AN208" s="1" t="str">
        <f t="shared" si="120"/>
        <v xml:space="preserve"> </v>
      </c>
      <c r="AO208" s="1" t="str">
        <f t="shared" si="121"/>
        <v xml:space="preserve"> </v>
      </c>
      <c r="AP208" s="1" t="str">
        <f t="shared" si="122"/>
        <v xml:space="preserve"> </v>
      </c>
      <c r="AQ208" s="1" t="str">
        <f t="shared" si="128"/>
        <v xml:space="preserve"> </v>
      </c>
      <c r="AR208" s="1" t="str">
        <f t="shared" si="124"/>
        <v xml:space="preserve"> </v>
      </c>
      <c r="AS208" s="1" t="str">
        <f t="shared" si="125"/>
        <v xml:space="preserve"> </v>
      </c>
      <c r="AT208" s="1" t="str">
        <f t="shared" si="126"/>
        <v xml:space="preserve"> </v>
      </c>
      <c r="AU208" s="103" t="str">
        <f t="shared" si="127"/>
        <v xml:space="preserve"> </v>
      </c>
      <c r="AV208" s="111">
        <f t="shared" si="144"/>
        <v>0</v>
      </c>
      <c r="AW208" s="4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6"/>
      <c r="DM208" s="111">
        <f t="shared" si="145"/>
        <v>0</v>
      </c>
      <c r="DN208" s="4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6"/>
      <c r="GD208" s="111">
        <f t="shared" si="146"/>
        <v>0</v>
      </c>
      <c r="GE208" s="4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6"/>
      <c r="IU208" s="111">
        <f t="shared" si="147"/>
        <v>0</v>
      </c>
      <c r="IV208" s="4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6"/>
      <c r="LL208" s="111">
        <f t="shared" si="148"/>
        <v>0</v>
      </c>
      <c r="LM208" s="4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6"/>
      <c r="OC208" s="111">
        <f t="shared" si="149"/>
        <v>0</v>
      </c>
      <c r="OD208" s="4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6"/>
      <c r="QT208" s="111">
        <f t="shared" si="150"/>
        <v>0</v>
      </c>
      <c r="QU208" s="4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6"/>
      <c r="TK208" s="111">
        <f t="shared" si="151"/>
        <v>0</v>
      </c>
      <c r="TL208" s="4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6"/>
    </row>
    <row r="209" spans="1:599" ht="14.25" customHeight="1" x14ac:dyDescent="0.3">
      <c r="A209" s="41"/>
      <c r="B209" s="39"/>
      <c r="C209" s="40"/>
      <c r="D209" s="40"/>
      <c r="E209" s="81"/>
      <c r="F209" s="81"/>
      <c r="G209" s="81"/>
      <c r="H209" s="81"/>
      <c r="I209" s="81"/>
      <c r="J209" s="81"/>
      <c r="K209" s="81"/>
      <c r="L209" s="81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89" t="str">
        <f t="shared" si="129"/>
        <v/>
      </c>
      <c r="Z209" s="89" t="str">
        <f t="shared" si="130"/>
        <v/>
      </c>
      <c r="AA209" s="89">
        <f t="shared" si="131"/>
        <v>0</v>
      </c>
      <c r="AB209" s="89">
        <f t="shared" si="132"/>
        <v>0</v>
      </c>
      <c r="AC209" s="90">
        <f t="shared" si="133"/>
        <v>0</v>
      </c>
      <c r="AD209" s="91">
        <f t="shared" si="134"/>
        <v>0</v>
      </c>
      <c r="AE209" s="93">
        <f t="shared" si="135"/>
        <v>0</v>
      </c>
      <c r="AF209" s="93">
        <f t="shared" si="136"/>
        <v>0</v>
      </c>
      <c r="AG209" s="93">
        <f t="shared" si="137"/>
        <v>0</v>
      </c>
      <c r="AH209" s="93">
        <f t="shared" si="138"/>
        <v>0</v>
      </c>
      <c r="AI209" s="93">
        <f t="shared" si="139"/>
        <v>0</v>
      </c>
      <c r="AJ209" s="93">
        <f t="shared" si="140"/>
        <v>0</v>
      </c>
      <c r="AK209" s="93">
        <f t="shared" si="141"/>
        <v>0</v>
      </c>
      <c r="AL209" s="93">
        <f t="shared" si="142"/>
        <v>0</v>
      </c>
      <c r="AM209" s="92">
        <f t="shared" si="143"/>
        <v>0</v>
      </c>
      <c r="AN209" s="1" t="str">
        <f t="shared" si="120"/>
        <v xml:space="preserve"> </v>
      </c>
      <c r="AO209" s="1" t="str">
        <f t="shared" si="121"/>
        <v xml:space="preserve"> </v>
      </c>
      <c r="AP209" s="1" t="str">
        <f t="shared" si="122"/>
        <v xml:space="preserve"> </v>
      </c>
      <c r="AQ209" s="1" t="str">
        <f t="shared" si="128"/>
        <v xml:space="preserve"> </v>
      </c>
      <c r="AR209" s="1" t="str">
        <f t="shared" si="124"/>
        <v xml:space="preserve"> </v>
      </c>
      <c r="AS209" s="1" t="str">
        <f t="shared" si="125"/>
        <v xml:space="preserve"> </v>
      </c>
      <c r="AT209" s="1" t="str">
        <f t="shared" si="126"/>
        <v xml:space="preserve"> </v>
      </c>
      <c r="AU209" s="103" t="str">
        <f t="shared" si="127"/>
        <v xml:space="preserve"> </v>
      </c>
      <c r="AV209" s="111">
        <f t="shared" si="144"/>
        <v>0</v>
      </c>
      <c r="AW209" s="4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6"/>
      <c r="DM209" s="111">
        <f t="shared" si="145"/>
        <v>0</v>
      </c>
      <c r="DN209" s="4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6"/>
      <c r="GD209" s="111">
        <f t="shared" si="146"/>
        <v>0</v>
      </c>
      <c r="GE209" s="4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6"/>
      <c r="IU209" s="111">
        <f t="shared" si="147"/>
        <v>0</v>
      </c>
      <c r="IV209" s="4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6"/>
      <c r="LL209" s="111">
        <f t="shared" si="148"/>
        <v>0</v>
      </c>
      <c r="LM209" s="4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6"/>
      <c r="OC209" s="111">
        <f t="shared" si="149"/>
        <v>0</v>
      </c>
      <c r="OD209" s="4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6"/>
      <c r="QT209" s="111">
        <f t="shared" si="150"/>
        <v>0</v>
      </c>
      <c r="QU209" s="4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6"/>
      <c r="TK209" s="111">
        <f t="shared" si="151"/>
        <v>0</v>
      </c>
      <c r="TL209" s="4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6"/>
    </row>
    <row r="210" spans="1:599" ht="14.25" customHeight="1" x14ac:dyDescent="0.3">
      <c r="A210" s="41"/>
      <c r="B210" s="39"/>
      <c r="C210" s="40"/>
      <c r="D210" s="40"/>
      <c r="E210" s="81"/>
      <c r="F210" s="81"/>
      <c r="G210" s="81"/>
      <c r="H210" s="81"/>
      <c r="I210" s="81"/>
      <c r="J210" s="81"/>
      <c r="K210" s="81"/>
      <c r="L210" s="81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89" t="str">
        <f t="shared" si="129"/>
        <v/>
      </c>
      <c r="Z210" s="89" t="str">
        <f t="shared" si="130"/>
        <v/>
      </c>
      <c r="AA210" s="89">
        <f t="shared" si="131"/>
        <v>0</v>
      </c>
      <c r="AB210" s="89">
        <f t="shared" si="132"/>
        <v>0</v>
      </c>
      <c r="AC210" s="90">
        <f t="shared" si="133"/>
        <v>0</v>
      </c>
      <c r="AD210" s="91">
        <f t="shared" si="134"/>
        <v>0</v>
      </c>
      <c r="AE210" s="93">
        <f t="shared" si="135"/>
        <v>0</v>
      </c>
      <c r="AF210" s="93">
        <f t="shared" si="136"/>
        <v>0</v>
      </c>
      <c r="AG210" s="93">
        <f t="shared" si="137"/>
        <v>0</v>
      </c>
      <c r="AH210" s="93">
        <f t="shared" si="138"/>
        <v>0</v>
      </c>
      <c r="AI210" s="93">
        <f t="shared" si="139"/>
        <v>0</v>
      </c>
      <c r="AJ210" s="93">
        <f t="shared" si="140"/>
        <v>0</v>
      </c>
      <c r="AK210" s="93">
        <f t="shared" si="141"/>
        <v>0</v>
      </c>
      <c r="AL210" s="93">
        <f t="shared" si="142"/>
        <v>0</v>
      </c>
      <c r="AM210" s="92">
        <f t="shared" si="143"/>
        <v>0</v>
      </c>
      <c r="AN210" s="1" t="str">
        <f t="shared" si="120"/>
        <v xml:space="preserve"> </v>
      </c>
      <c r="AO210" s="1" t="str">
        <f t="shared" si="121"/>
        <v xml:space="preserve"> </v>
      </c>
      <c r="AP210" s="1" t="str">
        <f t="shared" si="122"/>
        <v xml:space="preserve"> </v>
      </c>
      <c r="AQ210" s="1" t="str">
        <f t="shared" si="128"/>
        <v xml:space="preserve"> </v>
      </c>
      <c r="AR210" s="1" t="str">
        <f t="shared" si="124"/>
        <v xml:space="preserve"> </v>
      </c>
      <c r="AS210" s="1" t="str">
        <f t="shared" si="125"/>
        <v xml:space="preserve"> </v>
      </c>
      <c r="AT210" s="1" t="str">
        <f t="shared" si="126"/>
        <v xml:space="preserve"> </v>
      </c>
      <c r="AU210" s="103" t="str">
        <f t="shared" si="127"/>
        <v xml:space="preserve"> </v>
      </c>
      <c r="AV210" s="111">
        <f t="shared" si="144"/>
        <v>0</v>
      </c>
      <c r="AW210" s="4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6"/>
      <c r="DM210" s="111">
        <f t="shared" si="145"/>
        <v>0</v>
      </c>
      <c r="DN210" s="4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6"/>
      <c r="GD210" s="111">
        <f t="shared" si="146"/>
        <v>0</v>
      </c>
      <c r="GE210" s="4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6"/>
      <c r="IU210" s="111">
        <f t="shared" si="147"/>
        <v>0</v>
      </c>
      <c r="IV210" s="4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6"/>
      <c r="LL210" s="111">
        <f t="shared" si="148"/>
        <v>0</v>
      </c>
      <c r="LM210" s="4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6"/>
      <c r="OC210" s="111">
        <f t="shared" si="149"/>
        <v>0</v>
      </c>
      <c r="OD210" s="4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6"/>
      <c r="QT210" s="111">
        <f t="shared" si="150"/>
        <v>0</v>
      </c>
      <c r="QU210" s="4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6"/>
      <c r="TK210" s="111">
        <f t="shared" si="151"/>
        <v>0</v>
      </c>
      <c r="TL210" s="4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6"/>
    </row>
    <row r="211" spans="1:599" ht="14.25" customHeight="1" x14ac:dyDescent="0.3">
      <c r="A211" s="41"/>
      <c r="B211" s="39"/>
      <c r="C211" s="40"/>
      <c r="D211" s="40"/>
      <c r="E211" s="81"/>
      <c r="F211" s="81"/>
      <c r="G211" s="81"/>
      <c r="H211" s="81"/>
      <c r="I211" s="81"/>
      <c r="J211" s="81"/>
      <c r="K211" s="81"/>
      <c r="L211" s="81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89" t="str">
        <f t="shared" si="129"/>
        <v/>
      </c>
      <c r="Z211" s="89" t="str">
        <f t="shared" si="130"/>
        <v/>
      </c>
      <c r="AA211" s="89">
        <f t="shared" si="131"/>
        <v>0</v>
      </c>
      <c r="AB211" s="89">
        <f t="shared" si="132"/>
        <v>0</v>
      </c>
      <c r="AC211" s="90">
        <f t="shared" si="133"/>
        <v>0</v>
      </c>
      <c r="AD211" s="91">
        <f t="shared" si="134"/>
        <v>0</v>
      </c>
      <c r="AE211" s="93">
        <f t="shared" si="135"/>
        <v>0</v>
      </c>
      <c r="AF211" s="93">
        <f t="shared" si="136"/>
        <v>0</v>
      </c>
      <c r="AG211" s="93">
        <f t="shared" si="137"/>
        <v>0</v>
      </c>
      <c r="AH211" s="93">
        <f t="shared" si="138"/>
        <v>0</v>
      </c>
      <c r="AI211" s="93">
        <f t="shared" si="139"/>
        <v>0</v>
      </c>
      <c r="AJ211" s="93">
        <f t="shared" si="140"/>
        <v>0</v>
      </c>
      <c r="AK211" s="93">
        <f t="shared" si="141"/>
        <v>0</v>
      </c>
      <c r="AL211" s="93">
        <f t="shared" si="142"/>
        <v>0</v>
      </c>
      <c r="AM211" s="92">
        <f t="shared" si="143"/>
        <v>0</v>
      </c>
      <c r="AN211" s="1" t="str">
        <f t="shared" si="120"/>
        <v xml:space="preserve"> </v>
      </c>
      <c r="AO211" s="1" t="str">
        <f t="shared" si="121"/>
        <v xml:space="preserve"> </v>
      </c>
      <c r="AP211" s="1" t="str">
        <f t="shared" si="122"/>
        <v xml:space="preserve"> </v>
      </c>
      <c r="AQ211" s="1" t="str">
        <f t="shared" si="128"/>
        <v xml:space="preserve"> </v>
      </c>
      <c r="AR211" s="1" t="str">
        <f t="shared" si="124"/>
        <v xml:space="preserve"> </v>
      </c>
      <c r="AS211" s="1" t="str">
        <f t="shared" si="125"/>
        <v xml:space="preserve"> </v>
      </c>
      <c r="AT211" s="1" t="str">
        <f t="shared" si="126"/>
        <v xml:space="preserve"> </v>
      </c>
      <c r="AU211" s="103" t="str">
        <f t="shared" si="127"/>
        <v xml:space="preserve"> </v>
      </c>
      <c r="AV211" s="111">
        <f t="shared" si="144"/>
        <v>0</v>
      </c>
      <c r="AW211" s="4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6"/>
      <c r="DM211" s="111">
        <f t="shared" si="145"/>
        <v>0</v>
      </c>
      <c r="DN211" s="4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6"/>
      <c r="GD211" s="111">
        <f t="shared" si="146"/>
        <v>0</v>
      </c>
      <c r="GE211" s="4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6"/>
      <c r="IU211" s="111">
        <f t="shared" si="147"/>
        <v>0</v>
      </c>
      <c r="IV211" s="4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6"/>
      <c r="LL211" s="111">
        <f t="shared" si="148"/>
        <v>0</v>
      </c>
      <c r="LM211" s="4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6"/>
      <c r="OC211" s="111">
        <f t="shared" si="149"/>
        <v>0</v>
      </c>
      <c r="OD211" s="4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6"/>
      <c r="QT211" s="111">
        <f t="shared" si="150"/>
        <v>0</v>
      </c>
      <c r="QU211" s="4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6"/>
      <c r="TK211" s="111">
        <f t="shared" si="151"/>
        <v>0</v>
      </c>
      <c r="TL211" s="4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6"/>
    </row>
    <row r="212" spans="1:599" ht="14.25" customHeight="1" x14ac:dyDescent="0.3">
      <c r="A212" s="41"/>
      <c r="B212" s="39"/>
      <c r="C212" s="40"/>
      <c r="D212" s="40"/>
      <c r="E212" s="81"/>
      <c r="F212" s="81"/>
      <c r="G212" s="81"/>
      <c r="H212" s="81"/>
      <c r="I212" s="81"/>
      <c r="J212" s="81"/>
      <c r="K212" s="81"/>
      <c r="L212" s="81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89" t="str">
        <f t="shared" si="129"/>
        <v/>
      </c>
      <c r="Z212" s="89" t="str">
        <f t="shared" si="130"/>
        <v/>
      </c>
      <c r="AA212" s="89">
        <f t="shared" si="131"/>
        <v>0</v>
      </c>
      <c r="AB212" s="89">
        <f t="shared" si="132"/>
        <v>0</v>
      </c>
      <c r="AC212" s="90">
        <f t="shared" si="133"/>
        <v>0</v>
      </c>
      <c r="AD212" s="91">
        <f t="shared" si="134"/>
        <v>0</v>
      </c>
      <c r="AE212" s="93">
        <f t="shared" si="135"/>
        <v>0</v>
      </c>
      <c r="AF212" s="93">
        <f t="shared" si="136"/>
        <v>0</v>
      </c>
      <c r="AG212" s="93">
        <f t="shared" si="137"/>
        <v>0</v>
      </c>
      <c r="AH212" s="93">
        <f t="shared" si="138"/>
        <v>0</v>
      </c>
      <c r="AI212" s="93">
        <f t="shared" si="139"/>
        <v>0</v>
      </c>
      <c r="AJ212" s="93">
        <f t="shared" si="140"/>
        <v>0</v>
      </c>
      <c r="AK212" s="93">
        <f t="shared" si="141"/>
        <v>0</v>
      </c>
      <c r="AL212" s="93">
        <f t="shared" si="142"/>
        <v>0</v>
      </c>
      <c r="AM212" s="92">
        <f t="shared" si="143"/>
        <v>0</v>
      </c>
      <c r="AN212" s="1" t="str">
        <f t="shared" si="120"/>
        <v xml:space="preserve"> </v>
      </c>
      <c r="AO212" s="1" t="str">
        <f t="shared" si="121"/>
        <v xml:space="preserve"> </v>
      </c>
      <c r="AP212" s="1" t="str">
        <f t="shared" si="122"/>
        <v xml:space="preserve"> </v>
      </c>
      <c r="AQ212" s="1" t="str">
        <f t="shared" si="128"/>
        <v xml:space="preserve"> </v>
      </c>
      <c r="AR212" s="1" t="str">
        <f t="shared" si="124"/>
        <v xml:space="preserve"> </v>
      </c>
      <c r="AS212" s="1" t="str">
        <f t="shared" si="125"/>
        <v xml:space="preserve"> </v>
      </c>
      <c r="AT212" s="1" t="str">
        <f t="shared" si="126"/>
        <v xml:space="preserve"> </v>
      </c>
      <c r="AU212" s="103" t="str">
        <f t="shared" si="127"/>
        <v xml:space="preserve"> </v>
      </c>
      <c r="AV212" s="111">
        <f t="shared" si="144"/>
        <v>0</v>
      </c>
      <c r="AW212" s="4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6"/>
      <c r="DM212" s="111">
        <f t="shared" si="145"/>
        <v>0</v>
      </c>
      <c r="DN212" s="4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6"/>
      <c r="GD212" s="111">
        <f t="shared" si="146"/>
        <v>0</v>
      </c>
      <c r="GE212" s="4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6"/>
      <c r="IU212" s="111">
        <f t="shared" si="147"/>
        <v>0</v>
      </c>
      <c r="IV212" s="4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6"/>
      <c r="LL212" s="111">
        <f t="shared" si="148"/>
        <v>0</v>
      </c>
      <c r="LM212" s="4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6"/>
      <c r="OC212" s="111">
        <f t="shared" si="149"/>
        <v>0</v>
      </c>
      <c r="OD212" s="4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6"/>
      <c r="QT212" s="111">
        <f t="shared" si="150"/>
        <v>0</v>
      </c>
      <c r="QU212" s="4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6"/>
      <c r="TK212" s="111">
        <f t="shared" si="151"/>
        <v>0</v>
      </c>
      <c r="TL212" s="4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6"/>
    </row>
    <row r="213" spans="1:599" ht="14.25" customHeight="1" x14ac:dyDescent="0.3">
      <c r="A213" s="41"/>
      <c r="B213" s="39"/>
      <c r="C213" s="40"/>
      <c r="D213" s="40"/>
      <c r="E213" s="81"/>
      <c r="F213" s="81"/>
      <c r="G213" s="81"/>
      <c r="H213" s="81"/>
      <c r="I213" s="81"/>
      <c r="J213" s="81"/>
      <c r="K213" s="81"/>
      <c r="L213" s="81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89" t="str">
        <f t="shared" si="129"/>
        <v/>
      </c>
      <c r="Z213" s="89" t="str">
        <f t="shared" si="130"/>
        <v/>
      </c>
      <c r="AA213" s="89">
        <f t="shared" si="131"/>
        <v>0</v>
      </c>
      <c r="AB213" s="89">
        <f t="shared" si="132"/>
        <v>0</v>
      </c>
      <c r="AC213" s="90">
        <f t="shared" si="133"/>
        <v>0</v>
      </c>
      <c r="AD213" s="91">
        <f t="shared" si="134"/>
        <v>0</v>
      </c>
      <c r="AE213" s="93">
        <f t="shared" si="135"/>
        <v>0</v>
      </c>
      <c r="AF213" s="93">
        <f t="shared" si="136"/>
        <v>0</v>
      </c>
      <c r="AG213" s="93">
        <f t="shared" si="137"/>
        <v>0</v>
      </c>
      <c r="AH213" s="93">
        <f t="shared" si="138"/>
        <v>0</v>
      </c>
      <c r="AI213" s="93">
        <f t="shared" si="139"/>
        <v>0</v>
      </c>
      <c r="AJ213" s="93">
        <f t="shared" si="140"/>
        <v>0</v>
      </c>
      <c r="AK213" s="93">
        <f t="shared" si="141"/>
        <v>0</v>
      </c>
      <c r="AL213" s="93">
        <f t="shared" si="142"/>
        <v>0</v>
      </c>
      <c r="AM213" s="92">
        <f t="shared" si="143"/>
        <v>0</v>
      </c>
      <c r="AN213" s="1" t="str">
        <f t="shared" si="120"/>
        <v xml:space="preserve"> </v>
      </c>
      <c r="AO213" s="1" t="str">
        <f t="shared" si="121"/>
        <v xml:space="preserve"> </v>
      </c>
      <c r="AP213" s="1" t="str">
        <f t="shared" si="122"/>
        <v xml:space="preserve"> </v>
      </c>
      <c r="AQ213" s="1" t="str">
        <f t="shared" si="128"/>
        <v xml:space="preserve"> </v>
      </c>
      <c r="AR213" s="1" t="str">
        <f t="shared" si="124"/>
        <v xml:space="preserve"> </v>
      </c>
      <c r="AS213" s="1" t="str">
        <f t="shared" si="125"/>
        <v xml:space="preserve"> </v>
      </c>
      <c r="AT213" s="1" t="str">
        <f t="shared" si="126"/>
        <v xml:space="preserve"> </v>
      </c>
      <c r="AU213" s="103" t="str">
        <f t="shared" si="127"/>
        <v xml:space="preserve"> </v>
      </c>
      <c r="AV213" s="111">
        <f t="shared" si="144"/>
        <v>0</v>
      </c>
      <c r="AW213" s="4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6"/>
      <c r="DM213" s="111">
        <f t="shared" si="145"/>
        <v>0</v>
      </c>
      <c r="DN213" s="4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6"/>
      <c r="GD213" s="111">
        <f t="shared" si="146"/>
        <v>0</v>
      </c>
      <c r="GE213" s="4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6"/>
      <c r="IU213" s="111">
        <f t="shared" si="147"/>
        <v>0</v>
      </c>
      <c r="IV213" s="4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6"/>
      <c r="LL213" s="111">
        <f t="shared" si="148"/>
        <v>0</v>
      </c>
      <c r="LM213" s="4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6"/>
      <c r="OC213" s="111">
        <f t="shared" si="149"/>
        <v>0</v>
      </c>
      <c r="OD213" s="4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6"/>
      <c r="QT213" s="111">
        <f t="shared" si="150"/>
        <v>0</v>
      </c>
      <c r="QU213" s="4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6"/>
      <c r="TK213" s="111">
        <f t="shared" si="151"/>
        <v>0</v>
      </c>
      <c r="TL213" s="4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6"/>
    </row>
    <row r="214" spans="1:599" ht="14.25" customHeight="1" x14ac:dyDescent="0.3">
      <c r="A214" s="41"/>
      <c r="B214" s="39"/>
      <c r="C214" s="40"/>
      <c r="D214" s="40"/>
      <c r="E214" s="81"/>
      <c r="F214" s="81"/>
      <c r="G214" s="81"/>
      <c r="H214" s="81"/>
      <c r="I214" s="81"/>
      <c r="J214" s="81"/>
      <c r="K214" s="81"/>
      <c r="L214" s="81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89" t="str">
        <f t="shared" si="129"/>
        <v/>
      </c>
      <c r="Z214" s="89" t="str">
        <f t="shared" si="130"/>
        <v/>
      </c>
      <c r="AA214" s="89">
        <f t="shared" si="131"/>
        <v>0</v>
      </c>
      <c r="AB214" s="89">
        <f t="shared" si="132"/>
        <v>0</v>
      </c>
      <c r="AC214" s="90">
        <f t="shared" si="133"/>
        <v>0</v>
      </c>
      <c r="AD214" s="91">
        <f t="shared" si="134"/>
        <v>0</v>
      </c>
      <c r="AE214" s="93">
        <f t="shared" si="135"/>
        <v>0</v>
      </c>
      <c r="AF214" s="93">
        <f t="shared" si="136"/>
        <v>0</v>
      </c>
      <c r="AG214" s="93">
        <f t="shared" si="137"/>
        <v>0</v>
      </c>
      <c r="AH214" s="93">
        <f t="shared" si="138"/>
        <v>0</v>
      </c>
      <c r="AI214" s="93">
        <f t="shared" si="139"/>
        <v>0</v>
      </c>
      <c r="AJ214" s="93">
        <f t="shared" si="140"/>
        <v>0</v>
      </c>
      <c r="AK214" s="93">
        <f t="shared" si="141"/>
        <v>0</v>
      </c>
      <c r="AL214" s="93">
        <f t="shared" si="142"/>
        <v>0</v>
      </c>
      <c r="AM214" s="92">
        <f t="shared" si="143"/>
        <v>0</v>
      </c>
      <c r="AN214" s="1" t="str">
        <f t="shared" si="120"/>
        <v xml:space="preserve"> </v>
      </c>
      <c r="AO214" s="1" t="str">
        <f t="shared" si="121"/>
        <v xml:space="preserve"> </v>
      </c>
      <c r="AP214" s="1" t="str">
        <f t="shared" si="122"/>
        <v xml:space="preserve"> </v>
      </c>
      <c r="AQ214" s="1" t="str">
        <f t="shared" si="128"/>
        <v xml:space="preserve"> </v>
      </c>
      <c r="AR214" s="1" t="str">
        <f t="shared" si="124"/>
        <v xml:space="preserve"> </v>
      </c>
      <c r="AS214" s="1" t="str">
        <f t="shared" si="125"/>
        <v xml:space="preserve"> </v>
      </c>
      <c r="AT214" s="1" t="str">
        <f t="shared" si="126"/>
        <v xml:space="preserve"> </v>
      </c>
      <c r="AU214" s="103" t="str">
        <f t="shared" si="127"/>
        <v xml:space="preserve"> </v>
      </c>
      <c r="AV214" s="111">
        <f t="shared" si="144"/>
        <v>0</v>
      </c>
      <c r="AW214" s="4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6"/>
      <c r="DM214" s="111">
        <f t="shared" si="145"/>
        <v>0</v>
      </c>
      <c r="DN214" s="4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6"/>
      <c r="GD214" s="111">
        <f t="shared" si="146"/>
        <v>0</v>
      </c>
      <c r="GE214" s="4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6"/>
      <c r="IU214" s="111">
        <f t="shared" si="147"/>
        <v>0</v>
      </c>
      <c r="IV214" s="4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6"/>
      <c r="LL214" s="111">
        <f t="shared" si="148"/>
        <v>0</v>
      </c>
      <c r="LM214" s="4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6"/>
      <c r="OC214" s="111">
        <f t="shared" si="149"/>
        <v>0</v>
      </c>
      <c r="OD214" s="4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6"/>
      <c r="QT214" s="111">
        <f t="shared" si="150"/>
        <v>0</v>
      </c>
      <c r="QU214" s="4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6"/>
      <c r="TK214" s="111">
        <f t="shared" si="151"/>
        <v>0</v>
      </c>
      <c r="TL214" s="4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6"/>
    </row>
    <row r="215" spans="1:599" ht="14.25" customHeight="1" x14ac:dyDescent="0.3">
      <c r="A215" s="41"/>
      <c r="B215" s="39"/>
      <c r="C215" s="40"/>
      <c r="D215" s="40"/>
      <c r="E215" s="81"/>
      <c r="F215" s="81"/>
      <c r="G215" s="81"/>
      <c r="H215" s="81"/>
      <c r="I215" s="81"/>
      <c r="J215" s="81"/>
      <c r="K215" s="81"/>
      <c r="L215" s="81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89" t="str">
        <f t="shared" si="129"/>
        <v/>
      </c>
      <c r="Z215" s="89" t="str">
        <f t="shared" si="130"/>
        <v/>
      </c>
      <c r="AA215" s="89">
        <f t="shared" si="131"/>
        <v>0</v>
      </c>
      <c r="AB215" s="89">
        <f t="shared" si="132"/>
        <v>0</v>
      </c>
      <c r="AC215" s="90">
        <f t="shared" si="133"/>
        <v>0</v>
      </c>
      <c r="AD215" s="91">
        <f t="shared" si="134"/>
        <v>0</v>
      </c>
      <c r="AE215" s="93">
        <f t="shared" si="135"/>
        <v>0</v>
      </c>
      <c r="AF215" s="93">
        <f t="shared" si="136"/>
        <v>0</v>
      </c>
      <c r="AG215" s="93">
        <f t="shared" si="137"/>
        <v>0</v>
      </c>
      <c r="AH215" s="93">
        <f t="shared" si="138"/>
        <v>0</v>
      </c>
      <c r="AI215" s="93">
        <f t="shared" si="139"/>
        <v>0</v>
      </c>
      <c r="AJ215" s="93">
        <f t="shared" si="140"/>
        <v>0</v>
      </c>
      <c r="AK215" s="93">
        <f t="shared" si="141"/>
        <v>0</v>
      </c>
      <c r="AL215" s="93">
        <f t="shared" si="142"/>
        <v>0</v>
      </c>
      <c r="AM215" s="92">
        <f t="shared" si="143"/>
        <v>0</v>
      </c>
      <c r="AN215" s="1" t="str">
        <f t="shared" si="120"/>
        <v xml:space="preserve"> </v>
      </c>
      <c r="AO215" s="1" t="str">
        <f t="shared" si="121"/>
        <v xml:space="preserve"> </v>
      </c>
      <c r="AP215" s="1" t="str">
        <f t="shared" si="122"/>
        <v xml:space="preserve"> </v>
      </c>
      <c r="AQ215" s="1" t="str">
        <f t="shared" si="128"/>
        <v xml:space="preserve"> </v>
      </c>
      <c r="AR215" s="1" t="str">
        <f t="shared" si="124"/>
        <v xml:space="preserve"> </v>
      </c>
      <c r="AS215" s="1" t="str">
        <f t="shared" si="125"/>
        <v xml:space="preserve"> </v>
      </c>
      <c r="AT215" s="1" t="str">
        <f t="shared" si="126"/>
        <v xml:space="preserve"> </v>
      </c>
      <c r="AU215" s="103" t="str">
        <f t="shared" si="127"/>
        <v xml:space="preserve"> </v>
      </c>
      <c r="AV215" s="111">
        <f t="shared" si="144"/>
        <v>0</v>
      </c>
      <c r="AW215" s="4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6"/>
      <c r="DM215" s="111">
        <f t="shared" si="145"/>
        <v>0</v>
      </c>
      <c r="DN215" s="4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6"/>
      <c r="GD215" s="111">
        <f t="shared" si="146"/>
        <v>0</v>
      </c>
      <c r="GE215" s="4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6"/>
      <c r="IU215" s="111">
        <f t="shared" si="147"/>
        <v>0</v>
      </c>
      <c r="IV215" s="4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6"/>
      <c r="LL215" s="111">
        <f t="shared" si="148"/>
        <v>0</v>
      </c>
      <c r="LM215" s="4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6"/>
      <c r="OC215" s="111">
        <f t="shared" si="149"/>
        <v>0</v>
      </c>
      <c r="OD215" s="4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6"/>
      <c r="QT215" s="111">
        <f t="shared" si="150"/>
        <v>0</v>
      </c>
      <c r="QU215" s="4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6"/>
      <c r="TK215" s="111">
        <f t="shared" si="151"/>
        <v>0</v>
      </c>
      <c r="TL215" s="4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6"/>
    </row>
    <row r="216" spans="1:599" ht="14.25" customHeight="1" x14ac:dyDescent="0.3">
      <c r="A216" s="41"/>
      <c r="B216" s="39"/>
      <c r="C216" s="40"/>
      <c r="D216" s="40"/>
      <c r="E216" s="81"/>
      <c r="F216" s="81"/>
      <c r="G216" s="81"/>
      <c r="H216" s="81"/>
      <c r="I216" s="81"/>
      <c r="J216" s="81"/>
      <c r="K216" s="81"/>
      <c r="L216" s="81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89" t="str">
        <f t="shared" si="129"/>
        <v/>
      </c>
      <c r="Z216" s="89" t="str">
        <f t="shared" si="130"/>
        <v/>
      </c>
      <c r="AA216" s="89">
        <f t="shared" si="131"/>
        <v>0</v>
      </c>
      <c r="AB216" s="89">
        <f t="shared" si="132"/>
        <v>0</v>
      </c>
      <c r="AC216" s="90">
        <f t="shared" si="133"/>
        <v>0</v>
      </c>
      <c r="AD216" s="91">
        <f t="shared" si="134"/>
        <v>0</v>
      </c>
      <c r="AE216" s="93">
        <f t="shared" si="135"/>
        <v>0</v>
      </c>
      <c r="AF216" s="93">
        <f t="shared" si="136"/>
        <v>0</v>
      </c>
      <c r="AG216" s="93">
        <f t="shared" si="137"/>
        <v>0</v>
      </c>
      <c r="AH216" s="93">
        <f t="shared" si="138"/>
        <v>0</v>
      </c>
      <c r="AI216" s="93">
        <f t="shared" si="139"/>
        <v>0</v>
      </c>
      <c r="AJ216" s="93">
        <f t="shared" si="140"/>
        <v>0</v>
      </c>
      <c r="AK216" s="93">
        <f t="shared" si="141"/>
        <v>0</v>
      </c>
      <c r="AL216" s="93">
        <f t="shared" si="142"/>
        <v>0</v>
      </c>
      <c r="AM216" s="92">
        <f t="shared" si="143"/>
        <v>0</v>
      </c>
      <c r="AN216" s="1" t="str">
        <f t="shared" si="120"/>
        <v xml:space="preserve"> </v>
      </c>
      <c r="AO216" s="1" t="str">
        <f t="shared" si="121"/>
        <v xml:space="preserve"> </v>
      </c>
      <c r="AP216" s="1" t="str">
        <f t="shared" si="122"/>
        <v xml:space="preserve"> </v>
      </c>
      <c r="AQ216" s="1" t="str">
        <f t="shared" ref="AQ216:AQ239" si="152">IF(H216&gt;0,H216*$AC216*$AB216/1000," ")</f>
        <v xml:space="preserve"> </v>
      </c>
      <c r="AR216" s="1" t="str">
        <f t="shared" si="124"/>
        <v xml:space="preserve"> </v>
      </c>
      <c r="AS216" s="1" t="str">
        <f t="shared" si="125"/>
        <v xml:space="preserve"> </v>
      </c>
      <c r="AT216" s="1" t="str">
        <f t="shared" si="126"/>
        <v xml:space="preserve"> </v>
      </c>
      <c r="AU216" s="103" t="str">
        <f t="shared" si="127"/>
        <v xml:space="preserve"> </v>
      </c>
      <c r="AV216" s="111">
        <f t="shared" si="144"/>
        <v>0</v>
      </c>
      <c r="AW216" s="4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6"/>
      <c r="DM216" s="111">
        <f t="shared" si="145"/>
        <v>0</v>
      </c>
      <c r="DN216" s="4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6"/>
      <c r="GD216" s="111">
        <f t="shared" si="146"/>
        <v>0</v>
      </c>
      <c r="GE216" s="4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6"/>
      <c r="IU216" s="111">
        <f t="shared" si="147"/>
        <v>0</v>
      </c>
      <c r="IV216" s="4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6"/>
      <c r="LL216" s="111">
        <f t="shared" si="148"/>
        <v>0</v>
      </c>
      <c r="LM216" s="4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6"/>
      <c r="OC216" s="111">
        <f t="shared" si="149"/>
        <v>0</v>
      </c>
      <c r="OD216" s="4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6"/>
      <c r="QT216" s="111">
        <f t="shared" si="150"/>
        <v>0</v>
      </c>
      <c r="QU216" s="4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6"/>
      <c r="TK216" s="111">
        <f t="shared" si="151"/>
        <v>0</v>
      </c>
      <c r="TL216" s="4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6"/>
    </row>
    <row r="217" spans="1:599" ht="14.25" customHeight="1" x14ac:dyDescent="0.3">
      <c r="A217" s="41"/>
      <c r="B217" s="39"/>
      <c r="C217" s="40"/>
      <c r="D217" s="40"/>
      <c r="E217" s="81"/>
      <c r="F217" s="81"/>
      <c r="G217" s="81"/>
      <c r="H217" s="81"/>
      <c r="I217" s="81"/>
      <c r="J217" s="81"/>
      <c r="K217" s="81"/>
      <c r="L217" s="81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89" t="str">
        <f t="shared" si="129"/>
        <v/>
      </c>
      <c r="Z217" s="89" t="str">
        <f t="shared" si="130"/>
        <v/>
      </c>
      <c r="AA217" s="89">
        <f t="shared" si="131"/>
        <v>0</v>
      </c>
      <c r="AB217" s="89">
        <f t="shared" si="132"/>
        <v>0</v>
      </c>
      <c r="AC217" s="90">
        <f t="shared" si="133"/>
        <v>0</v>
      </c>
      <c r="AD217" s="91">
        <f t="shared" si="134"/>
        <v>0</v>
      </c>
      <c r="AE217" s="93">
        <f t="shared" si="135"/>
        <v>0</v>
      </c>
      <c r="AF217" s="93">
        <f t="shared" si="136"/>
        <v>0</v>
      </c>
      <c r="AG217" s="93">
        <f t="shared" si="137"/>
        <v>0</v>
      </c>
      <c r="AH217" s="93">
        <f t="shared" si="138"/>
        <v>0</v>
      </c>
      <c r="AI217" s="93">
        <f t="shared" si="139"/>
        <v>0</v>
      </c>
      <c r="AJ217" s="93">
        <f t="shared" si="140"/>
        <v>0</v>
      </c>
      <c r="AK217" s="93">
        <f t="shared" si="141"/>
        <v>0</v>
      </c>
      <c r="AL217" s="93">
        <f t="shared" si="142"/>
        <v>0</v>
      </c>
      <c r="AM217" s="92">
        <f t="shared" si="143"/>
        <v>0</v>
      </c>
      <c r="AN217" s="1" t="str">
        <f t="shared" si="120"/>
        <v xml:space="preserve"> </v>
      </c>
      <c r="AO217" s="1" t="str">
        <f t="shared" si="121"/>
        <v xml:space="preserve"> </v>
      </c>
      <c r="AP217" s="1" t="str">
        <f t="shared" si="122"/>
        <v xml:space="preserve"> </v>
      </c>
      <c r="AQ217" s="1" t="str">
        <f t="shared" si="152"/>
        <v xml:space="preserve"> </v>
      </c>
      <c r="AR217" s="1" t="str">
        <f t="shared" si="124"/>
        <v xml:space="preserve"> </v>
      </c>
      <c r="AS217" s="1" t="str">
        <f t="shared" si="125"/>
        <v xml:space="preserve"> </v>
      </c>
      <c r="AT217" s="1" t="str">
        <f t="shared" si="126"/>
        <v xml:space="preserve"> </v>
      </c>
      <c r="AU217" s="103" t="str">
        <f t="shared" si="127"/>
        <v xml:space="preserve"> </v>
      </c>
      <c r="AV217" s="111">
        <f t="shared" si="144"/>
        <v>0</v>
      </c>
      <c r="AW217" s="4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6"/>
      <c r="DM217" s="111">
        <f t="shared" si="145"/>
        <v>0</v>
      </c>
      <c r="DN217" s="4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6"/>
      <c r="GD217" s="111">
        <f t="shared" si="146"/>
        <v>0</v>
      </c>
      <c r="GE217" s="4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6"/>
      <c r="IU217" s="111">
        <f t="shared" si="147"/>
        <v>0</v>
      </c>
      <c r="IV217" s="4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6"/>
      <c r="LL217" s="111">
        <f t="shared" si="148"/>
        <v>0</v>
      </c>
      <c r="LM217" s="4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6"/>
      <c r="OC217" s="111">
        <f t="shared" si="149"/>
        <v>0</v>
      </c>
      <c r="OD217" s="4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6"/>
      <c r="QT217" s="111">
        <f t="shared" si="150"/>
        <v>0</v>
      </c>
      <c r="QU217" s="4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6"/>
      <c r="TK217" s="111">
        <f t="shared" si="151"/>
        <v>0</v>
      </c>
      <c r="TL217" s="4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6"/>
    </row>
    <row r="218" spans="1:599" ht="14.25" customHeight="1" x14ac:dyDescent="0.3">
      <c r="A218" s="41"/>
      <c r="B218" s="67"/>
      <c r="C218" s="68"/>
      <c r="D218" s="68"/>
      <c r="E218" s="82"/>
      <c r="F218" s="82"/>
      <c r="G218" s="82"/>
      <c r="H218" s="82"/>
      <c r="I218" s="82"/>
      <c r="J218" s="82"/>
      <c r="K218" s="82"/>
      <c r="L218" s="82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89" t="str">
        <f t="shared" si="129"/>
        <v/>
      </c>
      <c r="Z218" s="89" t="str">
        <f t="shared" si="130"/>
        <v/>
      </c>
      <c r="AA218" s="89">
        <f t="shared" si="131"/>
        <v>0</v>
      </c>
      <c r="AB218" s="89">
        <f t="shared" si="132"/>
        <v>0</v>
      </c>
      <c r="AC218" s="90">
        <f t="shared" si="133"/>
        <v>0</v>
      </c>
      <c r="AD218" s="91">
        <f t="shared" si="134"/>
        <v>0</v>
      </c>
      <c r="AE218" s="93">
        <f t="shared" si="135"/>
        <v>0</v>
      </c>
      <c r="AF218" s="93">
        <f t="shared" si="136"/>
        <v>0</v>
      </c>
      <c r="AG218" s="93">
        <f t="shared" si="137"/>
        <v>0</v>
      </c>
      <c r="AH218" s="93">
        <f t="shared" si="138"/>
        <v>0</v>
      </c>
      <c r="AI218" s="93">
        <f t="shared" si="139"/>
        <v>0</v>
      </c>
      <c r="AJ218" s="93">
        <f t="shared" si="140"/>
        <v>0</v>
      </c>
      <c r="AK218" s="93">
        <f t="shared" si="141"/>
        <v>0</v>
      </c>
      <c r="AL218" s="93">
        <f t="shared" si="142"/>
        <v>0</v>
      </c>
      <c r="AM218" s="92">
        <f t="shared" si="143"/>
        <v>0</v>
      </c>
      <c r="AN218" s="1" t="str">
        <f t="shared" si="120"/>
        <v xml:space="preserve"> </v>
      </c>
      <c r="AO218" s="1" t="str">
        <f t="shared" si="121"/>
        <v xml:space="preserve"> </v>
      </c>
      <c r="AP218" s="1" t="str">
        <f t="shared" si="122"/>
        <v xml:space="preserve"> </v>
      </c>
      <c r="AQ218" s="1" t="str">
        <f t="shared" si="152"/>
        <v xml:space="preserve"> </v>
      </c>
      <c r="AR218" s="1" t="str">
        <f t="shared" si="124"/>
        <v xml:space="preserve"> </v>
      </c>
      <c r="AS218" s="1" t="str">
        <f t="shared" si="125"/>
        <v xml:space="preserve"> </v>
      </c>
      <c r="AT218" s="1" t="str">
        <f t="shared" si="126"/>
        <v xml:space="preserve"> </v>
      </c>
      <c r="AU218" s="103" t="str">
        <f t="shared" si="127"/>
        <v xml:space="preserve"> </v>
      </c>
      <c r="AV218" s="111">
        <f t="shared" si="144"/>
        <v>0</v>
      </c>
      <c r="AW218" s="4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6"/>
      <c r="DM218" s="111">
        <f t="shared" si="145"/>
        <v>0</v>
      </c>
      <c r="DN218" s="4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6"/>
      <c r="GD218" s="111">
        <f t="shared" si="146"/>
        <v>0</v>
      </c>
      <c r="GE218" s="4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6"/>
      <c r="IU218" s="111">
        <f t="shared" si="147"/>
        <v>0</v>
      </c>
      <c r="IV218" s="4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6"/>
      <c r="LL218" s="111">
        <f t="shared" si="148"/>
        <v>0</v>
      </c>
      <c r="LM218" s="4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6"/>
      <c r="OC218" s="111">
        <f t="shared" si="149"/>
        <v>0</v>
      </c>
      <c r="OD218" s="4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6"/>
      <c r="QT218" s="111">
        <f t="shared" si="150"/>
        <v>0</v>
      </c>
      <c r="QU218" s="4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6"/>
      <c r="TK218" s="111">
        <f t="shared" si="151"/>
        <v>0</v>
      </c>
      <c r="TL218" s="4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6"/>
    </row>
    <row r="219" spans="1:599" ht="14.25" customHeight="1" x14ac:dyDescent="0.3">
      <c r="A219" s="41"/>
      <c r="B219" s="39"/>
      <c r="C219" s="40"/>
      <c r="D219" s="40"/>
      <c r="E219" s="83"/>
      <c r="F219" s="83"/>
      <c r="G219" s="83"/>
      <c r="H219" s="83"/>
      <c r="I219" s="83"/>
      <c r="J219" s="83"/>
      <c r="K219" s="83"/>
      <c r="L219" s="8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89" t="str">
        <f t="shared" si="129"/>
        <v/>
      </c>
      <c r="Z219" s="89" t="str">
        <f t="shared" si="130"/>
        <v/>
      </c>
      <c r="AA219" s="89">
        <f t="shared" si="131"/>
        <v>0</v>
      </c>
      <c r="AB219" s="89">
        <f t="shared" si="132"/>
        <v>0</v>
      </c>
      <c r="AC219" s="90">
        <f t="shared" si="133"/>
        <v>0</v>
      </c>
      <c r="AD219" s="91">
        <f t="shared" si="134"/>
        <v>0</v>
      </c>
      <c r="AE219" s="93">
        <f t="shared" si="135"/>
        <v>0</v>
      </c>
      <c r="AF219" s="93">
        <f t="shared" si="136"/>
        <v>0</v>
      </c>
      <c r="AG219" s="93">
        <f t="shared" si="137"/>
        <v>0</v>
      </c>
      <c r="AH219" s="93">
        <f t="shared" si="138"/>
        <v>0</v>
      </c>
      <c r="AI219" s="93">
        <f t="shared" si="139"/>
        <v>0</v>
      </c>
      <c r="AJ219" s="93">
        <f t="shared" si="140"/>
        <v>0</v>
      </c>
      <c r="AK219" s="93">
        <f t="shared" si="141"/>
        <v>0</v>
      </c>
      <c r="AL219" s="93">
        <f t="shared" si="142"/>
        <v>0</v>
      </c>
      <c r="AM219" s="92">
        <f t="shared" si="143"/>
        <v>0</v>
      </c>
      <c r="AN219" s="1" t="str">
        <f t="shared" si="120"/>
        <v xml:space="preserve"> </v>
      </c>
      <c r="AO219" s="1" t="str">
        <f t="shared" si="121"/>
        <v xml:space="preserve"> </v>
      </c>
      <c r="AP219" s="1" t="str">
        <f t="shared" si="122"/>
        <v xml:space="preserve"> </v>
      </c>
      <c r="AQ219" s="1" t="str">
        <f t="shared" si="152"/>
        <v xml:space="preserve"> </v>
      </c>
      <c r="AR219" s="1" t="str">
        <f t="shared" si="124"/>
        <v xml:space="preserve"> </v>
      </c>
      <c r="AS219" s="1" t="str">
        <f t="shared" si="125"/>
        <v xml:space="preserve"> </v>
      </c>
      <c r="AT219" s="1" t="str">
        <f t="shared" si="126"/>
        <v xml:space="preserve"> </v>
      </c>
      <c r="AU219" s="103" t="str">
        <f t="shared" si="127"/>
        <v xml:space="preserve"> </v>
      </c>
      <c r="AV219" s="111">
        <f t="shared" si="144"/>
        <v>0</v>
      </c>
      <c r="AW219" s="4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6"/>
      <c r="DM219" s="111">
        <f t="shared" si="145"/>
        <v>0</v>
      </c>
      <c r="DN219" s="4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6"/>
      <c r="GD219" s="111">
        <f t="shared" si="146"/>
        <v>0</v>
      </c>
      <c r="GE219" s="4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6"/>
      <c r="IU219" s="111">
        <f t="shared" si="147"/>
        <v>0</v>
      </c>
      <c r="IV219" s="4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6"/>
      <c r="LL219" s="111">
        <f t="shared" si="148"/>
        <v>0</v>
      </c>
      <c r="LM219" s="4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6"/>
      <c r="OC219" s="111">
        <f t="shared" si="149"/>
        <v>0</v>
      </c>
      <c r="OD219" s="4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6"/>
      <c r="QT219" s="111">
        <f t="shared" si="150"/>
        <v>0</v>
      </c>
      <c r="QU219" s="4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6"/>
      <c r="TK219" s="111">
        <f t="shared" si="151"/>
        <v>0</v>
      </c>
      <c r="TL219" s="4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6"/>
    </row>
    <row r="220" spans="1:599" ht="14.25" customHeight="1" x14ac:dyDescent="0.3">
      <c r="A220" s="41"/>
      <c r="B220" s="39"/>
      <c r="C220" s="40"/>
      <c r="D220" s="40"/>
      <c r="E220" s="81"/>
      <c r="F220" s="81"/>
      <c r="G220" s="81"/>
      <c r="H220" s="81"/>
      <c r="I220" s="81"/>
      <c r="J220" s="81"/>
      <c r="K220" s="81"/>
      <c r="L220" s="81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89" t="str">
        <f t="shared" si="129"/>
        <v/>
      </c>
      <c r="Z220" s="89" t="str">
        <f t="shared" si="130"/>
        <v/>
      </c>
      <c r="AA220" s="89">
        <f t="shared" si="131"/>
        <v>0</v>
      </c>
      <c r="AB220" s="89">
        <f t="shared" si="132"/>
        <v>0</v>
      </c>
      <c r="AC220" s="90">
        <f t="shared" si="133"/>
        <v>0</v>
      </c>
      <c r="AD220" s="91">
        <f t="shared" si="134"/>
        <v>0</v>
      </c>
      <c r="AE220" s="93">
        <f t="shared" si="135"/>
        <v>0</v>
      </c>
      <c r="AF220" s="93">
        <f t="shared" si="136"/>
        <v>0</v>
      </c>
      <c r="AG220" s="93">
        <f t="shared" si="137"/>
        <v>0</v>
      </c>
      <c r="AH220" s="93">
        <f t="shared" si="138"/>
        <v>0</v>
      </c>
      <c r="AI220" s="93">
        <f t="shared" si="139"/>
        <v>0</v>
      </c>
      <c r="AJ220" s="93">
        <f t="shared" si="140"/>
        <v>0</v>
      </c>
      <c r="AK220" s="93">
        <f t="shared" si="141"/>
        <v>0</v>
      </c>
      <c r="AL220" s="93">
        <f t="shared" si="142"/>
        <v>0</v>
      </c>
      <c r="AM220" s="92">
        <f t="shared" si="143"/>
        <v>0</v>
      </c>
      <c r="AN220" s="1" t="str">
        <f t="shared" si="120"/>
        <v xml:space="preserve"> </v>
      </c>
      <c r="AO220" s="1" t="str">
        <f t="shared" si="121"/>
        <v xml:space="preserve"> </v>
      </c>
      <c r="AP220" s="1" t="str">
        <f t="shared" si="122"/>
        <v xml:space="preserve"> </v>
      </c>
      <c r="AQ220" s="1" t="str">
        <f t="shared" si="152"/>
        <v xml:space="preserve"> </v>
      </c>
      <c r="AR220" s="1" t="str">
        <f t="shared" si="124"/>
        <v xml:space="preserve"> </v>
      </c>
      <c r="AS220" s="1" t="str">
        <f t="shared" si="125"/>
        <v xml:space="preserve"> </v>
      </c>
      <c r="AT220" s="1" t="str">
        <f t="shared" si="126"/>
        <v xml:space="preserve"> </v>
      </c>
      <c r="AU220" s="103" t="str">
        <f t="shared" si="127"/>
        <v xml:space="preserve"> </v>
      </c>
      <c r="AV220" s="111">
        <f t="shared" si="144"/>
        <v>0</v>
      </c>
      <c r="AW220" s="4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6"/>
      <c r="DM220" s="111">
        <f t="shared" si="145"/>
        <v>0</v>
      </c>
      <c r="DN220" s="4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6"/>
      <c r="GD220" s="111">
        <f t="shared" si="146"/>
        <v>0</v>
      </c>
      <c r="GE220" s="4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6"/>
      <c r="IU220" s="111">
        <f t="shared" si="147"/>
        <v>0</v>
      </c>
      <c r="IV220" s="4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6"/>
      <c r="LL220" s="111">
        <f t="shared" si="148"/>
        <v>0</v>
      </c>
      <c r="LM220" s="4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6"/>
      <c r="OC220" s="111">
        <f t="shared" si="149"/>
        <v>0</v>
      </c>
      <c r="OD220" s="4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6"/>
      <c r="QT220" s="111">
        <f t="shared" si="150"/>
        <v>0</v>
      </c>
      <c r="QU220" s="4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6"/>
      <c r="TK220" s="111">
        <f t="shared" si="151"/>
        <v>0</v>
      </c>
      <c r="TL220" s="4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6"/>
    </row>
    <row r="221" spans="1:599" ht="14.25" customHeight="1" x14ac:dyDescent="0.3">
      <c r="A221" s="41"/>
      <c r="B221" s="39"/>
      <c r="C221" s="40"/>
      <c r="D221" s="40"/>
      <c r="E221" s="81"/>
      <c r="F221" s="81"/>
      <c r="G221" s="81"/>
      <c r="H221" s="81"/>
      <c r="I221" s="81"/>
      <c r="J221" s="81"/>
      <c r="K221" s="81"/>
      <c r="L221" s="81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89" t="str">
        <f t="shared" si="129"/>
        <v/>
      </c>
      <c r="Z221" s="89" t="str">
        <f t="shared" si="130"/>
        <v/>
      </c>
      <c r="AA221" s="89">
        <f t="shared" si="131"/>
        <v>0</v>
      </c>
      <c r="AB221" s="89">
        <f t="shared" si="132"/>
        <v>0</v>
      </c>
      <c r="AC221" s="90">
        <f t="shared" si="133"/>
        <v>0</v>
      </c>
      <c r="AD221" s="91">
        <f t="shared" si="134"/>
        <v>0</v>
      </c>
      <c r="AE221" s="93">
        <f t="shared" si="135"/>
        <v>0</v>
      </c>
      <c r="AF221" s="93">
        <f t="shared" si="136"/>
        <v>0</v>
      </c>
      <c r="AG221" s="93">
        <f t="shared" si="137"/>
        <v>0</v>
      </c>
      <c r="AH221" s="93">
        <f t="shared" si="138"/>
        <v>0</v>
      </c>
      <c r="AI221" s="93">
        <f t="shared" si="139"/>
        <v>0</v>
      </c>
      <c r="AJ221" s="93">
        <f t="shared" si="140"/>
        <v>0</v>
      </c>
      <c r="AK221" s="93">
        <f t="shared" si="141"/>
        <v>0</v>
      </c>
      <c r="AL221" s="93">
        <f t="shared" si="142"/>
        <v>0</v>
      </c>
      <c r="AM221" s="92">
        <f t="shared" si="143"/>
        <v>0</v>
      </c>
      <c r="AN221" s="1" t="str">
        <f t="shared" si="120"/>
        <v xml:space="preserve"> </v>
      </c>
      <c r="AO221" s="1" t="str">
        <f t="shared" si="121"/>
        <v xml:space="preserve"> </v>
      </c>
      <c r="AP221" s="1" t="str">
        <f t="shared" si="122"/>
        <v xml:space="preserve"> </v>
      </c>
      <c r="AQ221" s="1" t="str">
        <f t="shared" si="152"/>
        <v xml:space="preserve"> </v>
      </c>
      <c r="AR221" s="1" t="str">
        <f t="shared" si="124"/>
        <v xml:space="preserve"> </v>
      </c>
      <c r="AS221" s="1" t="str">
        <f t="shared" si="125"/>
        <v xml:space="preserve"> </v>
      </c>
      <c r="AT221" s="1" t="str">
        <f t="shared" si="126"/>
        <v xml:space="preserve"> </v>
      </c>
      <c r="AU221" s="103" t="str">
        <f t="shared" si="127"/>
        <v xml:space="preserve"> </v>
      </c>
      <c r="AV221" s="111">
        <f t="shared" si="144"/>
        <v>0</v>
      </c>
      <c r="AW221" s="4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6"/>
      <c r="DM221" s="111">
        <f t="shared" si="145"/>
        <v>0</v>
      </c>
      <c r="DN221" s="4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6"/>
      <c r="GD221" s="111">
        <f t="shared" si="146"/>
        <v>0</v>
      </c>
      <c r="GE221" s="4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6"/>
      <c r="IU221" s="111">
        <f t="shared" si="147"/>
        <v>0</v>
      </c>
      <c r="IV221" s="4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6"/>
      <c r="LL221" s="111">
        <f t="shared" si="148"/>
        <v>0</v>
      </c>
      <c r="LM221" s="4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6"/>
      <c r="OC221" s="111">
        <f t="shared" si="149"/>
        <v>0</v>
      </c>
      <c r="OD221" s="4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6"/>
      <c r="QT221" s="111">
        <f t="shared" si="150"/>
        <v>0</v>
      </c>
      <c r="QU221" s="4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6"/>
      <c r="TK221" s="111">
        <f t="shared" si="151"/>
        <v>0</v>
      </c>
      <c r="TL221" s="4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6"/>
    </row>
    <row r="222" spans="1:599" ht="14.25" customHeight="1" x14ac:dyDescent="0.3">
      <c r="A222" s="41"/>
      <c r="B222" s="39"/>
      <c r="C222" s="40"/>
      <c r="D222" s="40"/>
      <c r="E222" s="81"/>
      <c r="F222" s="81"/>
      <c r="G222" s="81"/>
      <c r="H222" s="81"/>
      <c r="I222" s="81"/>
      <c r="J222" s="81"/>
      <c r="K222" s="81"/>
      <c r="L222" s="81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89" t="str">
        <f t="shared" si="129"/>
        <v/>
      </c>
      <c r="Z222" s="89" t="str">
        <f t="shared" si="130"/>
        <v/>
      </c>
      <c r="AA222" s="89">
        <f t="shared" si="131"/>
        <v>0</v>
      </c>
      <c r="AB222" s="89">
        <f t="shared" si="132"/>
        <v>0</v>
      </c>
      <c r="AC222" s="90">
        <f t="shared" si="133"/>
        <v>0</v>
      </c>
      <c r="AD222" s="91">
        <f t="shared" si="134"/>
        <v>0</v>
      </c>
      <c r="AE222" s="93">
        <f t="shared" si="135"/>
        <v>0</v>
      </c>
      <c r="AF222" s="93">
        <f t="shared" si="136"/>
        <v>0</v>
      </c>
      <c r="AG222" s="93">
        <f t="shared" si="137"/>
        <v>0</v>
      </c>
      <c r="AH222" s="93">
        <f t="shared" si="138"/>
        <v>0</v>
      </c>
      <c r="AI222" s="93">
        <f t="shared" si="139"/>
        <v>0</v>
      </c>
      <c r="AJ222" s="93">
        <f t="shared" si="140"/>
        <v>0</v>
      </c>
      <c r="AK222" s="93">
        <f t="shared" si="141"/>
        <v>0</v>
      </c>
      <c r="AL222" s="93">
        <f t="shared" si="142"/>
        <v>0</v>
      </c>
      <c r="AM222" s="92">
        <f t="shared" si="143"/>
        <v>0</v>
      </c>
      <c r="AN222" s="1" t="str">
        <f t="shared" si="120"/>
        <v xml:space="preserve"> </v>
      </c>
      <c r="AO222" s="1" t="str">
        <f t="shared" si="121"/>
        <v xml:space="preserve"> </v>
      </c>
      <c r="AP222" s="1" t="str">
        <f t="shared" si="122"/>
        <v xml:space="preserve"> </v>
      </c>
      <c r="AQ222" s="1" t="str">
        <f t="shared" si="152"/>
        <v xml:space="preserve"> </v>
      </c>
      <c r="AR222" s="1" t="str">
        <f t="shared" si="124"/>
        <v xml:space="preserve"> </v>
      </c>
      <c r="AS222" s="1" t="str">
        <f t="shared" si="125"/>
        <v xml:space="preserve"> </v>
      </c>
      <c r="AT222" s="1" t="str">
        <f t="shared" si="126"/>
        <v xml:space="preserve"> </v>
      </c>
      <c r="AU222" s="103" t="str">
        <f t="shared" si="127"/>
        <v xml:space="preserve"> </v>
      </c>
      <c r="AV222" s="111">
        <f t="shared" si="144"/>
        <v>0</v>
      </c>
      <c r="AW222" s="4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6"/>
      <c r="DM222" s="111">
        <f t="shared" si="145"/>
        <v>0</v>
      </c>
      <c r="DN222" s="4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6"/>
      <c r="GD222" s="111">
        <f t="shared" si="146"/>
        <v>0</v>
      </c>
      <c r="GE222" s="4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6"/>
      <c r="IU222" s="111">
        <f t="shared" si="147"/>
        <v>0</v>
      </c>
      <c r="IV222" s="4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6"/>
      <c r="LL222" s="111">
        <f t="shared" si="148"/>
        <v>0</v>
      </c>
      <c r="LM222" s="4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6"/>
      <c r="OC222" s="111">
        <f t="shared" si="149"/>
        <v>0</v>
      </c>
      <c r="OD222" s="4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6"/>
      <c r="QT222" s="111">
        <f t="shared" si="150"/>
        <v>0</v>
      </c>
      <c r="QU222" s="4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6"/>
      <c r="TK222" s="111">
        <f t="shared" si="151"/>
        <v>0</v>
      </c>
      <c r="TL222" s="4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6"/>
    </row>
    <row r="223" spans="1:599" ht="14.25" customHeight="1" x14ac:dyDescent="0.3">
      <c r="A223" s="41"/>
      <c r="B223" s="39"/>
      <c r="C223" s="40"/>
      <c r="D223" s="40"/>
      <c r="E223" s="81"/>
      <c r="F223" s="81"/>
      <c r="G223" s="81"/>
      <c r="H223" s="81"/>
      <c r="I223" s="81"/>
      <c r="J223" s="81"/>
      <c r="K223" s="81"/>
      <c r="L223" s="81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89" t="str">
        <f t="shared" si="129"/>
        <v/>
      </c>
      <c r="Z223" s="89" t="str">
        <f t="shared" si="130"/>
        <v/>
      </c>
      <c r="AA223" s="89">
        <f t="shared" si="131"/>
        <v>0</v>
      </c>
      <c r="AB223" s="89">
        <f t="shared" si="132"/>
        <v>0</v>
      </c>
      <c r="AC223" s="90">
        <f t="shared" si="133"/>
        <v>0</v>
      </c>
      <c r="AD223" s="91">
        <f t="shared" si="134"/>
        <v>0</v>
      </c>
      <c r="AE223" s="93">
        <f t="shared" si="135"/>
        <v>0</v>
      </c>
      <c r="AF223" s="93">
        <f t="shared" si="136"/>
        <v>0</v>
      </c>
      <c r="AG223" s="93">
        <f t="shared" si="137"/>
        <v>0</v>
      </c>
      <c r="AH223" s="93">
        <f t="shared" si="138"/>
        <v>0</v>
      </c>
      <c r="AI223" s="93">
        <f t="shared" si="139"/>
        <v>0</v>
      </c>
      <c r="AJ223" s="93">
        <f t="shared" si="140"/>
        <v>0</v>
      </c>
      <c r="AK223" s="93">
        <f t="shared" si="141"/>
        <v>0</v>
      </c>
      <c r="AL223" s="93">
        <f t="shared" si="142"/>
        <v>0</v>
      </c>
      <c r="AM223" s="92">
        <f t="shared" si="143"/>
        <v>0</v>
      </c>
      <c r="AN223" s="1" t="str">
        <f t="shared" si="120"/>
        <v xml:space="preserve"> </v>
      </c>
      <c r="AO223" s="1" t="str">
        <f t="shared" si="121"/>
        <v xml:space="preserve"> </v>
      </c>
      <c r="AP223" s="1" t="str">
        <f t="shared" si="122"/>
        <v xml:space="preserve"> </v>
      </c>
      <c r="AQ223" s="1" t="str">
        <f t="shared" si="152"/>
        <v xml:space="preserve"> </v>
      </c>
      <c r="AR223" s="1" t="str">
        <f t="shared" si="124"/>
        <v xml:space="preserve"> </v>
      </c>
      <c r="AS223" s="1" t="str">
        <f t="shared" si="125"/>
        <v xml:space="preserve"> </v>
      </c>
      <c r="AT223" s="1" t="str">
        <f t="shared" si="126"/>
        <v xml:space="preserve"> </v>
      </c>
      <c r="AU223" s="103" t="str">
        <f t="shared" si="127"/>
        <v xml:space="preserve"> </v>
      </c>
      <c r="AV223" s="111">
        <f t="shared" si="144"/>
        <v>0</v>
      </c>
      <c r="AW223" s="4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6"/>
      <c r="DM223" s="111">
        <f t="shared" si="145"/>
        <v>0</v>
      </c>
      <c r="DN223" s="4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6"/>
      <c r="GD223" s="111">
        <f t="shared" si="146"/>
        <v>0</v>
      </c>
      <c r="GE223" s="4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6"/>
      <c r="IU223" s="111">
        <f t="shared" si="147"/>
        <v>0</v>
      </c>
      <c r="IV223" s="4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6"/>
      <c r="LL223" s="111">
        <f t="shared" si="148"/>
        <v>0</v>
      </c>
      <c r="LM223" s="4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6"/>
      <c r="OC223" s="111">
        <f t="shared" si="149"/>
        <v>0</v>
      </c>
      <c r="OD223" s="4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6"/>
      <c r="QT223" s="111">
        <f t="shared" si="150"/>
        <v>0</v>
      </c>
      <c r="QU223" s="4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6"/>
      <c r="TK223" s="111">
        <f t="shared" si="151"/>
        <v>0</v>
      </c>
      <c r="TL223" s="4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6"/>
    </row>
    <row r="224" spans="1:599" ht="14.25" customHeight="1" x14ac:dyDescent="0.3">
      <c r="A224" s="41"/>
      <c r="B224" s="39"/>
      <c r="C224" s="40"/>
      <c r="D224" s="40"/>
      <c r="E224" s="81"/>
      <c r="F224" s="81"/>
      <c r="G224" s="81"/>
      <c r="H224" s="81"/>
      <c r="I224" s="81"/>
      <c r="J224" s="81"/>
      <c r="K224" s="81"/>
      <c r="L224" s="81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89" t="str">
        <f t="shared" si="129"/>
        <v/>
      </c>
      <c r="Z224" s="89" t="str">
        <f t="shared" si="130"/>
        <v/>
      </c>
      <c r="AA224" s="89">
        <f t="shared" si="131"/>
        <v>0</v>
      </c>
      <c r="AB224" s="89">
        <f t="shared" si="132"/>
        <v>0</v>
      </c>
      <c r="AC224" s="90">
        <f t="shared" si="133"/>
        <v>0</v>
      </c>
      <c r="AD224" s="91">
        <f t="shared" si="134"/>
        <v>0</v>
      </c>
      <c r="AE224" s="93">
        <f t="shared" si="135"/>
        <v>0</v>
      </c>
      <c r="AF224" s="93">
        <f t="shared" si="136"/>
        <v>0</v>
      </c>
      <c r="AG224" s="93">
        <f t="shared" si="137"/>
        <v>0</v>
      </c>
      <c r="AH224" s="93">
        <f t="shared" si="138"/>
        <v>0</v>
      </c>
      <c r="AI224" s="93">
        <f t="shared" si="139"/>
        <v>0</v>
      </c>
      <c r="AJ224" s="93">
        <f t="shared" si="140"/>
        <v>0</v>
      </c>
      <c r="AK224" s="93">
        <f t="shared" si="141"/>
        <v>0</v>
      </c>
      <c r="AL224" s="93">
        <f t="shared" si="142"/>
        <v>0</v>
      </c>
      <c r="AM224" s="92">
        <f t="shared" si="143"/>
        <v>0</v>
      </c>
      <c r="AN224" s="1" t="str">
        <f t="shared" si="120"/>
        <v xml:space="preserve"> </v>
      </c>
      <c r="AO224" s="1" t="str">
        <f t="shared" si="121"/>
        <v xml:space="preserve"> </v>
      </c>
      <c r="AP224" s="1" t="str">
        <f t="shared" si="122"/>
        <v xml:space="preserve"> </v>
      </c>
      <c r="AQ224" s="1" t="str">
        <f t="shared" si="152"/>
        <v xml:space="preserve"> </v>
      </c>
      <c r="AR224" s="1" t="str">
        <f t="shared" si="124"/>
        <v xml:space="preserve"> </v>
      </c>
      <c r="AS224" s="1" t="str">
        <f t="shared" si="125"/>
        <v xml:space="preserve"> </v>
      </c>
      <c r="AT224" s="1" t="str">
        <f t="shared" si="126"/>
        <v xml:space="preserve"> </v>
      </c>
      <c r="AU224" s="103" t="str">
        <f t="shared" si="127"/>
        <v xml:space="preserve"> </v>
      </c>
      <c r="AV224" s="111">
        <f t="shared" si="144"/>
        <v>0</v>
      </c>
      <c r="AW224" s="4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6"/>
      <c r="DM224" s="111">
        <f t="shared" si="145"/>
        <v>0</v>
      </c>
      <c r="DN224" s="4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6"/>
      <c r="GD224" s="111">
        <f t="shared" si="146"/>
        <v>0</v>
      </c>
      <c r="GE224" s="4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6"/>
      <c r="IU224" s="111">
        <f t="shared" si="147"/>
        <v>0</v>
      </c>
      <c r="IV224" s="4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6"/>
      <c r="LL224" s="111">
        <f t="shared" si="148"/>
        <v>0</v>
      </c>
      <c r="LM224" s="4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6"/>
      <c r="OC224" s="111">
        <f t="shared" si="149"/>
        <v>0</v>
      </c>
      <c r="OD224" s="4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6"/>
      <c r="QT224" s="111">
        <f t="shared" si="150"/>
        <v>0</v>
      </c>
      <c r="QU224" s="4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6"/>
      <c r="TK224" s="111">
        <f t="shared" si="151"/>
        <v>0</v>
      </c>
      <c r="TL224" s="4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6"/>
    </row>
    <row r="225" spans="1:599" ht="14.25" customHeight="1" x14ac:dyDescent="0.3">
      <c r="A225" s="41"/>
      <c r="B225" s="39"/>
      <c r="C225" s="40"/>
      <c r="D225" s="40"/>
      <c r="E225" s="81"/>
      <c r="F225" s="81"/>
      <c r="G225" s="81"/>
      <c r="H225" s="81"/>
      <c r="I225" s="81"/>
      <c r="J225" s="81"/>
      <c r="K225" s="81"/>
      <c r="L225" s="81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89" t="str">
        <f t="shared" si="129"/>
        <v/>
      </c>
      <c r="Z225" s="89" t="str">
        <f t="shared" si="130"/>
        <v/>
      </c>
      <c r="AA225" s="89">
        <f t="shared" si="131"/>
        <v>0</v>
      </c>
      <c r="AB225" s="89">
        <f t="shared" si="132"/>
        <v>0</v>
      </c>
      <c r="AC225" s="90">
        <f t="shared" si="133"/>
        <v>0</v>
      </c>
      <c r="AD225" s="91">
        <f t="shared" si="134"/>
        <v>0</v>
      </c>
      <c r="AE225" s="93">
        <f t="shared" si="135"/>
        <v>0</v>
      </c>
      <c r="AF225" s="93">
        <f t="shared" si="136"/>
        <v>0</v>
      </c>
      <c r="AG225" s="93">
        <f t="shared" si="137"/>
        <v>0</v>
      </c>
      <c r="AH225" s="93">
        <f t="shared" si="138"/>
        <v>0</v>
      </c>
      <c r="AI225" s="93">
        <f t="shared" si="139"/>
        <v>0</v>
      </c>
      <c r="AJ225" s="93">
        <f t="shared" si="140"/>
        <v>0</v>
      </c>
      <c r="AK225" s="93">
        <f t="shared" si="141"/>
        <v>0</v>
      </c>
      <c r="AL225" s="93">
        <f t="shared" si="142"/>
        <v>0</v>
      </c>
      <c r="AM225" s="92">
        <f t="shared" si="143"/>
        <v>0</v>
      </c>
      <c r="AN225" s="1" t="str">
        <f t="shared" si="120"/>
        <v xml:space="preserve"> </v>
      </c>
      <c r="AO225" s="1" t="str">
        <f t="shared" si="121"/>
        <v xml:space="preserve"> </v>
      </c>
      <c r="AP225" s="1" t="str">
        <f t="shared" si="122"/>
        <v xml:space="preserve"> </v>
      </c>
      <c r="AQ225" s="1" t="str">
        <f t="shared" si="152"/>
        <v xml:space="preserve"> </v>
      </c>
      <c r="AR225" s="1" t="str">
        <f t="shared" si="124"/>
        <v xml:space="preserve"> </v>
      </c>
      <c r="AS225" s="1" t="str">
        <f t="shared" si="125"/>
        <v xml:space="preserve"> </v>
      </c>
      <c r="AT225" s="1" t="str">
        <f t="shared" si="126"/>
        <v xml:space="preserve"> </v>
      </c>
      <c r="AU225" s="103" t="str">
        <f t="shared" si="127"/>
        <v xml:space="preserve"> </v>
      </c>
      <c r="AV225" s="111">
        <f t="shared" si="144"/>
        <v>0</v>
      </c>
      <c r="AW225" s="4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6"/>
      <c r="DM225" s="111">
        <f t="shared" si="145"/>
        <v>0</v>
      </c>
      <c r="DN225" s="4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6"/>
      <c r="GD225" s="111">
        <f t="shared" si="146"/>
        <v>0</v>
      </c>
      <c r="GE225" s="4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6"/>
      <c r="IU225" s="111">
        <f t="shared" si="147"/>
        <v>0</v>
      </c>
      <c r="IV225" s="4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6"/>
      <c r="LL225" s="111">
        <f t="shared" si="148"/>
        <v>0</v>
      </c>
      <c r="LM225" s="4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6"/>
      <c r="OC225" s="111">
        <f t="shared" si="149"/>
        <v>0</v>
      </c>
      <c r="OD225" s="4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6"/>
      <c r="QT225" s="111">
        <f t="shared" si="150"/>
        <v>0</v>
      </c>
      <c r="QU225" s="4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6"/>
      <c r="TK225" s="111">
        <f t="shared" si="151"/>
        <v>0</v>
      </c>
      <c r="TL225" s="4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6"/>
    </row>
    <row r="226" spans="1:599" ht="14.25" customHeight="1" x14ac:dyDescent="0.3">
      <c r="A226" s="41"/>
      <c r="B226" s="39"/>
      <c r="C226" s="40"/>
      <c r="D226" s="40"/>
      <c r="E226" s="81"/>
      <c r="F226" s="81"/>
      <c r="G226" s="81"/>
      <c r="H226" s="81"/>
      <c r="I226" s="81"/>
      <c r="J226" s="81"/>
      <c r="K226" s="81"/>
      <c r="L226" s="81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89" t="str">
        <f t="shared" si="129"/>
        <v/>
      </c>
      <c r="Z226" s="89" t="str">
        <f t="shared" si="130"/>
        <v/>
      </c>
      <c r="AA226" s="89">
        <f t="shared" si="131"/>
        <v>0</v>
      </c>
      <c r="AB226" s="89">
        <f t="shared" si="132"/>
        <v>0</v>
      </c>
      <c r="AC226" s="90">
        <f t="shared" si="133"/>
        <v>0</v>
      </c>
      <c r="AD226" s="91">
        <f t="shared" si="134"/>
        <v>0</v>
      </c>
      <c r="AE226" s="93">
        <f t="shared" si="135"/>
        <v>0</v>
      </c>
      <c r="AF226" s="93">
        <f t="shared" si="136"/>
        <v>0</v>
      </c>
      <c r="AG226" s="93">
        <f t="shared" si="137"/>
        <v>0</v>
      </c>
      <c r="AH226" s="93">
        <f t="shared" si="138"/>
        <v>0</v>
      </c>
      <c r="AI226" s="93">
        <f t="shared" si="139"/>
        <v>0</v>
      </c>
      <c r="AJ226" s="93">
        <f t="shared" si="140"/>
        <v>0</v>
      </c>
      <c r="AK226" s="93">
        <f t="shared" si="141"/>
        <v>0</v>
      </c>
      <c r="AL226" s="93">
        <f t="shared" si="142"/>
        <v>0</v>
      </c>
      <c r="AM226" s="92">
        <f t="shared" si="143"/>
        <v>0</v>
      </c>
      <c r="AN226" s="1" t="str">
        <f t="shared" si="120"/>
        <v xml:space="preserve"> </v>
      </c>
      <c r="AO226" s="1" t="str">
        <f t="shared" si="121"/>
        <v xml:space="preserve"> </v>
      </c>
      <c r="AP226" s="1" t="str">
        <f t="shared" si="122"/>
        <v xml:space="preserve"> </v>
      </c>
      <c r="AQ226" s="1" t="str">
        <f t="shared" si="152"/>
        <v xml:space="preserve"> </v>
      </c>
      <c r="AR226" s="1" t="str">
        <f t="shared" si="124"/>
        <v xml:space="preserve"> </v>
      </c>
      <c r="AS226" s="1" t="str">
        <f t="shared" si="125"/>
        <v xml:space="preserve"> </v>
      </c>
      <c r="AT226" s="1" t="str">
        <f t="shared" si="126"/>
        <v xml:space="preserve"> </v>
      </c>
      <c r="AU226" s="103" t="str">
        <f t="shared" si="127"/>
        <v xml:space="preserve"> </v>
      </c>
      <c r="AV226" s="111">
        <f t="shared" si="144"/>
        <v>0</v>
      </c>
      <c r="AW226" s="4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6"/>
      <c r="DM226" s="111">
        <f t="shared" si="145"/>
        <v>0</v>
      </c>
      <c r="DN226" s="4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6"/>
      <c r="GD226" s="111">
        <f t="shared" si="146"/>
        <v>0</v>
      </c>
      <c r="GE226" s="4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6"/>
      <c r="IU226" s="111">
        <f t="shared" si="147"/>
        <v>0</v>
      </c>
      <c r="IV226" s="4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6"/>
      <c r="LL226" s="111">
        <f t="shared" si="148"/>
        <v>0</v>
      </c>
      <c r="LM226" s="4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6"/>
      <c r="OC226" s="111">
        <f t="shared" si="149"/>
        <v>0</v>
      </c>
      <c r="OD226" s="4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6"/>
      <c r="QT226" s="111">
        <f t="shared" si="150"/>
        <v>0</v>
      </c>
      <c r="QU226" s="4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6"/>
      <c r="TK226" s="111">
        <f t="shared" si="151"/>
        <v>0</v>
      </c>
      <c r="TL226" s="4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6"/>
    </row>
    <row r="227" spans="1:599" ht="14.25" customHeight="1" x14ac:dyDescent="0.3">
      <c r="A227" s="41"/>
      <c r="B227" s="39"/>
      <c r="C227" s="40"/>
      <c r="D227" s="40"/>
      <c r="E227" s="81"/>
      <c r="F227" s="81"/>
      <c r="G227" s="81"/>
      <c r="H227" s="81"/>
      <c r="I227" s="81"/>
      <c r="J227" s="81"/>
      <c r="K227" s="81"/>
      <c r="L227" s="81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89" t="str">
        <f t="shared" si="129"/>
        <v/>
      </c>
      <c r="Z227" s="89" t="str">
        <f t="shared" si="130"/>
        <v/>
      </c>
      <c r="AA227" s="89">
        <f t="shared" si="131"/>
        <v>0</v>
      </c>
      <c r="AB227" s="89">
        <f t="shared" si="132"/>
        <v>0</v>
      </c>
      <c r="AC227" s="90">
        <f t="shared" si="133"/>
        <v>0</v>
      </c>
      <c r="AD227" s="91">
        <f t="shared" si="134"/>
        <v>0</v>
      </c>
      <c r="AE227" s="93">
        <f t="shared" si="135"/>
        <v>0</v>
      </c>
      <c r="AF227" s="93">
        <f t="shared" si="136"/>
        <v>0</v>
      </c>
      <c r="AG227" s="93">
        <f t="shared" si="137"/>
        <v>0</v>
      </c>
      <c r="AH227" s="93">
        <f t="shared" si="138"/>
        <v>0</v>
      </c>
      <c r="AI227" s="93">
        <f t="shared" si="139"/>
        <v>0</v>
      </c>
      <c r="AJ227" s="93">
        <f t="shared" si="140"/>
        <v>0</v>
      </c>
      <c r="AK227" s="93">
        <f t="shared" si="141"/>
        <v>0</v>
      </c>
      <c r="AL227" s="93">
        <f t="shared" si="142"/>
        <v>0</v>
      </c>
      <c r="AM227" s="92">
        <f t="shared" si="143"/>
        <v>0</v>
      </c>
      <c r="AN227" s="1" t="str">
        <f t="shared" si="120"/>
        <v xml:space="preserve"> </v>
      </c>
      <c r="AO227" s="1" t="str">
        <f t="shared" si="121"/>
        <v xml:space="preserve"> </v>
      </c>
      <c r="AP227" s="1" t="str">
        <f t="shared" si="122"/>
        <v xml:space="preserve"> </v>
      </c>
      <c r="AQ227" s="1" t="str">
        <f t="shared" si="152"/>
        <v xml:space="preserve"> </v>
      </c>
      <c r="AR227" s="1" t="str">
        <f t="shared" si="124"/>
        <v xml:space="preserve"> </v>
      </c>
      <c r="AS227" s="1" t="str">
        <f t="shared" si="125"/>
        <v xml:space="preserve"> </v>
      </c>
      <c r="AT227" s="1" t="str">
        <f t="shared" si="126"/>
        <v xml:space="preserve"> </v>
      </c>
      <c r="AU227" s="103" t="str">
        <f t="shared" si="127"/>
        <v xml:space="preserve"> </v>
      </c>
      <c r="AV227" s="111">
        <f t="shared" si="144"/>
        <v>0</v>
      </c>
      <c r="AW227" s="4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6"/>
      <c r="DM227" s="111">
        <f t="shared" si="145"/>
        <v>0</v>
      </c>
      <c r="DN227" s="4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6"/>
      <c r="GD227" s="111">
        <f t="shared" si="146"/>
        <v>0</v>
      </c>
      <c r="GE227" s="4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6"/>
      <c r="IU227" s="111">
        <f t="shared" si="147"/>
        <v>0</v>
      </c>
      <c r="IV227" s="4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6"/>
      <c r="LL227" s="111">
        <f t="shared" si="148"/>
        <v>0</v>
      </c>
      <c r="LM227" s="4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6"/>
      <c r="OC227" s="111">
        <f t="shared" si="149"/>
        <v>0</v>
      </c>
      <c r="OD227" s="4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6"/>
      <c r="QT227" s="111">
        <f t="shared" si="150"/>
        <v>0</v>
      </c>
      <c r="QU227" s="4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6"/>
      <c r="TK227" s="111">
        <f t="shared" si="151"/>
        <v>0</v>
      </c>
      <c r="TL227" s="4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6"/>
    </row>
    <row r="228" spans="1:599" ht="14.25" customHeight="1" x14ac:dyDescent="0.3">
      <c r="A228" s="41"/>
      <c r="B228" s="39"/>
      <c r="C228" s="40"/>
      <c r="D228" s="40"/>
      <c r="E228" s="81"/>
      <c r="F228" s="81"/>
      <c r="G228" s="81"/>
      <c r="H228" s="81"/>
      <c r="I228" s="81"/>
      <c r="J228" s="81"/>
      <c r="K228" s="81"/>
      <c r="L228" s="81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89" t="str">
        <f t="shared" si="129"/>
        <v/>
      </c>
      <c r="Z228" s="89" t="str">
        <f t="shared" si="130"/>
        <v/>
      </c>
      <c r="AA228" s="89">
        <f t="shared" si="131"/>
        <v>0</v>
      </c>
      <c r="AB228" s="89">
        <f t="shared" si="132"/>
        <v>0</v>
      </c>
      <c r="AC228" s="90">
        <f t="shared" si="133"/>
        <v>0</v>
      </c>
      <c r="AD228" s="91">
        <f t="shared" si="134"/>
        <v>0</v>
      </c>
      <c r="AE228" s="93">
        <f t="shared" si="135"/>
        <v>0</v>
      </c>
      <c r="AF228" s="93">
        <f t="shared" si="136"/>
        <v>0</v>
      </c>
      <c r="AG228" s="93">
        <f t="shared" si="137"/>
        <v>0</v>
      </c>
      <c r="AH228" s="93">
        <f t="shared" si="138"/>
        <v>0</v>
      </c>
      <c r="AI228" s="93">
        <f t="shared" si="139"/>
        <v>0</v>
      </c>
      <c r="AJ228" s="93">
        <f t="shared" si="140"/>
        <v>0</v>
      </c>
      <c r="AK228" s="93">
        <f t="shared" si="141"/>
        <v>0</v>
      </c>
      <c r="AL228" s="93">
        <f t="shared" si="142"/>
        <v>0</v>
      </c>
      <c r="AM228" s="92">
        <f t="shared" si="143"/>
        <v>0</v>
      </c>
      <c r="AN228" s="1" t="str">
        <f t="shared" si="120"/>
        <v xml:space="preserve"> </v>
      </c>
      <c r="AO228" s="1" t="str">
        <f t="shared" si="121"/>
        <v xml:space="preserve"> </v>
      </c>
      <c r="AP228" s="1" t="str">
        <f t="shared" si="122"/>
        <v xml:space="preserve"> </v>
      </c>
      <c r="AQ228" s="1" t="str">
        <f t="shared" si="152"/>
        <v xml:space="preserve"> </v>
      </c>
      <c r="AR228" s="1" t="str">
        <f t="shared" si="124"/>
        <v xml:space="preserve"> </v>
      </c>
      <c r="AS228" s="1" t="str">
        <f t="shared" si="125"/>
        <v xml:space="preserve"> </v>
      </c>
      <c r="AT228" s="1" t="str">
        <f t="shared" si="126"/>
        <v xml:space="preserve"> </v>
      </c>
      <c r="AU228" s="103" t="str">
        <f t="shared" si="127"/>
        <v xml:space="preserve"> </v>
      </c>
      <c r="AV228" s="111">
        <f t="shared" si="144"/>
        <v>0</v>
      </c>
      <c r="AW228" s="4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6"/>
      <c r="DM228" s="111">
        <f t="shared" si="145"/>
        <v>0</v>
      </c>
      <c r="DN228" s="4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6"/>
      <c r="GD228" s="111">
        <f t="shared" si="146"/>
        <v>0</v>
      </c>
      <c r="GE228" s="4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6"/>
      <c r="IU228" s="111">
        <f t="shared" si="147"/>
        <v>0</v>
      </c>
      <c r="IV228" s="4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6"/>
      <c r="LL228" s="111">
        <f t="shared" si="148"/>
        <v>0</v>
      </c>
      <c r="LM228" s="4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6"/>
      <c r="OC228" s="111">
        <f t="shared" si="149"/>
        <v>0</v>
      </c>
      <c r="OD228" s="4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6"/>
      <c r="QT228" s="111">
        <f t="shared" si="150"/>
        <v>0</v>
      </c>
      <c r="QU228" s="4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6"/>
      <c r="TK228" s="111">
        <f t="shared" si="151"/>
        <v>0</v>
      </c>
      <c r="TL228" s="4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6"/>
    </row>
    <row r="229" spans="1:599" ht="14.25" customHeight="1" x14ac:dyDescent="0.3">
      <c r="A229" s="41"/>
      <c r="B229" s="39"/>
      <c r="C229" s="40"/>
      <c r="D229" s="40"/>
      <c r="E229" s="81"/>
      <c r="F229" s="81"/>
      <c r="G229" s="81"/>
      <c r="H229" s="81"/>
      <c r="I229" s="81"/>
      <c r="J229" s="81"/>
      <c r="K229" s="81"/>
      <c r="L229" s="81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89" t="str">
        <f t="shared" si="129"/>
        <v/>
      </c>
      <c r="Z229" s="89" t="str">
        <f t="shared" si="130"/>
        <v/>
      </c>
      <c r="AA229" s="89">
        <f t="shared" si="131"/>
        <v>0</v>
      </c>
      <c r="AB229" s="89">
        <f t="shared" si="132"/>
        <v>0</v>
      </c>
      <c r="AC229" s="90">
        <f t="shared" si="133"/>
        <v>0</v>
      </c>
      <c r="AD229" s="91">
        <f t="shared" si="134"/>
        <v>0</v>
      </c>
      <c r="AE229" s="93">
        <f t="shared" si="135"/>
        <v>0</v>
      </c>
      <c r="AF229" s="93">
        <f t="shared" si="136"/>
        <v>0</v>
      </c>
      <c r="AG229" s="93">
        <f t="shared" si="137"/>
        <v>0</v>
      </c>
      <c r="AH229" s="93">
        <f t="shared" si="138"/>
        <v>0</v>
      </c>
      <c r="AI229" s="93">
        <f t="shared" si="139"/>
        <v>0</v>
      </c>
      <c r="AJ229" s="93">
        <f t="shared" si="140"/>
        <v>0</v>
      </c>
      <c r="AK229" s="93">
        <f t="shared" si="141"/>
        <v>0</v>
      </c>
      <c r="AL229" s="93">
        <f t="shared" si="142"/>
        <v>0</v>
      </c>
      <c r="AM229" s="92">
        <f t="shared" si="143"/>
        <v>0</v>
      </c>
      <c r="AN229" s="1" t="str">
        <f t="shared" si="120"/>
        <v xml:space="preserve"> </v>
      </c>
      <c r="AO229" s="1" t="str">
        <f t="shared" si="121"/>
        <v xml:space="preserve"> </v>
      </c>
      <c r="AP229" s="1" t="str">
        <f t="shared" si="122"/>
        <v xml:space="preserve"> </v>
      </c>
      <c r="AQ229" s="1" t="str">
        <f t="shared" si="152"/>
        <v xml:space="preserve"> </v>
      </c>
      <c r="AR229" s="1" t="str">
        <f t="shared" si="124"/>
        <v xml:space="preserve"> </v>
      </c>
      <c r="AS229" s="1" t="str">
        <f t="shared" si="125"/>
        <v xml:space="preserve"> </v>
      </c>
      <c r="AT229" s="1" t="str">
        <f t="shared" si="126"/>
        <v xml:space="preserve"> </v>
      </c>
      <c r="AU229" s="103" t="str">
        <f t="shared" si="127"/>
        <v xml:space="preserve"> </v>
      </c>
      <c r="AV229" s="111">
        <f t="shared" si="144"/>
        <v>0</v>
      </c>
      <c r="AW229" s="4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6"/>
      <c r="DM229" s="111">
        <f t="shared" si="145"/>
        <v>0</v>
      </c>
      <c r="DN229" s="4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6"/>
      <c r="GD229" s="111">
        <f t="shared" si="146"/>
        <v>0</v>
      </c>
      <c r="GE229" s="4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6"/>
      <c r="IU229" s="111">
        <f t="shared" si="147"/>
        <v>0</v>
      </c>
      <c r="IV229" s="4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6"/>
      <c r="LL229" s="111">
        <f t="shared" si="148"/>
        <v>0</v>
      </c>
      <c r="LM229" s="4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6"/>
      <c r="OC229" s="111">
        <f t="shared" si="149"/>
        <v>0</v>
      </c>
      <c r="OD229" s="4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6"/>
      <c r="QT229" s="111">
        <f t="shared" si="150"/>
        <v>0</v>
      </c>
      <c r="QU229" s="4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6"/>
      <c r="TK229" s="111">
        <f t="shared" si="151"/>
        <v>0</v>
      </c>
      <c r="TL229" s="4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6"/>
    </row>
    <row r="230" spans="1:599" ht="14.25" customHeight="1" x14ac:dyDescent="0.3">
      <c r="A230" s="66"/>
      <c r="B230" s="39"/>
      <c r="C230" s="40"/>
      <c r="D230" s="40"/>
      <c r="E230" s="81"/>
      <c r="F230" s="81"/>
      <c r="G230" s="81"/>
      <c r="H230" s="81"/>
      <c r="I230" s="81"/>
      <c r="J230" s="81"/>
      <c r="K230" s="81"/>
      <c r="L230" s="81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89" t="str">
        <f t="shared" si="129"/>
        <v/>
      </c>
      <c r="Z230" s="89" t="str">
        <f t="shared" si="130"/>
        <v/>
      </c>
      <c r="AA230" s="89">
        <f t="shared" si="131"/>
        <v>0</v>
      </c>
      <c r="AB230" s="89">
        <f t="shared" si="132"/>
        <v>0</v>
      </c>
      <c r="AC230" s="90">
        <f t="shared" si="133"/>
        <v>0</v>
      </c>
      <c r="AD230" s="91">
        <f t="shared" si="134"/>
        <v>0</v>
      </c>
      <c r="AE230" s="93">
        <f t="shared" si="135"/>
        <v>0</v>
      </c>
      <c r="AF230" s="93">
        <f t="shared" si="136"/>
        <v>0</v>
      </c>
      <c r="AG230" s="93">
        <f t="shared" si="137"/>
        <v>0</v>
      </c>
      <c r="AH230" s="93">
        <f t="shared" si="138"/>
        <v>0</v>
      </c>
      <c r="AI230" s="93">
        <f t="shared" si="139"/>
        <v>0</v>
      </c>
      <c r="AJ230" s="93">
        <f t="shared" si="140"/>
        <v>0</v>
      </c>
      <c r="AK230" s="93">
        <f t="shared" si="141"/>
        <v>0</v>
      </c>
      <c r="AL230" s="93">
        <f t="shared" si="142"/>
        <v>0</v>
      </c>
      <c r="AM230" s="92">
        <f t="shared" si="143"/>
        <v>0</v>
      </c>
      <c r="AN230" s="1" t="str">
        <f t="shared" si="120"/>
        <v xml:space="preserve"> </v>
      </c>
      <c r="AO230" s="1" t="str">
        <f t="shared" si="121"/>
        <v xml:space="preserve"> </v>
      </c>
      <c r="AP230" s="1" t="str">
        <f t="shared" si="122"/>
        <v xml:space="preserve"> </v>
      </c>
      <c r="AQ230" s="1" t="str">
        <f t="shared" si="152"/>
        <v xml:space="preserve"> </v>
      </c>
      <c r="AR230" s="1" t="str">
        <f t="shared" si="124"/>
        <v xml:space="preserve"> </v>
      </c>
      <c r="AS230" s="1" t="str">
        <f t="shared" si="125"/>
        <v xml:space="preserve"> </v>
      </c>
      <c r="AT230" s="1" t="str">
        <f t="shared" si="126"/>
        <v xml:space="preserve"> </v>
      </c>
      <c r="AU230" s="103" t="str">
        <f t="shared" si="127"/>
        <v xml:space="preserve"> </v>
      </c>
      <c r="AV230" s="111">
        <f t="shared" si="144"/>
        <v>0</v>
      </c>
      <c r="AW230" s="4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6"/>
      <c r="DM230" s="111">
        <f t="shared" si="145"/>
        <v>0</v>
      </c>
      <c r="DN230" s="4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6"/>
      <c r="GD230" s="111">
        <f t="shared" si="146"/>
        <v>0</v>
      </c>
      <c r="GE230" s="4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6"/>
      <c r="IU230" s="111">
        <f t="shared" si="147"/>
        <v>0</v>
      </c>
      <c r="IV230" s="4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6"/>
      <c r="LL230" s="111">
        <f t="shared" si="148"/>
        <v>0</v>
      </c>
      <c r="LM230" s="4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6"/>
      <c r="OC230" s="111">
        <f t="shared" si="149"/>
        <v>0</v>
      </c>
      <c r="OD230" s="4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6"/>
      <c r="QT230" s="111">
        <f t="shared" si="150"/>
        <v>0</v>
      </c>
      <c r="QU230" s="4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6"/>
      <c r="TK230" s="111">
        <f t="shared" si="151"/>
        <v>0</v>
      </c>
      <c r="TL230" s="4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6"/>
    </row>
    <row r="231" spans="1:599" ht="14.25" customHeight="1" x14ac:dyDescent="0.3">
      <c r="A231" s="74"/>
      <c r="B231" s="39"/>
      <c r="C231" s="40"/>
      <c r="D231" s="40"/>
      <c r="E231" s="81"/>
      <c r="F231" s="81"/>
      <c r="G231" s="81"/>
      <c r="H231" s="81"/>
      <c r="I231" s="81"/>
      <c r="J231" s="81"/>
      <c r="K231" s="81"/>
      <c r="L231" s="81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69"/>
      <c r="X231" s="69"/>
      <c r="Y231" s="89" t="str">
        <f t="shared" si="129"/>
        <v/>
      </c>
      <c r="Z231" s="89" t="str">
        <f t="shared" si="130"/>
        <v/>
      </c>
      <c r="AA231" s="89">
        <f t="shared" si="131"/>
        <v>0</v>
      </c>
      <c r="AB231" s="89">
        <f t="shared" si="132"/>
        <v>0</v>
      </c>
      <c r="AC231" s="90">
        <f t="shared" si="133"/>
        <v>0</v>
      </c>
      <c r="AD231" s="91">
        <f t="shared" si="134"/>
        <v>0</v>
      </c>
      <c r="AE231" s="93">
        <f t="shared" si="135"/>
        <v>0</v>
      </c>
      <c r="AF231" s="93">
        <f t="shared" si="136"/>
        <v>0</v>
      </c>
      <c r="AG231" s="93">
        <f t="shared" si="137"/>
        <v>0</v>
      </c>
      <c r="AH231" s="93">
        <f t="shared" si="138"/>
        <v>0</v>
      </c>
      <c r="AI231" s="93">
        <f t="shared" si="139"/>
        <v>0</v>
      </c>
      <c r="AJ231" s="93">
        <f t="shared" si="140"/>
        <v>0</v>
      </c>
      <c r="AK231" s="93">
        <f t="shared" si="141"/>
        <v>0</v>
      </c>
      <c r="AL231" s="93">
        <f t="shared" si="142"/>
        <v>0</v>
      </c>
      <c r="AM231" s="92">
        <f t="shared" si="143"/>
        <v>0</v>
      </c>
      <c r="AN231" s="70" t="str">
        <f t="shared" si="120"/>
        <v xml:space="preserve"> </v>
      </c>
      <c r="AO231" s="70" t="str">
        <f t="shared" si="121"/>
        <v xml:space="preserve"> </v>
      </c>
      <c r="AP231" s="70" t="str">
        <f t="shared" si="122"/>
        <v xml:space="preserve"> </v>
      </c>
      <c r="AQ231" s="70" t="str">
        <f t="shared" si="152"/>
        <v xml:space="preserve"> </v>
      </c>
      <c r="AR231" s="70" t="str">
        <f t="shared" si="124"/>
        <v xml:space="preserve"> </v>
      </c>
      <c r="AS231" s="70" t="str">
        <f t="shared" si="125"/>
        <v xml:space="preserve"> </v>
      </c>
      <c r="AT231" s="70" t="str">
        <f t="shared" si="126"/>
        <v xml:space="preserve"> </v>
      </c>
      <c r="AU231" s="105" t="str">
        <f t="shared" si="127"/>
        <v xml:space="preserve"> </v>
      </c>
      <c r="AV231" s="111">
        <f t="shared" si="144"/>
        <v>0</v>
      </c>
      <c r="AW231" s="71"/>
      <c r="AX231" s="72"/>
      <c r="AY231" s="72"/>
      <c r="AZ231" s="72"/>
      <c r="BA231" s="72"/>
      <c r="BB231" s="72"/>
      <c r="BC231" s="72"/>
      <c r="BD231" s="72"/>
      <c r="BE231" s="72"/>
      <c r="BF231" s="72"/>
      <c r="BG231" s="72"/>
      <c r="BH231" s="72"/>
      <c r="BI231" s="72"/>
      <c r="BJ231" s="72"/>
      <c r="BK231" s="72"/>
      <c r="BL231" s="72"/>
      <c r="BM231" s="72"/>
      <c r="BN231" s="72"/>
      <c r="BO231" s="72"/>
      <c r="BP231" s="72"/>
      <c r="BQ231" s="72"/>
      <c r="BR231" s="72"/>
      <c r="BS231" s="72"/>
      <c r="BT231" s="72"/>
      <c r="BU231" s="72"/>
      <c r="BV231" s="72"/>
      <c r="BW231" s="72"/>
      <c r="BX231" s="72"/>
      <c r="BY231" s="72"/>
      <c r="BZ231" s="72"/>
      <c r="CA231" s="72"/>
      <c r="CB231" s="72"/>
      <c r="CC231" s="72"/>
      <c r="CD231" s="72"/>
      <c r="CE231" s="72"/>
      <c r="CF231" s="72"/>
      <c r="CG231" s="72"/>
      <c r="CH231" s="72"/>
      <c r="CI231" s="72"/>
      <c r="CJ231" s="72"/>
      <c r="CK231" s="72"/>
      <c r="CL231" s="72"/>
      <c r="CM231" s="72"/>
      <c r="CN231" s="72"/>
      <c r="CO231" s="72"/>
      <c r="CP231" s="72"/>
      <c r="CQ231" s="72"/>
      <c r="CR231" s="72"/>
      <c r="CS231" s="72"/>
      <c r="CT231" s="72"/>
      <c r="CU231" s="72"/>
      <c r="CV231" s="72"/>
      <c r="CW231" s="72"/>
      <c r="CX231" s="72"/>
      <c r="CY231" s="72"/>
      <c r="CZ231" s="72"/>
      <c r="DA231" s="72"/>
      <c r="DB231" s="72"/>
      <c r="DC231" s="72"/>
      <c r="DD231" s="72"/>
      <c r="DE231" s="72"/>
      <c r="DF231" s="72"/>
      <c r="DG231" s="72"/>
      <c r="DH231" s="72"/>
      <c r="DI231" s="72"/>
      <c r="DJ231" s="72"/>
      <c r="DK231" s="72"/>
      <c r="DL231" s="73"/>
      <c r="DM231" s="111">
        <f t="shared" si="145"/>
        <v>0</v>
      </c>
      <c r="DN231" s="71"/>
      <c r="DO231" s="72"/>
      <c r="DP231" s="72"/>
      <c r="DQ231" s="72"/>
      <c r="DR231" s="72"/>
      <c r="DS231" s="72"/>
      <c r="DT231" s="72"/>
      <c r="DU231" s="72"/>
      <c r="DV231" s="72"/>
      <c r="DW231" s="72"/>
      <c r="DX231" s="72"/>
      <c r="DY231" s="72"/>
      <c r="DZ231" s="72"/>
      <c r="EA231" s="72"/>
      <c r="EB231" s="72"/>
      <c r="EC231" s="72"/>
      <c r="ED231" s="72"/>
      <c r="EE231" s="72"/>
      <c r="EF231" s="72"/>
      <c r="EG231" s="72"/>
      <c r="EH231" s="72"/>
      <c r="EI231" s="72"/>
      <c r="EJ231" s="72"/>
      <c r="EK231" s="72"/>
      <c r="EL231" s="72"/>
      <c r="EM231" s="72"/>
      <c r="EN231" s="72"/>
      <c r="EO231" s="72"/>
      <c r="EP231" s="72"/>
      <c r="EQ231" s="72"/>
      <c r="ER231" s="72"/>
      <c r="ES231" s="72"/>
      <c r="ET231" s="72"/>
      <c r="EU231" s="72"/>
      <c r="EV231" s="72"/>
      <c r="EW231" s="72"/>
      <c r="EX231" s="72"/>
      <c r="EY231" s="72"/>
      <c r="EZ231" s="72"/>
      <c r="FA231" s="72"/>
      <c r="FB231" s="72"/>
      <c r="FC231" s="72"/>
      <c r="FD231" s="72"/>
      <c r="FE231" s="72"/>
      <c r="FF231" s="72"/>
      <c r="FG231" s="72"/>
      <c r="FH231" s="72"/>
      <c r="FI231" s="72"/>
      <c r="FJ231" s="72"/>
      <c r="FK231" s="72"/>
      <c r="FL231" s="72"/>
      <c r="FM231" s="72"/>
      <c r="FN231" s="72"/>
      <c r="FO231" s="72"/>
      <c r="FP231" s="72"/>
      <c r="FQ231" s="72"/>
      <c r="FR231" s="72"/>
      <c r="FS231" s="72"/>
      <c r="FT231" s="72"/>
      <c r="FU231" s="72"/>
      <c r="FV231" s="72"/>
      <c r="FW231" s="72"/>
      <c r="FX231" s="72"/>
      <c r="FY231" s="72"/>
      <c r="FZ231" s="72"/>
      <c r="GA231" s="72"/>
      <c r="GB231" s="72"/>
      <c r="GC231" s="73"/>
      <c r="GD231" s="111">
        <f t="shared" si="146"/>
        <v>0</v>
      </c>
      <c r="GE231" s="71"/>
      <c r="GF231" s="72"/>
      <c r="GG231" s="72"/>
      <c r="GH231" s="72"/>
      <c r="GI231" s="72"/>
      <c r="GJ231" s="72"/>
      <c r="GK231" s="72"/>
      <c r="GL231" s="72"/>
      <c r="GM231" s="72"/>
      <c r="GN231" s="72"/>
      <c r="GO231" s="72"/>
      <c r="GP231" s="72"/>
      <c r="GQ231" s="72"/>
      <c r="GR231" s="72"/>
      <c r="GS231" s="72"/>
      <c r="GT231" s="72"/>
      <c r="GU231" s="72"/>
      <c r="GV231" s="72"/>
      <c r="GW231" s="72"/>
      <c r="GX231" s="72"/>
      <c r="GY231" s="72"/>
      <c r="GZ231" s="72"/>
      <c r="HA231" s="72"/>
      <c r="HB231" s="72"/>
      <c r="HC231" s="72"/>
      <c r="HD231" s="72"/>
      <c r="HE231" s="72"/>
      <c r="HF231" s="72"/>
      <c r="HG231" s="72"/>
      <c r="HH231" s="72"/>
      <c r="HI231" s="72"/>
      <c r="HJ231" s="72"/>
      <c r="HK231" s="72"/>
      <c r="HL231" s="72"/>
      <c r="HM231" s="72"/>
      <c r="HN231" s="72"/>
      <c r="HO231" s="72"/>
      <c r="HP231" s="72"/>
      <c r="HQ231" s="72"/>
      <c r="HR231" s="72"/>
      <c r="HS231" s="72"/>
      <c r="HT231" s="72"/>
      <c r="HU231" s="72"/>
      <c r="HV231" s="72"/>
      <c r="HW231" s="72"/>
      <c r="HX231" s="72"/>
      <c r="HY231" s="72"/>
      <c r="HZ231" s="72"/>
      <c r="IA231" s="72"/>
      <c r="IB231" s="72"/>
      <c r="IC231" s="72"/>
      <c r="ID231" s="72"/>
      <c r="IE231" s="72"/>
      <c r="IF231" s="72"/>
      <c r="IG231" s="72"/>
      <c r="IH231" s="72"/>
      <c r="II231" s="72"/>
      <c r="IJ231" s="72"/>
      <c r="IK231" s="72"/>
      <c r="IL231" s="72"/>
      <c r="IM231" s="72"/>
      <c r="IN231" s="72"/>
      <c r="IO231" s="72"/>
      <c r="IP231" s="72"/>
      <c r="IQ231" s="72"/>
      <c r="IR231" s="72"/>
      <c r="IS231" s="72"/>
      <c r="IT231" s="73"/>
      <c r="IU231" s="111">
        <f t="shared" si="147"/>
        <v>0</v>
      </c>
      <c r="IV231" s="71"/>
      <c r="IW231" s="72"/>
      <c r="IX231" s="72"/>
      <c r="IY231" s="72"/>
      <c r="IZ231" s="72"/>
      <c r="JA231" s="72"/>
      <c r="JB231" s="72"/>
      <c r="JC231" s="72"/>
      <c r="JD231" s="72"/>
      <c r="JE231" s="72"/>
      <c r="JF231" s="72"/>
      <c r="JG231" s="72"/>
      <c r="JH231" s="72"/>
      <c r="JI231" s="72"/>
      <c r="JJ231" s="72"/>
      <c r="JK231" s="72"/>
      <c r="JL231" s="72"/>
      <c r="JM231" s="72"/>
      <c r="JN231" s="72"/>
      <c r="JO231" s="72"/>
      <c r="JP231" s="72"/>
      <c r="JQ231" s="72"/>
      <c r="JR231" s="72"/>
      <c r="JS231" s="72"/>
      <c r="JT231" s="72"/>
      <c r="JU231" s="72"/>
      <c r="JV231" s="72"/>
      <c r="JW231" s="72"/>
      <c r="JX231" s="72"/>
      <c r="JY231" s="72"/>
      <c r="JZ231" s="72"/>
      <c r="KA231" s="72"/>
      <c r="KB231" s="72"/>
      <c r="KC231" s="72"/>
      <c r="KD231" s="72"/>
      <c r="KE231" s="72"/>
      <c r="KF231" s="72"/>
      <c r="KG231" s="72"/>
      <c r="KH231" s="72"/>
      <c r="KI231" s="72"/>
      <c r="KJ231" s="72"/>
      <c r="KK231" s="72"/>
      <c r="KL231" s="72"/>
      <c r="KM231" s="72"/>
      <c r="KN231" s="72"/>
      <c r="KO231" s="72"/>
      <c r="KP231" s="72"/>
      <c r="KQ231" s="72"/>
      <c r="KR231" s="72"/>
      <c r="KS231" s="72"/>
      <c r="KT231" s="72"/>
      <c r="KU231" s="72"/>
      <c r="KV231" s="72"/>
      <c r="KW231" s="72"/>
      <c r="KX231" s="72"/>
      <c r="KY231" s="72"/>
      <c r="KZ231" s="72"/>
      <c r="LA231" s="72"/>
      <c r="LB231" s="72"/>
      <c r="LC231" s="72"/>
      <c r="LD231" s="72"/>
      <c r="LE231" s="72"/>
      <c r="LF231" s="72"/>
      <c r="LG231" s="72"/>
      <c r="LH231" s="72"/>
      <c r="LI231" s="72"/>
      <c r="LJ231" s="72"/>
      <c r="LK231" s="73"/>
      <c r="LL231" s="111">
        <f t="shared" si="148"/>
        <v>0</v>
      </c>
      <c r="LM231" s="71"/>
      <c r="LN231" s="72"/>
      <c r="LO231" s="72"/>
      <c r="LP231" s="72"/>
      <c r="LQ231" s="72"/>
      <c r="LR231" s="72"/>
      <c r="LS231" s="72"/>
      <c r="LT231" s="72"/>
      <c r="LU231" s="72"/>
      <c r="LV231" s="72"/>
      <c r="LW231" s="72"/>
      <c r="LX231" s="72"/>
      <c r="LY231" s="72"/>
      <c r="LZ231" s="72"/>
      <c r="MA231" s="72"/>
      <c r="MB231" s="72"/>
      <c r="MC231" s="72"/>
      <c r="MD231" s="72"/>
      <c r="ME231" s="72"/>
      <c r="MF231" s="72"/>
      <c r="MG231" s="72"/>
      <c r="MH231" s="72"/>
      <c r="MI231" s="72"/>
      <c r="MJ231" s="72"/>
      <c r="MK231" s="72"/>
      <c r="ML231" s="72"/>
      <c r="MM231" s="72"/>
      <c r="MN231" s="72"/>
      <c r="MO231" s="72"/>
      <c r="MP231" s="72"/>
      <c r="MQ231" s="72"/>
      <c r="MR231" s="72"/>
      <c r="MS231" s="72"/>
      <c r="MT231" s="72"/>
      <c r="MU231" s="72"/>
      <c r="MV231" s="72"/>
      <c r="MW231" s="72"/>
      <c r="MX231" s="72"/>
      <c r="MY231" s="72"/>
      <c r="MZ231" s="72"/>
      <c r="NA231" s="72"/>
      <c r="NB231" s="72"/>
      <c r="NC231" s="72"/>
      <c r="ND231" s="72"/>
      <c r="NE231" s="72"/>
      <c r="NF231" s="72"/>
      <c r="NG231" s="72"/>
      <c r="NH231" s="72"/>
      <c r="NI231" s="72"/>
      <c r="NJ231" s="72"/>
      <c r="NK231" s="72"/>
      <c r="NL231" s="72"/>
      <c r="NM231" s="72"/>
      <c r="NN231" s="72"/>
      <c r="NO231" s="72"/>
      <c r="NP231" s="72"/>
      <c r="NQ231" s="72"/>
      <c r="NR231" s="72"/>
      <c r="NS231" s="72"/>
      <c r="NT231" s="72"/>
      <c r="NU231" s="72"/>
      <c r="NV231" s="72"/>
      <c r="NW231" s="72"/>
      <c r="NX231" s="72"/>
      <c r="NY231" s="72"/>
      <c r="NZ231" s="72"/>
      <c r="OA231" s="72"/>
      <c r="OB231" s="73"/>
      <c r="OC231" s="111">
        <f t="shared" si="149"/>
        <v>0</v>
      </c>
      <c r="OD231" s="71"/>
      <c r="OE231" s="72"/>
      <c r="OF231" s="72"/>
      <c r="OG231" s="72"/>
      <c r="OH231" s="72"/>
      <c r="OI231" s="72"/>
      <c r="OJ231" s="72"/>
      <c r="OK231" s="72"/>
      <c r="OL231" s="72"/>
      <c r="OM231" s="72"/>
      <c r="ON231" s="72"/>
      <c r="OO231" s="72"/>
      <c r="OP231" s="72"/>
      <c r="OQ231" s="72"/>
      <c r="OR231" s="72"/>
      <c r="OS231" s="72"/>
      <c r="OT231" s="72"/>
      <c r="OU231" s="72"/>
      <c r="OV231" s="72"/>
      <c r="OW231" s="72"/>
      <c r="OX231" s="72"/>
      <c r="OY231" s="72"/>
      <c r="OZ231" s="72"/>
      <c r="PA231" s="72"/>
      <c r="PB231" s="72"/>
      <c r="PC231" s="72"/>
      <c r="PD231" s="72"/>
      <c r="PE231" s="72"/>
      <c r="PF231" s="72"/>
      <c r="PG231" s="72"/>
      <c r="PH231" s="72"/>
      <c r="PI231" s="72"/>
      <c r="PJ231" s="72"/>
      <c r="PK231" s="72"/>
      <c r="PL231" s="72"/>
      <c r="PM231" s="72"/>
      <c r="PN231" s="72"/>
      <c r="PO231" s="72"/>
      <c r="PP231" s="72"/>
      <c r="PQ231" s="72"/>
      <c r="PR231" s="72"/>
      <c r="PS231" s="72"/>
      <c r="PT231" s="72"/>
      <c r="PU231" s="72"/>
      <c r="PV231" s="72"/>
      <c r="PW231" s="72"/>
      <c r="PX231" s="72"/>
      <c r="PY231" s="72"/>
      <c r="PZ231" s="72"/>
      <c r="QA231" s="72"/>
      <c r="QB231" s="72"/>
      <c r="QC231" s="72"/>
      <c r="QD231" s="72"/>
      <c r="QE231" s="72"/>
      <c r="QF231" s="72"/>
      <c r="QG231" s="72"/>
      <c r="QH231" s="72"/>
      <c r="QI231" s="72"/>
      <c r="QJ231" s="72"/>
      <c r="QK231" s="72"/>
      <c r="QL231" s="72"/>
      <c r="QM231" s="72"/>
      <c r="QN231" s="72"/>
      <c r="QO231" s="72"/>
      <c r="QP231" s="72"/>
      <c r="QQ231" s="72"/>
      <c r="QR231" s="72"/>
      <c r="QS231" s="73"/>
      <c r="QT231" s="111">
        <f t="shared" si="150"/>
        <v>0</v>
      </c>
      <c r="QU231" s="71"/>
      <c r="QV231" s="72"/>
      <c r="QW231" s="72"/>
      <c r="QX231" s="72"/>
      <c r="QY231" s="72"/>
      <c r="QZ231" s="72"/>
      <c r="RA231" s="72"/>
      <c r="RB231" s="72"/>
      <c r="RC231" s="72"/>
      <c r="RD231" s="72"/>
      <c r="RE231" s="72"/>
      <c r="RF231" s="72"/>
      <c r="RG231" s="72"/>
      <c r="RH231" s="72"/>
      <c r="RI231" s="72"/>
      <c r="RJ231" s="72"/>
      <c r="RK231" s="72"/>
      <c r="RL231" s="72"/>
      <c r="RM231" s="72"/>
      <c r="RN231" s="72"/>
      <c r="RO231" s="72"/>
      <c r="RP231" s="72"/>
      <c r="RQ231" s="72"/>
      <c r="RR231" s="72"/>
      <c r="RS231" s="72"/>
      <c r="RT231" s="72"/>
      <c r="RU231" s="72"/>
      <c r="RV231" s="72"/>
      <c r="RW231" s="72"/>
      <c r="RX231" s="72"/>
      <c r="RY231" s="72"/>
      <c r="RZ231" s="72"/>
      <c r="SA231" s="72"/>
      <c r="SB231" s="72"/>
      <c r="SC231" s="72"/>
      <c r="SD231" s="72"/>
      <c r="SE231" s="72"/>
      <c r="SF231" s="72"/>
      <c r="SG231" s="72"/>
      <c r="SH231" s="72"/>
      <c r="SI231" s="72"/>
      <c r="SJ231" s="72"/>
      <c r="SK231" s="72"/>
      <c r="SL231" s="72"/>
      <c r="SM231" s="72"/>
      <c r="SN231" s="72"/>
      <c r="SO231" s="72"/>
      <c r="SP231" s="72"/>
      <c r="SQ231" s="72"/>
      <c r="SR231" s="72"/>
      <c r="SS231" s="72"/>
      <c r="ST231" s="72"/>
      <c r="SU231" s="72"/>
      <c r="SV231" s="72"/>
      <c r="SW231" s="72"/>
      <c r="SX231" s="72"/>
      <c r="SY231" s="72"/>
      <c r="SZ231" s="72"/>
      <c r="TA231" s="72"/>
      <c r="TB231" s="72"/>
      <c r="TC231" s="72"/>
      <c r="TD231" s="72"/>
      <c r="TE231" s="72"/>
      <c r="TF231" s="72"/>
      <c r="TG231" s="72"/>
      <c r="TH231" s="72"/>
      <c r="TI231" s="72"/>
      <c r="TJ231" s="73"/>
      <c r="TK231" s="111">
        <f t="shared" si="151"/>
        <v>0</v>
      </c>
      <c r="TL231" s="71"/>
      <c r="TM231" s="72"/>
      <c r="TN231" s="72"/>
      <c r="TO231" s="72"/>
      <c r="TP231" s="72"/>
      <c r="TQ231" s="72"/>
      <c r="TR231" s="72"/>
      <c r="TS231" s="72"/>
      <c r="TT231" s="72"/>
      <c r="TU231" s="72"/>
      <c r="TV231" s="72"/>
      <c r="TW231" s="72"/>
      <c r="TX231" s="72"/>
      <c r="TY231" s="72"/>
      <c r="TZ231" s="72"/>
      <c r="UA231" s="72"/>
      <c r="UB231" s="72"/>
      <c r="UC231" s="72"/>
      <c r="UD231" s="72"/>
      <c r="UE231" s="72"/>
      <c r="UF231" s="72"/>
      <c r="UG231" s="72"/>
      <c r="UH231" s="72"/>
      <c r="UI231" s="72"/>
      <c r="UJ231" s="72"/>
      <c r="UK231" s="72"/>
      <c r="UL231" s="72"/>
      <c r="UM231" s="72"/>
      <c r="UN231" s="72"/>
      <c r="UO231" s="72"/>
      <c r="UP231" s="72"/>
      <c r="UQ231" s="72"/>
      <c r="UR231" s="72"/>
      <c r="US231" s="72"/>
      <c r="UT231" s="72"/>
      <c r="UU231" s="72"/>
      <c r="UV231" s="72"/>
      <c r="UW231" s="72"/>
      <c r="UX231" s="72"/>
      <c r="UY231" s="72"/>
      <c r="UZ231" s="72"/>
      <c r="VA231" s="72"/>
      <c r="VB231" s="72"/>
      <c r="VC231" s="72"/>
      <c r="VD231" s="72"/>
      <c r="VE231" s="72"/>
      <c r="VF231" s="72"/>
      <c r="VG231" s="72"/>
      <c r="VH231" s="72"/>
      <c r="VI231" s="72"/>
      <c r="VJ231" s="72"/>
      <c r="VK231" s="72"/>
      <c r="VL231" s="72"/>
      <c r="VM231" s="72"/>
      <c r="VN231" s="72"/>
      <c r="VO231" s="72"/>
      <c r="VP231" s="72"/>
      <c r="VQ231" s="72"/>
      <c r="VR231" s="72"/>
      <c r="VS231" s="72"/>
      <c r="VT231" s="72"/>
      <c r="VU231" s="72"/>
      <c r="VV231" s="72"/>
      <c r="VW231" s="72"/>
      <c r="VX231" s="72"/>
      <c r="VY231" s="72"/>
      <c r="VZ231" s="72"/>
      <c r="WA231" s="73"/>
    </row>
    <row r="232" spans="1:599" s="76" customFormat="1" ht="14.25" customHeight="1" x14ac:dyDescent="0.3">
      <c r="A232" s="41"/>
      <c r="B232" s="39"/>
      <c r="C232" s="40"/>
      <c r="D232" s="40"/>
      <c r="E232" s="81"/>
      <c r="F232" s="81"/>
      <c r="G232" s="81"/>
      <c r="H232" s="81"/>
      <c r="I232" s="81"/>
      <c r="J232" s="81"/>
      <c r="K232" s="81"/>
      <c r="L232" s="81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89" t="str">
        <f t="shared" si="129"/>
        <v/>
      </c>
      <c r="Z232" s="89" t="str">
        <f t="shared" si="130"/>
        <v/>
      </c>
      <c r="AA232" s="89">
        <f t="shared" si="131"/>
        <v>0</v>
      </c>
      <c r="AB232" s="89">
        <f t="shared" si="132"/>
        <v>0</v>
      </c>
      <c r="AC232" s="90">
        <f t="shared" si="133"/>
        <v>0</v>
      </c>
      <c r="AD232" s="91">
        <f t="shared" si="134"/>
        <v>0</v>
      </c>
      <c r="AE232" s="93">
        <f t="shared" si="135"/>
        <v>0</v>
      </c>
      <c r="AF232" s="93">
        <f t="shared" si="136"/>
        <v>0</v>
      </c>
      <c r="AG232" s="93">
        <f t="shared" si="137"/>
        <v>0</v>
      </c>
      <c r="AH232" s="93">
        <f t="shared" si="138"/>
        <v>0</v>
      </c>
      <c r="AI232" s="93">
        <f t="shared" si="139"/>
        <v>0</v>
      </c>
      <c r="AJ232" s="93">
        <f t="shared" si="140"/>
        <v>0</v>
      </c>
      <c r="AK232" s="93">
        <f t="shared" si="141"/>
        <v>0</v>
      </c>
      <c r="AL232" s="93">
        <f t="shared" si="142"/>
        <v>0</v>
      </c>
      <c r="AM232" s="92">
        <f t="shared" si="143"/>
        <v>0</v>
      </c>
      <c r="AN232" s="1" t="str">
        <f t="shared" si="120"/>
        <v xml:space="preserve"> </v>
      </c>
      <c r="AO232" s="1" t="str">
        <f t="shared" si="121"/>
        <v xml:space="preserve"> </v>
      </c>
      <c r="AP232" s="1" t="str">
        <f t="shared" si="122"/>
        <v xml:space="preserve"> </v>
      </c>
      <c r="AQ232" s="1" t="str">
        <f t="shared" si="152"/>
        <v xml:space="preserve"> </v>
      </c>
      <c r="AR232" s="1" t="str">
        <f t="shared" si="124"/>
        <v xml:space="preserve"> </v>
      </c>
      <c r="AS232" s="1" t="str">
        <f t="shared" si="125"/>
        <v xml:space="preserve"> </v>
      </c>
      <c r="AT232" s="1" t="str">
        <f t="shared" si="126"/>
        <v xml:space="preserve"> </v>
      </c>
      <c r="AU232" s="103" t="str">
        <f t="shared" si="127"/>
        <v xml:space="preserve"> </v>
      </c>
      <c r="AV232" s="111">
        <f t="shared" si="144"/>
        <v>0</v>
      </c>
      <c r="AW232" s="75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6"/>
      <c r="DM232" s="111">
        <f t="shared" si="145"/>
        <v>0</v>
      </c>
      <c r="DN232" s="75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6"/>
      <c r="GD232" s="111">
        <f t="shared" si="146"/>
        <v>0</v>
      </c>
      <c r="GE232" s="75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6"/>
      <c r="IU232" s="111">
        <f t="shared" si="147"/>
        <v>0</v>
      </c>
      <c r="IV232" s="75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6"/>
      <c r="LL232" s="111">
        <f t="shared" si="148"/>
        <v>0</v>
      </c>
      <c r="LM232" s="75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6"/>
      <c r="OC232" s="111">
        <f t="shared" si="149"/>
        <v>0</v>
      </c>
      <c r="OD232" s="75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6"/>
      <c r="QT232" s="111">
        <f t="shared" si="150"/>
        <v>0</v>
      </c>
      <c r="QU232" s="75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6"/>
      <c r="TK232" s="111">
        <f t="shared" si="151"/>
        <v>0</v>
      </c>
      <c r="TL232" s="75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6"/>
    </row>
    <row r="233" spans="1:599" ht="14.25" customHeight="1" x14ac:dyDescent="0.3">
      <c r="A233" s="41"/>
      <c r="B233" s="39"/>
      <c r="C233" s="40"/>
      <c r="D233" s="40"/>
      <c r="E233" s="81"/>
      <c r="F233" s="81"/>
      <c r="G233" s="81"/>
      <c r="H233" s="81"/>
      <c r="I233" s="81"/>
      <c r="J233" s="81"/>
      <c r="K233" s="81"/>
      <c r="L233" s="81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89" t="str">
        <f t="shared" si="129"/>
        <v/>
      </c>
      <c r="Z233" s="89" t="str">
        <f t="shared" si="130"/>
        <v/>
      </c>
      <c r="AA233" s="89">
        <f t="shared" si="131"/>
        <v>0</v>
      </c>
      <c r="AB233" s="89">
        <f t="shared" si="132"/>
        <v>0</v>
      </c>
      <c r="AC233" s="90">
        <f t="shared" si="133"/>
        <v>0</v>
      </c>
      <c r="AD233" s="91">
        <f t="shared" si="134"/>
        <v>0</v>
      </c>
      <c r="AE233" s="93">
        <f t="shared" si="135"/>
        <v>0</v>
      </c>
      <c r="AF233" s="93">
        <f t="shared" si="136"/>
        <v>0</v>
      </c>
      <c r="AG233" s="93">
        <f t="shared" si="137"/>
        <v>0</v>
      </c>
      <c r="AH233" s="93">
        <f t="shared" si="138"/>
        <v>0</v>
      </c>
      <c r="AI233" s="93">
        <f t="shared" si="139"/>
        <v>0</v>
      </c>
      <c r="AJ233" s="93">
        <f t="shared" si="140"/>
        <v>0</v>
      </c>
      <c r="AK233" s="93">
        <f t="shared" si="141"/>
        <v>0</v>
      </c>
      <c r="AL233" s="93">
        <f t="shared" si="142"/>
        <v>0</v>
      </c>
      <c r="AM233" s="92">
        <f t="shared" si="143"/>
        <v>0</v>
      </c>
      <c r="AN233" s="1" t="str">
        <f t="shared" si="120"/>
        <v xml:space="preserve"> </v>
      </c>
      <c r="AO233" s="1" t="str">
        <f t="shared" si="121"/>
        <v xml:space="preserve"> </v>
      </c>
      <c r="AP233" s="1" t="str">
        <f t="shared" si="122"/>
        <v xml:space="preserve"> </v>
      </c>
      <c r="AQ233" s="1" t="str">
        <f t="shared" si="152"/>
        <v xml:space="preserve"> </v>
      </c>
      <c r="AR233" s="1" t="str">
        <f t="shared" si="124"/>
        <v xml:space="preserve"> </v>
      </c>
      <c r="AS233" s="1" t="str">
        <f t="shared" si="125"/>
        <v xml:space="preserve"> </v>
      </c>
      <c r="AT233" s="1" t="str">
        <f t="shared" si="126"/>
        <v xml:space="preserve"> </v>
      </c>
      <c r="AU233" s="103" t="str">
        <f t="shared" si="127"/>
        <v xml:space="preserve"> </v>
      </c>
      <c r="AV233" s="111">
        <f t="shared" si="144"/>
        <v>0</v>
      </c>
      <c r="AW233" s="4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6"/>
      <c r="DM233" s="111">
        <f t="shared" si="145"/>
        <v>0</v>
      </c>
      <c r="DN233" s="4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6"/>
      <c r="GD233" s="111">
        <f t="shared" si="146"/>
        <v>0</v>
      </c>
      <c r="GE233" s="4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6"/>
      <c r="IU233" s="111">
        <f t="shared" si="147"/>
        <v>0</v>
      </c>
      <c r="IV233" s="4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6"/>
      <c r="LL233" s="111">
        <f t="shared" si="148"/>
        <v>0</v>
      </c>
      <c r="LM233" s="4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6"/>
      <c r="OC233" s="111">
        <f t="shared" si="149"/>
        <v>0</v>
      </c>
      <c r="OD233" s="4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6"/>
      <c r="QT233" s="111">
        <f t="shared" si="150"/>
        <v>0</v>
      </c>
      <c r="QU233" s="4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6"/>
      <c r="TK233" s="111">
        <f t="shared" si="151"/>
        <v>0</v>
      </c>
      <c r="TL233" s="4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6"/>
    </row>
    <row r="234" spans="1:599" ht="14.25" customHeight="1" x14ac:dyDescent="0.3">
      <c r="A234" s="41"/>
      <c r="B234" s="39"/>
      <c r="C234" s="40"/>
      <c r="D234" s="40"/>
      <c r="E234" s="81"/>
      <c r="F234" s="81"/>
      <c r="G234" s="81"/>
      <c r="H234" s="81"/>
      <c r="I234" s="81"/>
      <c r="J234" s="81"/>
      <c r="K234" s="81"/>
      <c r="L234" s="81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89" t="str">
        <f t="shared" si="129"/>
        <v/>
      </c>
      <c r="Z234" s="89" t="str">
        <f t="shared" si="130"/>
        <v/>
      </c>
      <c r="AA234" s="89">
        <f t="shared" si="131"/>
        <v>0</v>
      </c>
      <c r="AB234" s="89">
        <f t="shared" si="132"/>
        <v>0</v>
      </c>
      <c r="AC234" s="90">
        <f t="shared" si="133"/>
        <v>0</v>
      </c>
      <c r="AD234" s="91">
        <f t="shared" si="134"/>
        <v>0</v>
      </c>
      <c r="AE234" s="93">
        <f t="shared" si="135"/>
        <v>0</v>
      </c>
      <c r="AF234" s="93">
        <f t="shared" si="136"/>
        <v>0</v>
      </c>
      <c r="AG234" s="93">
        <f t="shared" si="137"/>
        <v>0</v>
      </c>
      <c r="AH234" s="93">
        <f t="shared" si="138"/>
        <v>0</v>
      </c>
      <c r="AI234" s="93">
        <f t="shared" si="139"/>
        <v>0</v>
      </c>
      <c r="AJ234" s="93">
        <f t="shared" si="140"/>
        <v>0</v>
      </c>
      <c r="AK234" s="93">
        <f t="shared" si="141"/>
        <v>0</v>
      </c>
      <c r="AL234" s="93">
        <f t="shared" si="142"/>
        <v>0</v>
      </c>
      <c r="AM234" s="92">
        <f t="shared" si="143"/>
        <v>0</v>
      </c>
      <c r="AN234" s="1" t="str">
        <f t="shared" si="120"/>
        <v xml:space="preserve"> </v>
      </c>
      <c r="AO234" s="1" t="str">
        <f t="shared" si="121"/>
        <v xml:space="preserve"> </v>
      </c>
      <c r="AP234" s="1" t="str">
        <f t="shared" si="122"/>
        <v xml:space="preserve"> </v>
      </c>
      <c r="AQ234" s="1" t="str">
        <f t="shared" si="152"/>
        <v xml:space="preserve"> </v>
      </c>
      <c r="AR234" s="1" t="str">
        <f t="shared" si="124"/>
        <v xml:space="preserve"> </v>
      </c>
      <c r="AS234" s="1" t="str">
        <f t="shared" si="125"/>
        <v xml:space="preserve"> </v>
      </c>
      <c r="AT234" s="1" t="str">
        <f t="shared" si="126"/>
        <v xml:space="preserve"> </v>
      </c>
      <c r="AU234" s="103" t="str">
        <f t="shared" si="127"/>
        <v xml:space="preserve"> </v>
      </c>
      <c r="AV234" s="111">
        <f t="shared" si="144"/>
        <v>0</v>
      </c>
      <c r="AW234" s="4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6"/>
      <c r="DM234" s="111">
        <f t="shared" si="145"/>
        <v>0</v>
      </c>
      <c r="DN234" s="4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6"/>
      <c r="GD234" s="111">
        <f t="shared" si="146"/>
        <v>0</v>
      </c>
      <c r="GE234" s="4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6"/>
      <c r="IU234" s="111">
        <f t="shared" si="147"/>
        <v>0</v>
      </c>
      <c r="IV234" s="4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6"/>
      <c r="LL234" s="111">
        <f t="shared" si="148"/>
        <v>0</v>
      </c>
      <c r="LM234" s="4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6"/>
      <c r="OC234" s="111">
        <f t="shared" si="149"/>
        <v>0</v>
      </c>
      <c r="OD234" s="4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6"/>
      <c r="QT234" s="111">
        <f t="shared" si="150"/>
        <v>0</v>
      </c>
      <c r="QU234" s="4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6"/>
      <c r="TK234" s="111">
        <f t="shared" si="151"/>
        <v>0</v>
      </c>
      <c r="TL234" s="4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6"/>
    </row>
    <row r="235" spans="1:599" ht="14.25" customHeight="1" x14ac:dyDescent="0.3">
      <c r="A235" s="41"/>
      <c r="B235" s="39"/>
      <c r="C235" s="40"/>
      <c r="D235" s="40"/>
      <c r="E235" s="81"/>
      <c r="F235" s="81"/>
      <c r="G235" s="81"/>
      <c r="H235" s="81"/>
      <c r="I235" s="81"/>
      <c r="J235" s="81"/>
      <c r="K235" s="81"/>
      <c r="L235" s="81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89" t="str">
        <f t="shared" si="129"/>
        <v/>
      </c>
      <c r="Z235" s="89" t="str">
        <f t="shared" si="130"/>
        <v/>
      </c>
      <c r="AA235" s="89">
        <f t="shared" si="131"/>
        <v>0</v>
      </c>
      <c r="AB235" s="89">
        <f t="shared" si="132"/>
        <v>0</v>
      </c>
      <c r="AC235" s="90">
        <f t="shared" si="133"/>
        <v>0</v>
      </c>
      <c r="AD235" s="91">
        <f t="shared" si="134"/>
        <v>0</v>
      </c>
      <c r="AE235" s="93">
        <f t="shared" si="135"/>
        <v>0</v>
      </c>
      <c r="AF235" s="93">
        <f t="shared" si="136"/>
        <v>0</v>
      </c>
      <c r="AG235" s="93">
        <f t="shared" si="137"/>
        <v>0</v>
      </c>
      <c r="AH235" s="93">
        <f t="shared" si="138"/>
        <v>0</v>
      </c>
      <c r="AI235" s="93">
        <f t="shared" si="139"/>
        <v>0</v>
      </c>
      <c r="AJ235" s="93">
        <f t="shared" si="140"/>
        <v>0</v>
      </c>
      <c r="AK235" s="93">
        <f t="shared" si="141"/>
        <v>0</v>
      </c>
      <c r="AL235" s="93">
        <f t="shared" si="142"/>
        <v>0</v>
      </c>
      <c r="AM235" s="92">
        <f t="shared" si="143"/>
        <v>0</v>
      </c>
      <c r="AN235" s="1" t="str">
        <f t="shared" si="120"/>
        <v xml:space="preserve"> </v>
      </c>
      <c r="AO235" s="1" t="str">
        <f t="shared" si="121"/>
        <v xml:space="preserve"> </v>
      </c>
      <c r="AP235" s="1" t="str">
        <f t="shared" si="122"/>
        <v xml:space="preserve"> </v>
      </c>
      <c r="AQ235" s="1" t="str">
        <f t="shared" si="152"/>
        <v xml:space="preserve"> </v>
      </c>
      <c r="AR235" s="1" t="str">
        <f t="shared" si="124"/>
        <v xml:space="preserve"> </v>
      </c>
      <c r="AS235" s="1" t="str">
        <f t="shared" si="125"/>
        <v xml:space="preserve"> </v>
      </c>
      <c r="AT235" s="1" t="str">
        <f t="shared" si="126"/>
        <v xml:space="preserve"> </v>
      </c>
      <c r="AU235" s="103" t="str">
        <f t="shared" si="127"/>
        <v xml:space="preserve"> </v>
      </c>
      <c r="AV235" s="111">
        <f t="shared" si="144"/>
        <v>0</v>
      </c>
      <c r="AW235" s="4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6"/>
      <c r="DM235" s="111">
        <f t="shared" si="145"/>
        <v>0</v>
      </c>
      <c r="DN235" s="4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6"/>
      <c r="GD235" s="111">
        <f t="shared" si="146"/>
        <v>0</v>
      </c>
      <c r="GE235" s="4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6"/>
      <c r="IU235" s="111">
        <f t="shared" si="147"/>
        <v>0</v>
      </c>
      <c r="IV235" s="4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6"/>
      <c r="LL235" s="111">
        <f t="shared" si="148"/>
        <v>0</v>
      </c>
      <c r="LM235" s="4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6"/>
      <c r="OC235" s="111">
        <f t="shared" si="149"/>
        <v>0</v>
      </c>
      <c r="OD235" s="4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6"/>
      <c r="QT235" s="111">
        <f t="shared" si="150"/>
        <v>0</v>
      </c>
      <c r="QU235" s="4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6"/>
      <c r="TK235" s="111">
        <f t="shared" si="151"/>
        <v>0</v>
      </c>
      <c r="TL235" s="4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6"/>
    </row>
    <row r="236" spans="1:599" ht="14.25" customHeight="1" x14ac:dyDescent="0.3">
      <c r="A236" s="41"/>
      <c r="B236" s="39"/>
      <c r="C236" s="40"/>
      <c r="D236" s="40"/>
      <c r="E236" s="81"/>
      <c r="F236" s="81"/>
      <c r="G236" s="81"/>
      <c r="H236" s="81"/>
      <c r="I236" s="81"/>
      <c r="J236" s="81"/>
      <c r="K236" s="81"/>
      <c r="L236" s="81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89" t="str">
        <f t="shared" si="129"/>
        <v/>
      </c>
      <c r="Z236" s="89" t="str">
        <f t="shared" si="130"/>
        <v/>
      </c>
      <c r="AA236" s="89">
        <f t="shared" si="131"/>
        <v>0</v>
      </c>
      <c r="AB236" s="89">
        <f t="shared" si="132"/>
        <v>0</v>
      </c>
      <c r="AC236" s="90">
        <f t="shared" si="133"/>
        <v>0</v>
      </c>
      <c r="AD236" s="91">
        <f t="shared" si="134"/>
        <v>0</v>
      </c>
      <c r="AE236" s="93">
        <f t="shared" si="135"/>
        <v>0</v>
      </c>
      <c r="AF236" s="93">
        <f t="shared" si="136"/>
        <v>0</v>
      </c>
      <c r="AG236" s="93">
        <f t="shared" si="137"/>
        <v>0</v>
      </c>
      <c r="AH236" s="93">
        <f t="shared" si="138"/>
        <v>0</v>
      </c>
      <c r="AI236" s="93">
        <f t="shared" si="139"/>
        <v>0</v>
      </c>
      <c r="AJ236" s="93">
        <f t="shared" si="140"/>
        <v>0</v>
      </c>
      <c r="AK236" s="93">
        <f t="shared" si="141"/>
        <v>0</v>
      </c>
      <c r="AL236" s="93">
        <f t="shared" si="142"/>
        <v>0</v>
      </c>
      <c r="AM236" s="92">
        <f t="shared" si="143"/>
        <v>0</v>
      </c>
      <c r="AN236" s="1" t="str">
        <f t="shared" si="120"/>
        <v xml:space="preserve"> </v>
      </c>
      <c r="AO236" s="1" t="str">
        <f t="shared" si="121"/>
        <v xml:space="preserve"> </v>
      </c>
      <c r="AP236" s="1" t="str">
        <f t="shared" si="122"/>
        <v xml:space="preserve"> </v>
      </c>
      <c r="AQ236" s="1" t="str">
        <f t="shared" si="152"/>
        <v xml:space="preserve"> </v>
      </c>
      <c r="AR236" s="1" t="str">
        <f t="shared" si="124"/>
        <v xml:space="preserve"> </v>
      </c>
      <c r="AS236" s="1" t="str">
        <f t="shared" si="125"/>
        <v xml:space="preserve"> </v>
      </c>
      <c r="AT236" s="1" t="str">
        <f t="shared" si="126"/>
        <v xml:space="preserve"> </v>
      </c>
      <c r="AU236" s="103" t="str">
        <f t="shared" si="127"/>
        <v xml:space="preserve"> </v>
      </c>
      <c r="AV236" s="111">
        <f t="shared" si="144"/>
        <v>0</v>
      </c>
      <c r="AW236" s="4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6"/>
      <c r="DM236" s="111">
        <f t="shared" si="145"/>
        <v>0</v>
      </c>
      <c r="DN236" s="4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6"/>
      <c r="GD236" s="111">
        <f t="shared" si="146"/>
        <v>0</v>
      </c>
      <c r="GE236" s="4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6"/>
      <c r="IU236" s="111">
        <f t="shared" si="147"/>
        <v>0</v>
      </c>
      <c r="IV236" s="4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6"/>
      <c r="LL236" s="111">
        <f t="shared" si="148"/>
        <v>0</v>
      </c>
      <c r="LM236" s="4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6"/>
      <c r="OC236" s="111">
        <f t="shared" si="149"/>
        <v>0</v>
      </c>
      <c r="OD236" s="4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6"/>
      <c r="QT236" s="111">
        <f t="shared" si="150"/>
        <v>0</v>
      </c>
      <c r="QU236" s="4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6"/>
      <c r="TK236" s="111">
        <f t="shared" si="151"/>
        <v>0</v>
      </c>
      <c r="TL236" s="4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6"/>
    </row>
    <row r="237" spans="1:599" ht="14.25" customHeight="1" x14ac:dyDescent="0.3">
      <c r="A237" s="41"/>
      <c r="B237" s="39"/>
      <c r="C237" s="40"/>
      <c r="D237" s="40"/>
      <c r="E237" s="81"/>
      <c r="F237" s="81"/>
      <c r="G237" s="81"/>
      <c r="H237" s="81"/>
      <c r="I237" s="81"/>
      <c r="J237" s="81"/>
      <c r="K237" s="81"/>
      <c r="L237" s="81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89" t="str">
        <f t="shared" si="129"/>
        <v/>
      </c>
      <c r="Z237" s="89" t="str">
        <f t="shared" si="130"/>
        <v/>
      </c>
      <c r="AA237" s="89">
        <f t="shared" si="131"/>
        <v>0</v>
      </c>
      <c r="AB237" s="89">
        <f t="shared" si="132"/>
        <v>0</v>
      </c>
      <c r="AC237" s="90">
        <f t="shared" si="133"/>
        <v>0</v>
      </c>
      <c r="AD237" s="91">
        <f t="shared" si="134"/>
        <v>0</v>
      </c>
      <c r="AE237" s="93">
        <f t="shared" si="135"/>
        <v>0</v>
      </c>
      <c r="AF237" s="93">
        <f t="shared" si="136"/>
        <v>0</v>
      </c>
      <c r="AG237" s="93">
        <f t="shared" si="137"/>
        <v>0</v>
      </c>
      <c r="AH237" s="93">
        <f t="shared" si="138"/>
        <v>0</v>
      </c>
      <c r="AI237" s="93">
        <f t="shared" si="139"/>
        <v>0</v>
      </c>
      <c r="AJ237" s="93">
        <f t="shared" si="140"/>
        <v>0</v>
      </c>
      <c r="AK237" s="93">
        <f t="shared" si="141"/>
        <v>0</v>
      </c>
      <c r="AL237" s="93">
        <f t="shared" si="142"/>
        <v>0</v>
      </c>
      <c r="AM237" s="92">
        <f t="shared" si="143"/>
        <v>0</v>
      </c>
      <c r="AN237" s="1" t="str">
        <f t="shared" si="120"/>
        <v xml:space="preserve"> </v>
      </c>
      <c r="AO237" s="1" t="str">
        <f t="shared" si="121"/>
        <v xml:space="preserve"> </v>
      </c>
      <c r="AP237" s="1" t="str">
        <f t="shared" si="122"/>
        <v xml:space="preserve"> </v>
      </c>
      <c r="AQ237" s="1" t="str">
        <f t="shared" si="152"/>
        <v xml:space="preserve"> </v>
      </c>
      <c r="AR237" s="1" t="str">
        <f t="shared" si="124"/>
        <v xml:space="preserve"> </v>
      </c>
      <c r="AS237" s="1" t="str">
        <f t="shared" si="125"/>
        <v xml:space="preserve"> </v>
      </c>
      <c r="AT237" s="1" t="str">
        <f t="shared" si="126"/>
        <v xml:space="preserve"> </v>
      </c>
      <c r="AU237" s="103" t="str">
        <f t="shared" si="127"/>
        <v xml:space="preserve"> </v>
      </c>
      <c r="AV237" s="111">
        <f t="shared" si="144"/>
        <v>0</v>
      </c>
      <c r="AW237" s="4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6"/>
      <c r="DM237" s="111">
        <f t="shared" si="145"/>
        <v>0</v>
      </c>
      <c r="DN237" s="4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6"/>
      <c r="GD237" s="111">
        <f t="shared" si="146"/>
        <v>0</v>
      </c>
      <c r="GE237" s="4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6"/>
      <c r="IU237" s="111">
        <f t="shared" si="147"/>
        <v>0</v>
      </c>
      <c r="IV237" s="4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6"/>
      <c r="LL237" s="111">
        <f t="shared" si="148"/>
        <v>0</v>
      </c>
      <c r="LM237" s="4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6"/>
      <c r="OC237" s="111">
        <f t="shared" si="149"/>
        <v>0</v>
      </c>
      <c r="OD237" s="4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6"/>
      <c r="QT237" s="111">
        <f t="shared" si="150"/>
        <v>0</v>
      </c>
      <c r="QU237" s="4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6"/>
      <c r="TK237" s="111">
        <f t="shared" si="151"/>
        <v>0</v>
      </c>
      <c r="TL237" s="4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6"/>
    </row>
    <row r="238" spans="1:599" ht="14.25" customHeight="1" x14ac:dyDescent="0.3">
      <c r="A238" s="41"/>
      <c r="B238" s="39"/>
      <c r="C238" s="40"/>
      <c r="D238" s="40"/>
      <c r="E238" s="81"/>
      <c r="F238" s="81"/>
      <c r="G238" s="81"/>
      <c r="H238" s="81"/>
      <c r="I238" s="81"/>
      <c r="J238" s="81"/>
      <c r="K238" s="81"/>
      <c r="L238" s="81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89" t="str">
        <f t="shared" si="129"/>
        <v/>
      </c>
      <c r="Z238" s="89" t="str">
        <f t="shared" si="130"/>
        <v/>
      </c>
      <c r="AA238" s="89">
        <f t="shared" si="131"/>
        <v>0</v>
      </c>
      <c r="AB238" s="89">
        <f t="shared" si="132"/>
        <v>0</v>
      </c>
      <c r="AC238" s="90">
        <f t="shared" si="133"/>
        <v>0</v>
      </c>
      <c r="AD238" s="91">
        <f t="shared" si="134"/>
        <v>0</v>
      </c>
      <c r="AE238" s="93">
        <f t="shared" si="135"/>
        <v>0</v>
      </c>
      <c r="AF238" s="93">
        <f t="shared" si="136"/>
        <v>0</v>
      </c>
      <c r="AG238" s="93">
        <f t="shared" si="137"/>
        <v>0</v>
      </c>
      <c r="AH238" s="93">
        <f t="shared" si="138"/>
        <v>0</v>
      </c>
      <c r="AI238" s="93">
        <f t="shared" si="139"/>
        <v>0</v>
      </c>
      <c r="AJ238" s="93">
        <f t="shared" si="140"/>
        <v>0</v>
      </c>
      <c r="AK238" s="93">
        <f t="shared" si="141"/>
        <v>0</v>
      </c>
      <c r="AL238" s="93">
        <f t="shared" si="142"/>
        <v>0</v>
      </c>
      <c r="AM238" s="92">
        <f t="shared" si="143"/>
        <v>0</v>
      </c>
      <c r="AN238" s="1" t="str">
        <f t="shared" si="120"/>
        <v xml:space="preserve"> </v>
      </c>
      <c r="AO238" s="1" t="str">
        <f t="shared" si="121"/>
        <v xml:space="preserve"> </v>
      </c>
      <c r="AP238" s="1" t="str">
        <f t="shared" si="122"/>
        <v xml:space="preserve"> </v>
      </c>
      <c r="AQ238" s="1" t="str">
        <f t="shared" si="152"/>
        <v xml:space="preserve"> </v>
      </c>
      <c r="AR238" s="1" t="str">
        <f t="shared" si="124"/>
        <v xml:space="preserve"> </v>
      </c>
      <c r="AS238" s="1" t="str">
        <f t="shared" si="125"/>
        <v xml:space="preserve"> </v>
      </c>
      <c r="AT238" s="1" t="str">
        <f t="shared" si="126"/>
        <v xml:space="preserve"> </v>
      </c>
      <c r="AU238" s="103" t="str">
        <f t="shared" si="127"/>
        <v xml:space="preserve"> </v>
      </c>
      <c r="AV238" s="111">
        <f t="shared" si="144"/>
        <v>0</v>
      </c>
      <c r="AW238" s="4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6"/>
      <c r="DM238" s="111">
        <f t="shared" si="145"/>
        <v>0</v>
      </c>
      <c r="DN238" s="4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6"/>
      <c r="GD238" s="111">
        <f t="shared" si="146"/>
        <v>0</v>
      </c>
      <c r="GE238" s="4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6"/>
      <c r="IU238" s="111">
        <f t="shared" si="147"/>
        <v>0</v>
      </c>
      <c r="IV238" s="4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6"/>
      <c r="LL238" s="111">
        <f t="shared" si="148"/>
        <v>0</v>
      </c>
      <c r="LM238" s="4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6"/>
      <c r="OC238" s="111">
        <f t="shared" si="149"/>
        <v>0</v>
      </c>
      <c r="OD238" s="4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6"/>
      <c r="QT238" s="111">
        <f t="shared" si="150"/>
        <v>0</v>
      </c>
      <c r="QU238" s="4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6"/>
      <c r="TK238" s="111">
        <f t="shared" si="151"/>
        <v>0</v>
      </c>
      <c r="TL238" s="4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6"/>
    </row>
    <row r="239" spans="1:599" ht="14.25" customHeight="1" x14ac:dyDescent="0.3">
      <c r="A239" s="41"/>
      <c r="B239" s="39"/>
      <c r="C239" s="40"/>
      <c r="D239" s="40"/>
      <c r="E239" s="81"/>
      <c r="F239" s="81"/>
      <c r="G239" s="81"/>
      <c r="H239" s="81"/>
      <c r="I239" s="81"/>
      <c r="J239" s="81"/>
      <c r="K239" s="81"/>
      <c r="L239" s="81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89" t="str">
        <f t="shared" si="129"/>
        <v/>
      </c>
      <c r="Z239" s="89" t="str">
        <f t="shared" si="130"/>
        <v/>
      </c>
      <c r="AA239" s="89">
        <f t="shared" si="131"/>
        <v>0</v>
      </c>
      <c r="AB239" s="89">
        <f t="shared" si="132"/>
        <v>0</v>
      </c>
      <c r="AC239" s="90">
        <f t="shared" si="133"/>
        <v>0</v>
      </c>
      <c r="AD239" s="91">
        <f t="shared" si="134"/>
        <v>0</v>
      </c>
      <c r="AE239" s="93">
        <f t="shared" si="135"/>
        <v>0</v>
      </c>
      <c r="AF239" s="93">
        <f t="shared" si="136"/>
        <v>0</v>
      </c>
      <c r="AG239" s="93">
        <f t="shared" si="137"/>
        <v>0</v>
      </c>
      <c r="AH239" s="93">
        <f t="shared" si="138"/>
        <v>0</v>
      </c>
      <c r="AI239" s="93">
        <f t="shared" si="139"/>
        <v>0</v>
      </c>
      <c r="AJ239" s="93">
        <f t="shared" si="140"/>
        <v>0</v>
      </c>
      <c r="AK239" s="93">
        <f t="shared" si="141"/>
        <v>0</v>
      </c>
      <c r="AL239" s="93">
        <f t="shared" si="142"/>
        <v>0</v>
      </c>
      <c r="AM239" s="92">
        <f t="shared" si="143"/>
        <v>0</v>
      </c>
      <c r="AN239" s="1" t="str">
        <f t="shared" si="120"/>
        <v xml:space="preserve"> </v>
      </c>
      <c r="AO239" s="1" t="str">
        <f t="shared" si="121"/>
        <v xml:space="preserve"> </v>
      </c>
      <c r="AP239" s="1" t="str">
        <f t="shared" si="122"/>
        <v xml:space="preserve"> </v>
      </c>
      <c r="AQ239" s="1" t="str">
        <f t="shared" si="152"/>
        <v xml:space="preserve"> </v>
      </c>
      <c r="AR239" s="1" t="str">
        <f t="shared" si="124"/>
        <v xml:space="preserve"> </v>
      </c>
      <c r="AS239" s="1" t="str">
        <f t="shared" si="125"/>
        <v xml:space="preserve"> </v>
      </c>
      <c r="AT239" s="1" t="str">
        <f t="shared" si="126"/>
        <v xml:space="preserve"> </v>
      </c>
      <c r="AU239" s="103" t="str">
        <f t="shared" si="127"/>
        <v xml:space="preserve"> </v>
      </c>
      <c r="AV239" s="111">
        <f t="shared" si="144"/>
        <v>0</v>
      </c>
      <c r="AW239" s="4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6"/>
      <c r="DM239" s="111">
        <f t="shared" si="145"/>
        <v>0</v>
      </c>
      <c r="DN239" s="4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6"/>
      <c r="GD239" s="111">
        <f t="shared" si="146"/>
        <v>0</v>
      </c>
      <c r="GE239" s="4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6"/>
      <c r="IU239" s="111">
        <f t="shared" si="147"/>
        <v>0</v>
      </c>
      <c r="IV239" s="4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6"/>
      <c r="LL239" s="111">
        <f t="shared" si="148"/>
        <v>0</v>
      </c>
      <c r="LM239" s="4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6"/>
      <c r="OC239" s="111">
        <f t="shared" si="149"/>
        <v>0</v>
      </c>
      <c r="OD239" s="4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6"/>
      <c r="QT239" s="111">
        <f t="shared" si="150"/>
        <v>0</v>
      </c>
      <c r="QU239" s="4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6"/>
      <c r="TK239" s="111">
        <f t="shared" si="151"/>
        <v>0</v>
      </c>
      <c r="TL239" s="4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6"/>
    </row>
    <row r="240" spans="1:599" ht="14.25" customHeight="1" x14ac:dyDescent="0.3">
      <c r="A240" s="41"/>
      <c r="B240" s="39"/>
      <c r="C240" s="40"/>
      <c r="D240" s="40"/>
      <c r="E240" s="81"/>
      <c r="F240" s="81"/>
      <c r="G240" s="81"/>
      <c r="H240" s="81"/>
      <c r="I240" s="81"/>
      <c r="J240" s="81"/>
      <c r="K240" s="81"/>
      <c r="L240" s="81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89" t="str">
        <f t="shared" si="129"/>
        <v/>
      </c>
      <c r="Z240" s="89" t="str">
        <f t="shared" si="130"/>
        <v/>
      </c>
      <c r="AA240" s="89">
        <f t="shared" si="131"/>
        <v>0</v>
      </c>
      <c r="AB240" s="89">
        <f t="shared" si="132"/>
        <v>0</v>
      </c>
      <c r="AC240" s="90">
        <f t="shared" si="133"/>
        <v>0</v>
      </c>
      <c r="AD240" s="91">
        <f t="shared" si="134"/>
        <v>0</v>
      </c>
      <c r="AE240" s="93">
        <f t="shared" si="135"/>
        <v>0</v>
      </c>
      <c r="AF240" s="93">
        <f t="shared" si="136"/>
        <v>0</v>
      </c>
      <c r="AG240" s="93">
        <f t="shared" si="137"/>
        <v>0</v>
      </c>
      <c r="AH240" s="93">
        <f t="shared" si="138"/>
        <v>0</v>
      </c>
      <c r="AI240" s="93">
        <f t="shared" si="139"/>
        <v>0</v>
      </c>
      <c r="AJ240" s="93">
        <f t="shared" si="140"/>
        <v>0</v>
      </c>
      <c r="AK240" s="93">
        <f t="shared" si="141"/>
        <v>0</v>
      </c>
      <c r="AL240" s="93">
        <f t="shared" si="142"/>
        <v>0</v>
      </c>
      <c r="AM240" s="92">
        <f t="shared" si="143"/>
        <v>0</v>
      </c>
      <c r="AN240" s="1" t="str">
        <f t="shared" si="120"/>
        <v xml:space="preserve"> </v>
      </c>
      <c r="AO240" s="1" t="str">
        <f t="shared" si="121"/>
        <v xml:space="preserve"> </v>
      </c>
      <c r="AP240" s="1" t="str">
        <f t="shared" si="122"/>
        <v xml:space="preserve"> </v>
      </c>
      <c r="AQ240" s="1" t="str">
        <f t="shared" ref="AQ240:AQ277" si="153">IF(H240&gt;0,H240*$AC240*$AB240/1000," ")</f>
        <v xml:space="preserve"> </v>
      </c>
      <c r="AR240" s="1" t="str">
        <f t="shared" si="124"/>
        <v xml:space="preserve"> </v>
      </c>
      <c r="AS240" s="1" t="str">
        <f t="shared" si="125"/>
        <v xml:space="preserve"> </v>
      </c>
      <c r="AT240" s="1" t="str">
        <f t="shared" si="126"/>
        <v xml:space="preserve"> </v>
      </c>
      <c r="AU240" s="103" t="str">
        <f t="shared" si="127"/>
        <v xml:space="preserve"> </v>
      </c>
      <c r="AV240" s="111">
        <f t="shared" si="144"/>
        <v>0</v>
      </c>
      <c r="AW240" s="4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6"/>
      <c r="DM240" s="111">
        <f t="shared" si="145"/>
        <v>0</v>
      </c>
      <c r="DN240" s="4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6"/>
      <c r="GD240" s="111">
        <f t="shared" si="146"/>
        <v>0</v>
      </c>
      <c r="GE240" s="4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6"/>
      <c r="IU240" s="111">
        <f t="shared" si="147"/>
        <v>0</v>
      </c>
      <c r="IV240" s="4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6"/>
      <c r="LL240" s="111">
        <f t="shared" si="148"/>
        <v>0</v>
      </c>
      <c r="LM240" s="4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6"/>
      <c r="OC240" s="111">
        <f t="shared" si="149"/>
        <v>0</v>
      </c>
      <c r="OD240" s="4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6"/>
      <c r="QT240" s="111">
        <f t="shared" si="150"/>
        <v>0</v>
      </c>
      <c r="QU240" s="4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6"/>
      <c r="TK240" s="111">
        <f t="shared" si="151"/>
        <v>0</v>
      </c>
      <c r="TL240" s="4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6"/>
    </row>
    <row r="241" spans="1:599" ht="14.25" customHeight="1" x14ac:dyDescent="0.3">
      <c r="A241" s="41"/>
      <c r="B241" s="39"/>
      <c r="C241" s="40"/>
      <c r="D241" s="40"/>
      <c r="E241" s="81"/>
      <c r="F241" s="81"/>
      <c r="G241" s="81"/>
      <c r="H241" s="81"/>
      <c r="I241" s="81"/>
      <c r="J241" s="81"/>
      <c r="K241" s="81"/>
      <c r="L241" s="81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89" t="str">
        <f t="shared" si="129"/>
        <v/>
      </c>
      <c r="Z241" s="89" t="str">
        <f t="shared" si="130"/>
        <v/>
      </c>
      <c r="AA241" s="89">
        <f t="shared" si="131"/>
        <v>0</v>
      </c>
      <c r="AB241" s="89">
        <f t="shared" si="132"/>
        <v>0</v>
      </c>
      <c r="AC241" s="90">
        <f t="shared" si="133"/>
        <v>0</v>
      </c>
      <c r="AD241" s="91">
        <f t="shared" si="134"/>
        <v>0</v>
      </c>
      <c r="AE241" s="93">
        <f t="shared" si="135"/>
        <v>0</v>
      </c>
      <c r="AF241" s="93">
        <f t="shared" si="136"/>
        <v>0</v>
      </c>
      <c r="AG241" s="93">
        <f t="shared" si="137"/>
        <v>0</v>
      </c>
      <c r="AH241" s="93">
        <f t="shared" si="138"/>
        <v>0</v>
      </c>
      <c r="AI241" s="93">
        <f t="shared" si="139"/>
        <v>0</v>
      </c>
      <c r="AJ241" s="93">
        <f t="shared" si="140"/>
        <v>0</v>
      </c>
      <c r="AK241" s="93">
        <f t="shared" si="141"/>
        <v>0</v>
      </c>
      <c r="AL241" s="93">
        <f t="shared" si="142"/>
        <v>0</v>
      </c>
      <c r="AM241" s="92">
        <f t="shared" si="143"/>
        <v>0</v>
      </c>
      <c r="AN241" s="1" t="str">
        <f t="shared" si="120"/>
        <v xml:space="preserve"> </v>
      </c>
      <c r="AO241" s="1" t="str">
        <f t="shared" si="121"/>
        <v xml:space="preserve"> </v>
      </c>
      <c r="AP241" s="1" t="str">
        <f t="shared" si="122"/>
        <v xml:space="preserve"> </v>
      </c>
      <c r="AQ241" s="1" t="str">
        <f t="shared" si="153"/>
        <v xml:space="preserve"> </v>
      </c>
      <c r="AR241" s="1" t="str">
        <f t="shared" si="124"/>
        <v xml:space="preserve"> </v>
      </c>
      <c r="AS241" s="1" t="str">
        <f t="shared" si="125"/>
        <v xml:space="preserve"> </v>
      </c>
      <c r="AT241" s="1" t="str">
        <f t="shared" si="126"/>
        <v xml:space="preserve"> </v>
      </c>
      <c r="AU241" s="103" t="str">
        <f t="shared" si="127"/>
        <v xml:space="preserve"> </v>
      </c>
      <c r="AV241" s="111">
        <f t="shared" si="144"/>
        <v>0</v>
      </c>
      <c r="AW241" s="4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6"/>
      <c r="DM241" s="111">
        <f t="shared" si="145"/>
        <v>0</v>
      </c>
      <c r="DN241" s="4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6"/>
      <c r="GD241" s="111">
        <f t="shared" si="146"/>
        <v>0</v>
      </c>
      <c r="GE241" s="4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6"/>
      <c r="IU241" s="111">
        <f t="shared" si="147"/>
        <v>0</v>
      </c>
      <c r="IV241" s="4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6"/>
      <c r="LL241" s="111">
        <f t="shared" si="148"/>
        <v>0</v>
      </c>
      <c r="LM241" s="4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6"/>
      <c r="OC241" s="111">
        <f t="shared" si="149"/>
        <v>0</v>
      </c>
      <c r="OD241" s="4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6"/>
      <c r="QT241" s="111">
        <f t="shared" si="150"/>
        <v>0</v>
      </c>
      <c r="QU241" s="4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6"/>
      <c r="TK241" s="111">
        <f t="shared" si="151"/>
        <v>0</v>
      </c>
      <c r="TL241" s="4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6"/>
    </row>
    <row r="242" spans="1:599" ht="14.25" customHeight="1" x14ac:dyDescent="0.3">
      <c r="A242" s="41"/>
      <c r="B242" s="39"/>
      <c r="C242" s="40"/>
      <c r="D242" s="40"/>
      <c r="E242" s="81"/>
      <c r="F242" s="81"/>
      <c r="G242" s="81"/>
      <c r="H242" s="81"/>
      <c r="I242" s="81"/>
      <c r="J242" s="81"/>
      <c r="K242" s="81"/>
      <c r="L242" s="81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89" t="str">
        <f t="shared" si="129"/>
        <v/>
      </c>
      <c r="Z242" s="89" t="str">
        <f t="shared" si="130"/>
        <v/>
      </c>
      <c r="AA242" s="89">
        <f t="shared" si="131"/>
        <v>0</v>
      </c>
      <c r="AB242" s="89">
        <f t="shared" si="132"/>
        <v>0</v>
      </c>
      <c r="AC242" s="90">
        <f t="shared" si="133"/>
        <v>0</v>
      </c>
      <c r="AD242" s="91">
        <f t="shared" si="134"/>
        <v>0</v>
      </c>
      <c r="AE242" s="93">
        <f t="shared" si="135"/>
        <v>0</v>
      </c>
      <c r="AF242" s="93">
        <f t="shared" si="136"/>
        <v>0</v>
      </c>
      <c r="AG242" s="93">
        <f t="shared" si="137"/>
        <v>0</v>
      </c>
      <c r="AH242" s="93">
        <f t="shared" si="138"/>
        <v>0</v>
      </c>
      <c r="AI242" s="93">
        <f t="shared" si="139"/>
        <v>0</v>
      </c>
      <c r="AJ242" s="93">
        <f t="shared" si="140"/>
        <v>0</v>
      </c>
      <c r="AK242" s="93">
        <f t="shared" si="141"/>
        <v>0</v>
      </c>
      <c r="AL242" s="93">
        <f t="shared" si="142"/>
        <v>0</v>
      </c>
      <c r="AM242" s="92">
        <f t="shared" si="143"/>
        <v>0</v>
      </c>
      <c r="AN242" s="1" t="str">
        <f t="shared" si="120"/>
        <v xml:space="preserve"> </v>
      </c>
      <c r="AO242" s="1" t="str">
        <f t="shared" si="121"/>
        <v xml:space="preserve"> </v>
      </c>
      <c r="AP242" s="1" t="str">
        <f t="shared" si="122"/>
        <v xml:space="preserve"> </v>
      </c>
      <c r="AQ242" s="1" t="str">
        <f t="shared" si="153"/>
        <v xml:space="preserve"> </v>
      </c>
      <c r="AR242" s="1" t="str">
        <f t="shared" si="124"/>
        <v xml:space="preserve"> </v>
      </c>
      <c r="AS242" s="1" t="str">
        <f t="shared" si="125"/>
        <v xml:space="preserve"> </v>
      </c>
      <c r="AT242" s="1" t="str">
        <f t="shared" si="126"/>
        <v xml:space="preserve"> </v>
      </c>
      <c r="AU242" s="103" t="str">
        <f t="shared" si="127"/>
        <v xml:space="preserve"> </v>
      </c>
      <c r="AV242" s="111">
        <f t="shared" si="144"/>
        <v>0</v>
      </c>
      <c r="AW242" s="4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6"/>
      <c r="DM242" s="111">
        <f t="shared" si="145"/>
        <v>0</v>
      </c>
      <c r="DN242" s="4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6"/>
      <c r="GD242" s="111">
        <f t="shared" si="146"/>
        <v>0</v>
      </c>
      <c r="GE242" s="4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6"/>
      <c r="IU242" s="111">
        <f t="shared" si="147"/>
        <v>0</v>
      </c>
      <c r="IV242" s="4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6"/>
      <c r="LL242" s="111">
        <f t="shared" si="148"/>
        <v>0</v>
      </c>
      <c r="LM242" s="4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6"/>
      <c r="OC242" s="111">
        <f t="shared" si="149"/>
        <v>0</v>
      </c>
      <c r="OD242" s="4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6"/>
      <c r="QT242" s="111">
        <f t="shared" si="150"/>
        <v>0</v>
      </c>
      <c r="QU242" s="4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6"/>
      <c r="TK242" s="111">
        <f t="shared" si="151"/>
        <v>0</v>
      </c>
      <c r="TL242" s="4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6"/>
    </row>
    <row r="243" spans="1:599" ht="14.25" customHeight="1" x14ac:dyDescent="0.3">
      <c r="A243" s="41"/>
      <c r="B243" s="39"/>
      <c r="C243" s="40"/>
      <c r="D243" s="40"/>
      <c r="E243" s="81"/>
      <c r="F243" s="81"/>
      <c r="G243" s="81"/>
      <c r="H243" s="81"/>
      <c r="I243" s="81"/>
      <c r="J243" s="81"/>
      <c r="K243" s="81"/>
      <c r="L243" s="81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89" t="str">
        <f t="shared" si="129"/>
        <v/>
      </c>
      <c r="Z243" s="89" t="str">
        <f t="shared" si="130"/>
        <v/>
      </c>
      <c r="AA243" s="89">
        <f t="shared" si="131"/>
        <v>0</v>
      </c>
      <c r="AB243" s="89">
        <f t="shared" si="132"/>
        <v>0</v>
      </c>
      <c r="AC243" s="90">
        <f t="shared" si="133"/>
        <v>0</v>
      </c>
      <c r="AD243" s="91">
        <f t="shared" si="134"/>
        <v>0</v>
      </c>
      <c r="AE243" s="93">
        <f t="shared" si="135"/>
        <v>0</v>
      </c>
      <c r="AF243" s="93">
        <f t="shared" si="136"/>
        <v>0</v>
      </c>
      <c r="AG243" s="93">
        <f t="shared" si="137"/>
        <v>0</v>
      </c>
      <c r="AH243" s="93">
        <f t="shared" si="138"/>
        <v>0</v>
      </c>
      <c r="AI243" s="93">
        <f t="shared" si="139"/>
        <v>0</v>
      </c>
      <c r="AJ243" s="93">
        <f t="shared" si="140"/>
        <v>0</v>
      </c>
      <c r="AK243" s="93">
        <f t="shared" si="141"/>
        <v>0</v>
      </c>
      <c r="AL243" s="93">
        <f t="shared" si="142"/>
        <v>0</v>
      </c>
      <c r="AM243" s="92">
        <f t="shared" si="143"/>
        <v>0</v>
      </c>
      <c r="AN243" s="1" t="str">
        <f t="shared" si="120"/>
        <v xml:space="preserve"> </v>
      </c>
      <c r="AO243" s="1" t="str">
        <f t="shared" si="121"/>
        <v xml:space="preserve"> </v>
      </c>
      <c r="AP243" s="1" t="str">
        <f t="shared" si="122"/>
        <v xml:space="preserve"> </v>
      </c>
      <c r="AQ243" s="1" t="str">
        <f t="shared" si="153"/>
        <v xml:space="preserve"> </v>
      </c>
      <c r="AR243" s="1" t="str">
        <f t="shared" si="124"/>
        <v xml:space="preserve"> </v>
      </c>
      <c r="AS243" s="1" t="str">
        <f t="shared" si="125"/>
        <v xml:space="preserve"> </v>
      </c>
      <c r="AT243" s="1" t="str">
        <f t="shared" si="126"/>
        <v xml:space="preserve"> </v>
      </c>
      <c r="AU243" s="103" t="str">
        <f t="shared" si="127"/>
        <v xml:space="preserve"> </v>
      </c>
      <c r="AV243" s="111">
        <f t="shared" si="144"/>
        <v>0</v>
      </c>
      <c r="AW243" s="4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6"/>
      <c r="DM243" s="111">
        <f t="shared" si="145"/>
        <v>0</v>
      </c>
      <c r="DN243" s="4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6"/>
      <c r="GD243" s="111">
        <f t="shared" si="146"/>
        <v>0</v>
      </c>
      <c r="GE243" s="4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6"/>
      <c r="IU243" s="111">
        <f t="shared" si="147"/>
        <v>0</v>
      </c>
      <c r="IV243" s="4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6"/>
      <c r="LL243" s="111">
        <f t="shared" si="148"/>
        <v>0</v>
      </c>
      <c r="LM243" s="4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6"/>
      <c r="OC243" s="111">
        <f t="shared" si="149"/>
        <v>0</v>
      </c>
      <c r="OD243" s="4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6"/>
      <c r="QT243" s="111">
        <f t="shared" si="150"/>
        <v>0</v>
      </c>
      <c r="QU243" s="4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6"/>
      <c r="TK243" s="111">
        <f t="shared" si="151"/>
        <v>0</v>
      </c>
      <c r="TL243" s="4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6"/>
    </row>
    <row r="244" spans="1:599" ht="14.25" customHeight="1" x14ac:dyDescent="0.3">
      <c r="A244" s="41"/>
      <c r="B244" s="39"/>
      <c r="C244" s="40"/>
      <c r="D244" s="40"/>
      <c r="E244" s="81"/>
      <c r="F244" s="81"/>
      <c r="G244" s="81"/>
      <c r="H244" s="81"/>
      <c r="I244" s="81"/>
      <c r="J244" s="81"/>
      <c r="K244" s="81"/>
      <c r="L244" s="81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89" t="str">
        <f t="shared" si="129"/>
        <v/>
      </c>
      <c r="Z244" s="89" t="str">
        <f t="shared" si="130"/>
        <v/>
      </c>
      <c r="AA244" s="89">
        <f t="shared" si="131"/>
        <v>0</v>
      </c>
      <c r="AB244" s="89">
        <f t="shared" si="132"/>
        <v>0</v>
      </c>
      <c r="AC244" s="90">
        <f t="shared" si="133"/>
        <v>0</v>
      </c>
      <c r="AD244" s="91">
        <f t="shared" si="134"/>
        <v>0</v>
      </c>
      <c r="AE244" s="93">
        <f t="shared" si="135"/>
        <v>0</v>
      </c>
      <c r="AF244" s="93">
        <f t="shared" si="136"/>
        <v>0</v>
      </c>
      <c r="AG244" s="93">
        <f t="shared" si="137"/>
        <v>0</v>
      </c>
      <c r="AH244" s="93">
        <f t="shared" si="138"/>
        <v>0</v>
      </c>
      <c r="AI244" s="93">
        <f t="shared" si="139"/>
        <v>0</v>
      </c>
      <c r="AJ244" s="93">
        <f t="shared" si="140"/>
        <v>0</v>
      </c>
      <c r="AK244" s="93">
        <f t="shared" si="141"/>
        <v>0</v>
      </c>
      <c r="AL244" s="93">
        <f t="shared" si="142"/>
        <v>0</v>
      </c>
      <c r="AM244" s="92">
        <f t="shared" si="143"/>
        <v>0</v>
      </c>
      <c r="AN244" s="1" t="str">
        <f t="shared" si="120"/>
        <v xml:space="preserve"> </v>
      </c>
      <c r="AO244" s="1" t="str">
        <f t="shared" si="121"/>
        <v xml:space="preserve"> </v>
      </c>
      <c r="AP244" s="1" t="str">
        <f t="shared" si="122"/>
        <v xml:space="preserve"> </v>
      </c>
      <c r="AQ244" s="1" t="str">
        <f t="shared" si="153"/>
        <v xml:space="preserve"> </v>
      </c>
      <c r="AR244" s="1" t="str">
        <f t="shared" si="124"/>
        <v xml:space="preserve"> </v>
      </c>
      <c r="AS244" s="1" t="str">
        <f t="shared" si="125"/>
        <v xml:space="preserve"> </v>
      </c>
      <c r="AT244" s="1" t="str">
        <f t="shared" si="126"/>
        <v xml:space="preserve"> </v>
      </c>
      <c r="AU244" s="103" t="str">
        <f t="shared" si="127"/>
        <v xml:space="preserve"> </v>
      </c>
      <c r="AV244" s="111">
        <f t="shared" si="144"/>
        <v>0</v>
      </c>
      <c r="AW244" s="4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6"/>
      <c r="DM244" s="111">
        <f t="shared" si="145"/>
        <v>0</v>
      </c>
      <c r="DN244" s="4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6"/>
      <c r="GD244" s="111">
        <f t="shared" si="146"/>
        <v>0</v>
      </c>
      <c r="GE244" s="4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6"/>
      <c r="IU244" s="111">
        <f t="shared" si="147"/>
        <v>0</v>
      </c>
      <c r="IV244" s="4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6"/>
      <c r="LL244" s="111">
        <f t="shared" si="148"/>
        <v>0</v>
      </c>
      <c r="LM244" s="4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6"/>
      <c r="OC244" s="111">
        <f t="shared" si="149"/>
        <v>0</v>
      </c>
      <c r="OD244" s="4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6"/>
      <c r="QT244" s="111">
        <f t="shared" si="150"/>
        <v>0</v>
      </c>
      <c r="QU244" s="4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6"/>
      <c r="TK244" s="111">
        <f t="shared" si="151"/>
        <v>0</v>
      </c>
      <c r="TL244" s="4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6"/>
    </row>
    <row r="245" spans="1:599" ht="14.25" customHeight="1" x14ac:dyDescent="0.3">
      <c r="A245" s="41"/>
      <c r="B245" s="39"/>
      <c r="C245" s="40"/>
      <c r="D245" s="40"/>
      <c r="E245" s="81"/>
      <c r="F245" s="81"/>
      <c r="G245" s="81"/>
      <c r="H245" s="81"/>
      <c r="I245" s="81"/>
      <c r="J245" s="81"/>
      <c r="K245" s="81"/>
      <c r="L245" s="81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89" t="str">
        <f t="shared" si="129"/>
        <v/>
      </c>
      <c r="Z245" s="89" t="str">
        <f t="shared" si="130"/>
        <v/>
      </c>
      <c r="AA245" s="89">
        <f t="shared" si="131"/>
        <v>0</v>
      </c>
      <c r="AB245" s="89">
        <f t="shared" si="132"/>
        <v>0</v>
      </c>
      <c r="AC245" s="90">
        <f t="shared" si="133"/>
        <v>0</v>
      </c>
      <c r="AD245" s="91">
        <f t="shared" si="134"/>
        <v>0</v>
      </c>
      <c r="AE245" s="93">
        <f t="shared" si="135"/>
        <v>0</v>
      </c>
      <c r="AF245" s="93">
        <f t="shared" si="136"/>
        <v>0</v>
      </c>
      <c r="AG245" s="93">
        <f t="shared" si="137"/>
        <v>0</v>
      </c>
      <c r="AH245" s="93">
        <f t="shared" si="138"/>
        <v>0</v>
      </c>
      <c r="AI245" s="93">
        <f t="shared" si="139"/>
        <v>0</v>
      </c>
      <c r="AJ245" s="93">
        <f t="shared" si="140"/>
        <v>0</v>
      </c>
      <c r="AK245" s="93">
        <f t="shared" si="141"/>
        <v>0</v>
      </c>
      <c r="AL245" s="93">
        <f t="shared" si="142"/>
        <v>0</v>
      </c>
      <c r="AM245" s="92">
        <f t="shared" si="143"/>
        <v>0</v>
      </c>
      <c r="AN245" s="1" t="str">
        <f t="shared" si="120"/>
        <v xml:space="preserve"> </v>
      </c>
      <c r="AO245" s="1" t="str">
        <f t="shared" si="121"/>
        <v xml:space="preserve"> </v>
      </c>
      <c r="AP245" s="1" t="str">
        <f t="shared" si="122"/>
        <v xml:space="preserve"> </v>
      </c>
      <c r="AQ245" s="1" t="str">
        <f t="shared" si="153"/>
        <v xml:space="preserve"> </v>
      </c>
      <c r="AR245" s="1" t="str">
        <f t="shared" si="124"/>
        <v xml:space="preserve"> </v>
      </c>
      <c r="AS245" s="1" t="str">
        <f t="shared" si="125"/>
        <v xml:space="preserve"> </v>
      </c>
      <c r="AT245" s="1" t="str">
        <f t="shared" si="126"/>
        <v xml:space="preserve"> </v>
      </c>
      <c r="AU245" s="103" t="str">
        <f t="shared" si="127"/>
        <v xml:space="preserve"> </v>
      </c>
      <c r="AV245" s="111">
        <f t="shared" si="144"/>
        <v>0</v>
      </c>
      <c r="AW245" s="4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6"/>
      <c r="DM245" s="111">
        <f t="shared" si="145"/>
        <v>0</v>
      </c>
      <c r="DN245" s="4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6"/>
      <c r="GD245" s="111">
        <f t="shared" si="146"/>
        <v>0</v>
      </c>
      <c r="GE245" s="4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6"/>
      <c r="IU245" s="111">
        <f t="shared" si="147"/>
        <v>0</v>
      </c>
      <c r="IV245" s="4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6"/>
      <c r="LL245" s="111">
        <f t="shared" si="148"/>
        <v>0</v>
      </c>
      <c r="LM245" s="4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6"/>
      <c r="OC245" s="111">
        <f t="shared" si="149"/>
        <v>0</v>
      </c>
      <c r="OD245" s="4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6"/>
      <c r="QT245" s="111">
        <f t="shared" si="150"/>
        <v>0</v>
      </c>
      <c r="QU245" s="4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6"/>
      <c r="TK245" s="111">
        <f t="shared" si="151"/>
        <v>0</v>
      </c>
      <c r="TL245" s="4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6"/>
    </row>
    <row r="246" spans="1:599" ht="14.25" customHeight="1" x14ac:dyDescent="0.3">
      <c r="A246" s="41"/>
      <c r="B246" s="39"/>
      <c r="C246" s="40"/>
      <c r="D246" s="40"/>
      <c r="E246" s="81"/>
      <c r="F246" s="81"/>
      <c r="G246" s="81"/>
      <c r="H246" s="81"/>
      <c r="I246" s="81"/>
      <c r="J246" s="81"/>
      <c r="K246" s="81"/>
      <c r="L246" s="81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89" t="str">
        <f t="shared" si="129"/>
        <v/>
      </c>
      <c r="Z246" s="89" t="str">
        <f t="shared" si="130"/>
        <v/>
      </c>
      <c r="AA246" s="89">
        <f t="shared" si="131"/>
        <v>0</v>
      </c>
      <c r="AB246" s="89">
        <f t="shared" si="132"/>
        <v>0</v>
      </c>
      <c r="AC246" s="90">
        <f t="shared" si="133"/>
        <v>0</v>
      </c>
      <c r="AD246" s="91">
        <f t="shared" si="134"/>
        <v>0</v>
      </c>
      <c r="AE246" s="93">
        <f t="shared" si="135"/>
        <v>0</v>
      </c>
      <c r="AF246" s="93">
        <f t="shared" si="136"/>
        <v>0</v>
      </c>
      <c r="AG246" s="93">
        <f t="shared" si="137"/>
        <v>0</v>
      </c>
      <c r="AH246" s="93">
        <f t="shared" si="138"/>
        <v>0</v>
      </c>
      <c r="AI246" s="93">
        <f t="shared" si="139"/>
        <v>0</v>
      </c>
      <c r="AJ246" s="93">
        <f t="shared" si="140"/>
        <v>0</v>
      </c>
      <c r="AK246" s="93">
        <f t="shared" si="141"/>
        <v>0</v>
      </c>
      <c r="AL246" s="93">
        <f t="shared" si="142"/>
        <v>0</v>
      </c>
      <c r="AM246" s="92">
        <f t="shared" si="143"/>
        <v>0</v>
      </c>
      <c r="AN246" s="1" t="str">
        <f t="shared" si="120"/>
        <v xml:space="preserve"> </v>
      </c>
      <c r="AO246" s="1" t="str">
        <f t="shared" si="121"/>
        <v xml:space="preserve"> </v>
      </c>
      <c r="AP246" s="1" t="str">
        <f t="shared" si="122"/>
        <v xml:space="preserve"> </v>
      </c>
      <c r="AQ246" s="1" t="str">
        <f t="shared" si="153"/>
        <v xml:space="preserve"> </v>
      </c>
      <c r="AR246" s="1" t="str">
        <f t="shared" si="124"/>
        <v xml:space="preserve"> </v>
      </c>
      <c r="AS246" s="1" t="str">
        <f t="shared" si="125"/>
        <v xml:space="preserve"> </v>
      </c>
      <c r="AT246" s="1" t="str">
        <f t="shared" si="126"/>
        <v xml:space="preserve"> </v>
      </c>
      <c r="AU246" s="103" t="str">
        <f t="shared" si="127"/>
        <v xml:space="preserve"> </v>
      </c>
      <c r="AV246" s="111">
        <f t="shared" si="144"/>
        <v>0</v>
      </c>
      <c r="AW246" s="4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6"/>
      <c r="DM246" s="111">
        <f t="shared" si="145"/>
        <v>0</v>
      </c>
      <c r="DN246" s="4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6"/>
      <c r="GD246" s="111">
        <f t="shared" si="146"/>
        <v>0</v>
      </c>
      <c r="GE246" s="4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6"/>
      <c r="IU246" s="111">
        <f t="shared" si="147"/>
        <v>0</v>
      </c>
      <c r="IV246" s="4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6"/>
      <c r="LL246" s="111">
        <f t="shared" si="148"/>
        <v>0</v>
      </c>
      <c r="LM246" s="4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6"/>
      <c r="OC246" s="111">
        <f t="shared" si="149"/>
        <v>0</v>
      </c>
      <c r="OD246" s="4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6"/>
      <c r="QT246" s="111">
        <f t="shared" si="150"/>
        <v>0</v>
      </c>
      <c r="QU246" s="4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6"/>
      <c r="TK246" s="111">
        <f t="shared" si="151"/>
        <v>0</v>
      </c>
      <c r="TL246" s="4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6"/>
    </row>
    <row r="247" spans="1:599" ht="14.25" customHeight="1" x14ac:dyDescent="0.3">
      <c r="A247" s="41"/>
      <c r="B247" s="39"/>
      <c r="C247" s="40"/>
      <c r="D247" s="40"/>
      <c r="E247" s="81"/>
      <c r="F247" s="81"/>
      <c r="G247" s="81"/>
      <c r="H247" s="81"/>
      <c r="I247" s="81"/>
      <c r="J247" s="81"/>
      <c r="K247" s="81"/>
      <c r="L247" s="81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89" t="str">
        <f t="shared" si="129"/>
        <v/>
      </c>
      <c r="Z247" s="89" t="str">
        <f t="shared" si="130"/>
        <v/>
      </c>
      <c r="AA247" s="89">
        <f t="shared" si="131"/>
        <v>0</v>
      </c>
      <c r="AB247" s="89">
        <f t="shared" si="132"/>
        <v>0</v>
      </c>
      <c r="AC247" s="90">
        <f t="shared" si="133"/>
        <v>0</v>
      </c>
      <c r="AD247" s="91">
        <f t="shared" si="134"/>
        <v>0</v>
      </c>
      <c r="AE247" s="93">
        <f t="shared" si="135"/>
        <v>0</v>
      </c>
      <c r="AF247" s="93">
        <f t="shared" si="136"/>
        <v>0</v>
      </c>
      <c r="AG247" s="93">
        <f t="shared" si="137"/>
        <v>0</v>
      </c>
      <c r="AH247" s="93">
        <f t="shared" si="138"/>
        <v>0</v>
      </c>
      <c r="AI247" s="93">
        <f t="shared" si="139"/>
        <v>0</v>
      </c>
      <c r="AJ247" s="93">
        <f t="shared" si="140"/>
        <v>0</v>
      </c>
      <c r="AK247" s="93">
        <f t="shared" si="141"/>
        <v>0</v>
      </c>
      <c r="AL247" s="93">
        <f t="shared" si="142"/>
        <v>0</v>
      </c>
      <c r="AM247" s="92">
        <f t="shared" si="143"/>
        <v>0</v>
      </c>
      <c r="AN247" s="1" t="str">
        <f t="shared" si="120"/>
        <v xml:space="preserve"> </v>
      </c>
      <c r="AO247" s="1" t="str">
        <f t="shared" si="121"/>
        <v xml:space="preserve"> </v>
      </c>
      <c r="AP247" s="1" t="str">
        <f t="shared" si="122"/>
        <v xml:space="preserve"> </v>
      </c>
      <c r="AQ247" s="1" t="str">
        <f t="shared" si="153"/>
        <v xml:space="preserve"> </v>
      </c>
      <c r="AR247" s="1" t="str">
        <f t="shared" si="124"/>
        <v xml:space="preserve"> </v>
      </c>
      <c r="AS247" s="1" t="str">
        <f t="shared" si="125"/>
        <v xml:space="preserve"> </v>
      </c>
      <c r="AT247" s="1" t="str">
        <f t="shared" si="126"/>
        <v xml:space="preserve"> </v>
      </c>
      <c r="AU247" s="103" t="str">
        <f t="shared" si="127"/>
        <v xml:space="preserve"> </v>
      </c>
      <c r="AV247" s="111">
        <f t="shared" si="144"/>
        <v>0</v>
      </c>
      <c r="AW247" s="4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6"/>
      <c r="DM247" s="111">
        <f t="shared" si="145"/>
        <v>0</v>
      </c>
      <c r="DN247" s="4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6"/>
      <c r="GD247" s="111">
        <f t="shared" si="146"/>
        <v>0</v>
      </c>
      <c r="GE247" s="4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6"/>
      <c r="IU247" s="111">
        <f t="shared" si="147"/>
        <v>0</v>
      </c>
      <c r="IV247" s="4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6"/>
      <c r="LL247" s="111">
        <f t="shared" si="148"/>
        <v>0</v>
      </c>
      <c r="LM247" s="4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6"/>
      <c r="OC247" s="111">
        <f t="shared" si="149"/>
        <v>0</v>
      </c>
      <c r="OD247" s="4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6"/>
      <c r="QT247" s="111">
        <f t="shared" si="150"/>
        <v>0</v>
      </c>
      <c r="QU247" s="4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6"/>
      <c r="TK247" s="111">
        <f t="shared" si="151"/>
        <v>0</v>
      </c>
      <c r="TL247" s="4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6"/>
    </row>
    <row r="248" spans="1:599" ht="14.25" customHeight="1" x14ac:dyDescent="0.3">
      <c r="A248" s="41"/>
      <c r="B248" s="39"/>
      <c r="C248" s="40"/>
      <c r="D248" s="40"/>
      <c r="E248" s="81"/>
      <c r="F248" s="81"/>
      <c r="G248" s="81"/>
      <c r="H248" s="81"/>
      <c r="I248" s="81"/>
      <c r="J248" s="81"/>
      <c r="K248" s="81"/>
      <c r="L248" s="81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89" t="str">
        <f t="shared" si="129"/>
        <v/>
      </c>
      <c r="Z248" s="89" t="str">
        <f t="shared" si="130"/>
        <v/>
      </c>
      <c r="AA248" s="89">
        <f t="shared" si="131"/>
        <v>0</v>
      </c>
      <c r="AB248" s="89">
        <f t="shared" si="132"/>
        <v>0</v>
      </c>
      <c r="AC248" s="90">
        <f t="shared" si="133"/>
        <v>0</v>
      </c>
      <c r="AD248" s="91">
        <f t="shared" si="134"/>
        <v>0</v>
      </c>
      <c r="AE248" s="93">
        <f t="shared" si="135"/>
        <v>0</v>
      </c>
      <c r="AF248" s="93">
        <f t="shared" si="136"/>
        <v>0</v>
      </c>
      <c r="AG248" s="93">
        <f t="shared" si="137"/>
        <v>0</v>
      </c>
      <c r="AH248" s="93">
        <f t="shared" si="138"/>
        <v>0</v>
      </c>
      <c r="AI248" s="93">
        <f t="shared" si="139"/>
        <v>0</v>
      </c>
      <c r="AJ248" s="93">
        <f t="shared" si="140"/>
        <v>0</v>
      </c>
      <c r="AK248" s="93">
        <f t="shared" si="141"/>
        <v>0</v>
      </c>
      <c r="AL248" s="93">
        <f t="shared" si="142"/>
        <v>0</v>
      </c>
      <c r="AM248" s="92">
        <f t="shared" si="143"/>
        <v>0</v>
      </c>
      <c r="AN248" s="1" t="str">
        <f t="shared" si="120"/>
        <v xml:space="preserve"> </v>
      </c>
      <c r="AO248" s="1" t="str">
        <f t="shared" si="121"/>
        <v xml:space="preserve"> </v>
      </c>
      <c r="AP248" s="1" t="str">
        <f t="shared" si="122"/>
        <v xml:space="preserve"> </v>
      </c>
      <c r="AQ248" s="1" t="str">
        <f t="shared" si="153"/>
        <v xml:space="preserve"> </v>
      </c>
      <c r="AR248" s="1" t="str">
        <f t="shared" si="124"/>
        <v xml:space="preserve"> </v>
      </c>
      <c r="AS248" s="1" t="str">
        <f t="shared" si="125"/>
        <v xml:space="preserve"> </v>
      </c>
      <c r="AT248" s="1" t="str">
        <f t="shared" si="126"/>
        <v xml:space="preserve"> </v>
      </c>
      <c r="AU248" s="103" t="str">
        <f t="shared" si="127"/>
        <v xml:space="preserve"> </v>
      </c>
      <c r="AV248" s="111">
        <f t="shared" si="144"/>
        <v>0</v>
      </c>
      <c r="AW248" s="4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6"/>
      <c r="DM248" s="111">
        <f t="shared" si="145"/>
        <v>0</v>
      </c>
      <c r="DN248" s="4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6"/>
      <c r="GD248" s="111">
        <f t="shared" si="146"/>
        <v>0</v>
      </c>
      <c r="GE248" s="4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6"/>
      <c r="IU248" s="111">
        <f t="shared" si="147"/>
        <v>0</v>
      </c>
      <c r="IV248" s="4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6"/>
      <c r="LL248" s="111">
        <f t="shared" si="148"/>
        <v>0</v>
      </c>
      <c r="LM248" s="4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6"/>
      <c r="OC248" s="111">
        <f t="shared" si="149"/>
        <v>0</v>
      </c>
      <c r="OD248" s="4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6"/>
      <c r="QT248" s="111">
        <f t="shared" si="150"/>
        <v>0</v>
      </c>
      <c r="QU248" s="4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6"/>
      <c r="TK248" s="111">
        <f t="shared" si="151"/>
        <v>0</v>
      </c>
      <c r="TL248" s="4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6"/>
    </row>
    <row r="249" spans="1:599" ht="14.25" customHeight="1" x14ac:dyDescent="0.3">
      <c r="A249" s="41"/>
      <c r="B249" s="39"/>
      <c r="C249" s="40"/>
      <c r="D249" s="40"/>
      <c r="E249" s="81"/>
      <c r="F249" s="81"/>
      <c r="G249" s="81"/>
      <c r="H249" s="81"/>
      <c r="I249" s="81"/>
      <c r="J249" s="81"/>
      <c r="K249" s="81"/>
      <c r="L249" s="81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89" t="str">
        <f t="shared" si="129"/>
        <v/>
      </c>
      <c r="Z249" s="89" t="str">
        <f t="shared" si="130"/>
        <v/>
      </c>
      <c r="AA249" s="89">
        <f t="shared" si="131"/>
        <v>0</v>
      </c>
      <c r="AB249" s="89">
        <f t="shared" si="132"/>
        <v>0</v>
      </c>
      <c r="AC249" s="90">
        <f t="shared" si="133"/>
        <v>0</v>
      </c>
      <c r="AD249" s="91">
        <f t="shared" si="134"/>
        <v>0</v>
      </c>
      <c r="AE249" s="93">
        <f t="shared" si="135"/>
        <v>0</v>
      </c>
      <c r="AF249" s="93">
        <f t="shared" si="136"/>
        <v>0</v>
      </c>
      <c r="AG249" s="93">
        <f t="shared" si="137"/>
        <v>0</v>
      </c>
      <c r="AH249" s="93">
        <f t="shared" si="138"/>
        <v>0</v>
      </c>
      <c r="AI249" s="93">
        <f t="shared" si="139"/>
        <v>0</v>
      </c>
      <c r="AJ249" s="93">
        <f t="shared" si="140"/>
        <v>0</v>
      </c>
      <c r="AK249" s="93">
        <f t="shared" si="141"/>
        <v>0</v>
      </c>
      <c r="AL249" s="93">
        <f t="shared" si="142"/>
        <v>0</v>
      </c>
      <c r="AM249" s="92">
        <f t="shared" si="143"/>
        <v>0</v>
      </c>
      <c r="AN249" s="1" t="str">
        <f t="shared" si="120"/>
        <v xml:space="preserve"> </v>
      </c>
      <c r="AO249" s="1" t="str">
        <f t="shared" si="121"/>
        <v xml:space="preserve"> </v>
      </c>
      <c r="AP249" s="1" t="str">
        <f t="shared" si="122"/>
        <v xml:space="preserve"> </v>
      </c>
      <c r="AQ249" s="1" t="str">
        <f t="shared" si="153"/>
        <v xml:space="preserve"> </v>
      </c>
      <c r="AR249" s="1" t="str">
        <f t="shared" si="124"/>
        <v xml:space="preserve"> </v>
      </c>
      <c r="AS249" s="1" t="str">
        <f t="shared" si="125"/>
        <v xml:space="preserve"> </v>
      </c>
      <c r="AT249" s="1" t="str">
        <f t="shared" si="126"/>
        <v xml:space="preserve"> </v>
      </c>
      <c r="AU249" s="103" t="str">
        <f t="shared" si="127"/>
        <v xml:space="preserve"> </v>
      </c>
      <c r="AV249" s="111">
        <f t="shared" si="144"/>
        <v>0</v>
      </c>
      <c r="AW249" s="4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6"/>
      <c r="DM249" s="111">
        <f t="shared" si="145"/>
        <v>0</v>
      </c>
      <c r="DN249" s="4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6"/>
      <c r="GD249" s="111">
        <f t="shared" si="146"/>
        <v>0</v>
      </c>
      <c r="GE249" s="4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6"/>
      <c r="IU249" s="111">
        <f t="shared" si="147"/>
        <v>0</v>
      </c>
      <c r="IV249" s="4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6"/>
      <c r="LL249" s="111">
        <f t="shared" si="148"/>
        <v>0</v>
      </c>
      <c r="LM249" s="4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6"/>
      <c r="OC249" s="111">
        <f t="shared" si="149"/>
        <v>0</v>
      </c>
      <c r="OD249" s="4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6"/>
      <c r="QT249" s="111">
        <f t="shared" si="150"/>
        <v>0</v>
      </c>
      <c r="QU249" s="4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6"/>
      <c r="TK249" s="111">
        <f t="shared" si="151"/>
        <v>0</v>
      </c>
      <c r="TL249" s="4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6"/>
    </row>
    <row r="250" spans="1:599" ht="14.25" customHeight="1" x14ac:dyDescent="0.3">
      <c r="A250" s="85"/>
      <c r="B250" s="39"/>
      <c r="C250" s="86"/>
      <c r="D250" s="86"/>
      <c r="E250" s="81"/>
      <c r="F250" s="81"/>
      <c r="G250" s="81"/>
      <c r="H250" s="81"/>
      <c r="I250" s="81"/>
      <c r="J250" s="81"/>
      <c r="K250" s="81"/>
      <c r="L250" s="81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89" t="str">
        <f t="shared" si="129"/>
        <v/>
      </c>
      <c r="Z250" s="89" t="str">
        <f t="shared" si="130"/>
        <v/>
      </c>
      <c r="AA250" s="89">
        <f t="shared" si="131"/>
        <v>0</v>
      </c>
      <c r="AB250" s="89">
        <f t="shared" si="132"/>
        <v>0</v>
      </c>
      <c r="AC250" s="90">
        <f t="shared" si="133"/>
        <v>0</v>
      </c>
      <c r="AD250" s="91">
        <f t="shared" si="134"/>
        <v>0</v>
      </c>
      <c r="AE250" s="93">
        <f t="shared" si="135"/>
        <v>0</v>
      </c>
      <c r="AF250" s="93">
        <f t="shared" si="136"/>
        <v>0</v>
      </c>
      <c r="AG250" s="93">
        <f t="shared" si="137"/>
        <v>0</v>
      </c>
      <c r="AH250" s="93">
        <f t="shared" si="138"/>
        <v>0</v>
      </c>
      <c r="AI250" s="93">
        <f t="shared" si="139"/>
        <v>0</v>
      </c>
      <c r="AJ250" s="93">
        <f t="shared" si="140"/>
        <v>0</v>
      </c>
      <c r="AK250" s="93">
        <f t="shared" si="141"/>
        <v>0</v>
      </c>
      <c r="AL250" s="93">
        <f t="shared" si="142"/>
        <v>0</v>
      </c>
      <c r="AM250" s="92">
        <f t="shared" si="143"/>
        <v>0</v>
      </c>
      <c r="AN250" s="1" t="str">
        <f t="shared" si="120"/>
        <v xml:space="preserve"> </v>
      </c>
      <c r="AO250" s="1" t="str">
        <f t="shared" si="121"/>
        <v xml:space="preserve"> </v>
      </c>
      <c r="AP250" s="1" t="str">
        <f t="shared" si="122"/>
        <v xml:space="preserve"> </v>
      </c>
      <c r="AQ250" s="1" t="str">
        <f t="shared" si="153"/>
        <v xml:space="preserve"> </v>
      </c>
      <c r="AR250" s="1" t="str">
        <f t="shared" si="124"/>
        <v xml:space="preserve"> </v>
      </c>
      <c r="AS250" s="1" t="str">
        <f t="shared" si="125"/>
        <v xml:space="preserve"> </v>
      </c>
      <c r="AT250" s="1" t="str">
        <f t="shared" si="126"/>
        <v xml:space="preserve"> </v>
      </c>
      <c r="AU250" s="103" t="str">
        <f t="shared" si="127"/>
        <v xml:space="preserve"> </v>
      </c>
      <c r="AV250" s="111">
        <f t="shared" si="144"/>
        <v>0</v>
      </c>
      <c r="AW250" s="4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6"/>
      <c r="DM250" s="111">
        <f t="shared" si="145"/>
        <v>0</v>
      </c>
      <c r="DN250" s="4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6"/>
      <c r="GD250" s="111">
        <f t="shared" si="146"/>
        <v>0</v>
      </c>
      <c r="GE250" s="4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6"/>
      <c r="IU250" s="111">
        <f t="shared" si="147"/>
        <v>0</v>
      </c>
      <c r="IV250" s="4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6"/>
      <c r="LL250" s="111">
        <f t="shared" si="148"/>
        <v>0</v>
      </c>
      <c r="LM250" s="4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6"/>
      <c r="OC250" s="111">
        <f t="shared" si="149"/>
        <v>0</v>
      </c>
      <c r="OD250" s="4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6"/>
      <c r="QT250" s="111">
        <f t="shared" si="150"/>
        <v>0</v>
      </c>
      <c r="QU250" s="4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6"/>
      <c r="TK250" s="111">
        <f t="shared" si="151"/>
        <v>0</v>
      </c>
      <c r="TL250" s="4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6"/>
    </row>
    <row r="251" spans="1:599" ht="14.25" customHeight="1" x14ac:dyDescent="0.3">
      <c r="A251" s="85"/>
      <c r="B251" s="39"/>
      <c r="C251" s="86"/>
      <c r="D251" s="86"/>
      <c r="E251" s="81"/>
      <c r="F251" s="81"/>
      <c r="G251" s="81"/>
      <c r="H251" s="81"/>
      <c r="I251" s="81"/>
      <c r="J251" s="81"/>
      <c r="K251" s="81"/>
      <c r="L251" s="81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89" t="str">
        <f t="shared" si="129"/>
        <v/>
      </c>
      <c r="Z251" s="89" t="str">
        <f t="shared" si="130"/>
        <v/>
      </c>
      <c r="AA251" s="89">
        <f t="shared" si="131"/>
        <v>0</v>
      </c>
      <c r="AB251" s="89">
        <f t="shared" si="132"/>
        <v>0</v>
      </c>
      <c r="AC251" s="90">
        <f t="shared" si="133"/>
        <v>0</v>
      </c>
      <c r="AD251" s="91">
        <f t="shared" si="134"/>
        <v>0</v>
      </c>
      <c r="AE251" s="93">
        <f t="shared" si="135"/>
        <v>0</v>
      </c>
      <c r="AF251" s="93">
        <f t="shared" si="136"/>
        <v>0</v>
      </c>
      <c r="AG251" s="93">
        <f t="shared" si="137"/>
        <v>0</v>
      </c>
      <c r="AH251" s="93">
        <f t="shared" si="138"/>
        <v>0</v>
      </c>
      <c r="AI251" s="93">
        <f t="shared" si="139"/>
        <v>0</v>
      </c>
      <c r="AJ251" s="93">
        <f t="shared" si="140"/>
        <v>0</v>
      </c>
      <c r="AK251" s="93">
        <f t="shared" si="141"/>
        <v>0</v>
      </c>
      <c r="AL251" s="93">
        <f t="shared" si="142"/>
        <v>0</v>
      </c>
      <c r="AM251" s="92">
        <f t="shared" si="143"/>
        <v>0</v>
      </c>
      <c r="AN251" s="1" t="str">
        <f t="shared" si="120"/>
        <v xml:space="preserve"> </v>
      </c>
      <c r="AO251" s="1" t="str">
        <f t="shared" si="121"/>
        <v xml:space="preserve"> </v>
      </c>
      <c r="AP251" s="1" t="str">
        <f t="shared" si="122"/>
        <v xml:space="preserve"> </v>
      </c>
      <c r="AQ251" s="1" t="str">
        <f t="shared" si="153"/>
        <v xml:space="preserve"> </v>
      </c>
      <c r="AR251" s="1" t="str">
        <f t="shared" si="124"/>
        <v xml:space="preserve"> </v>
      </c>
      <c r="AS251" s="1" t="str">
        <f t="shared" si="125"/>
        <v xml:space="preserve"> </v>
      </c>
      <c r="AT251" s="1" t="str">
        <f t="shared" si="126"/>
        <v xml:space="preserve"> </v>
      </c>
      <c r="AU251" s="103" t="str">
        <f t="shared" si="127"/>
        <v xml:space="preserve"> </v>
      </c>
      <c r="AV251" s="111">
        <f t="shared" si="144"/>
        <v>0</v>
      </c>
      <c r="AW251" s="4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6"/>
      <c r="DM251" s="111">
        <f t="shared" si="145"/>
        <v>0</v>
      </c>
      <c r="DN251" s="4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6"/>
      <c r="GD251" s="111">
        <f t="shared" si="146"/>
        <v>0</v>
      </c>
      <c r="GE251" s="4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6"/>
      <c r="IU251" s="111">
        <f t="shared" si="147"/>
        <v>0</v>
      </c>
      <c r="IV251" s="4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6"/>
      <c r="LL251" s="111">
        <f t="shared" si="148"/>
        <v>0</v>
      </c>
      <c r="LM251" s="4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6"/>
      <c r="OC251" s="111">
        <f t="shared" si="149"/>
        <v>0</v>
      </c>
      <c r="OD251" s="4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6"/>
      <c r="QT251" s="111">
        <f t="shared" si="150"/>
        <v>0</v>
      </c>
      <c r="QU251" s="4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6"/>
      <c r="TK251" s="111">
        <f t="shared" si="151"/>
        <v>0</v>
      </c>
      <c r="TL251" s="4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6"/>
    </row>
    <row r="252" spans="1:599" ht="14.25" customHeight="1" x14ac:dyDescent="0.3">
      <c r="A252" s="85"/>
      <c r="B252" s="39"/>
      <c r="C252" s="86"/>
      <c r="D252" s="86"/>
      <c r="E252" s="81"/>
      <c r="F252" s="81"/>
      <c r="G252" s="81"/>
      <c r="H252" s="81"/>
      <c r="I252" s="81"/>
      <c r="J252" s="81"/>
      <c r="K252" s="81"/>
      <c r="L252" s="81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89" t="str">
        <f t="shared" si="129"/>
        <v/>
      </c>
      <c r="Z252" s="89" t="str">
        <f t="shared" si="130"/>
        <v/>
      </c>
      <c r="AA252" s="89">
        <f t="shared" si="131"/>
        <v>0</v>
      </c>
      <c r="AB252" s="89">
        <f t="shared" si="132"/>
        <v>0</v>
      </c>
      <c r="AC252" s="90">
        <f t="shared" si="133"/>
        <v>0</v>
      </c>
      <c r="AD252" s="91">
        <f t="shared" si="134"/>
        <v>0</v>
      </c>
      <c r="AE252" s="93">
        <f t="shared" si="135"/>
        <v>0</v>
      </c>
      <c r="AF252" s="93">
        <f t="shared" si="136"/>
        <v>0</v>
      </c>
      <c r="AG252" s="93">
        <f t="shared" si="137"/>
        <v>0</v>
      </c>
      <c r="AH252" s="93">
        <f t="shared" si="138"/>
        <v>0</v>
      </c>
      <c r="AI252" s="93">
        <f t="shared" si="139"/>
        <v>0</v>
      </c>
      <c r="AJ252" s="93">
        <f t="shared" si="140"/>
        <v>0</v>
      </c>
      <c r="AK252" s="93">
        <f t="shared" si="141"/>
        <v>0</v>
      </c>
      <c r="AL252" s="93">
        <f t="shared" si="142"/>
        <v>0</v>
      </c>
      <c r="AM252" s="92">
        <f t="shared" si="143"/>
        <v>0</v>
      </c>
      <c r="AN252" s="1" t="str">
        <f t="shared" si="120"/>
        <v xml:space="preserve"> </v>
      </c>
      <c r="AO252" s="1" t="str">
        <f t="shared" si="121"/>
        <v xml:space="preserve"> </v>
      </c>
      <c r="AP252" s="1" t="str">
        <f t="shared" si="122"/>
        <v xml:space="preserve"> </v>
      </c>
      <c r="AQ252" s="1" t="str">
        <f t="shared" si="153"/>
        <v xml:space="preserve"> </v>
      </c>
      <c r="AR252" s="1" t="str">
        <f t="shared" si="124"/>
        <v xml:space="preserve"> </v>
      </c>
      <c r="AS252" s="1" t="str">
        <f t="shared" si="125"/>
        <v xml:space="preserve"> </v>
      </c>
      <c r="AT252" s="1" t="str">
        <f t="shared" si="126"/>
        <v xml:space="preserve"> </v>
      </c>
      <c r="AU252" s="103" t="str">
        <f t="shared" si="127"/>
        <v xml:space="preserve"> </v>
      </c>
      <c r="AV252" s="111">
        <f t="shared" si="144"/>
        <v>0</v>
      </c>
      <c r="AW252" s="4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6"/>
      <c r="DM252" s="111">
        <f t="shared" si="145"/>
        <v>0</v>
      </c>
      <c r="DN252" s="4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6"/>
      <c r="GD252" s="111">
        <f t="shared" si="146"/>
        <v>0</v>
      </c>
      <c r="GE252" s="4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6"/>
      <c r="IU252" s="111">
        <f t="shared" si="147"/>
        <v>0</v>
      </c>
      <c r="IV252" s="4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6"/>
      <c r="LL252" s="111">
        <f t="shared" si="148"/>
        <v>0</v>
      </c>
      <c r="LM252" s="4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6"/>
      <c r="OC252" s="111">
        <f t="shared" si="149"/>
        <v>0</v>
      </c>
      <c r="OD252" s="4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6"/>
      <c r="QT252" s="111">
        <f t="shared" si="150"/>
        <v>0</v>
      </c>
      <c r="QU252" s="4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6"/>
      <c r="TK252" s="111">
        <f t="shared" si="151"/>
        <v>0</v>
      </c>
      <c r="TL252" s="4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6"/>
    </row>
    <row r="253" spans="1:599" ht="14.25" customHeight="1" x14ac:dyDescent="0.3">
      <c r="A253" s="85"/>
      <c r="B253" s="39"/>
      <c r="C253" s="86"/>
      <c r="D253" s="86"/>
      <c r="E253" s="81"/>
      <c r="F253" s="81"/>
      <c r="G253" s="81"/>
      <c r="H253" s="81"/>
      <c r="I253" s="81"/>
      <c r="J253" s="81"/>
      <c r="K253" s="81"/>
      <c r="L253" s="81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89" t="str">
        <f t="shared" si="129"/>
        <v/>
      </c>
      <c r="Z253" s="89" t="str">
        <f t="shared" si="130"/>
        <v/>
      </c>
      <c r="AA253" s="89">
        <f t="shared" si="131"/>
        <v>0</v>
      </c>
      <c r="AB253" s="89">
        <f t="shared" si="132"/>
        <v>0</v>
      </c>
      <c r="AC253" s="90">
        <f t="shared" si="133"/>
        <v>0</v>
      </c>
      <c r="AD253" s="91">
        <f t="shared" si="134"/>
        <v>0</v>
      </c>
      <c r="AE253" s="93">
        <f t="shared" si="135"/>
        <v>0</v>
      </c>
      <c r="AF253" s="93">
        <f t="shared" si="136"/>
        <v>0</v>
      </c>
      <c r="AG253" s="93">
        <f t="shared" si="137"/>
        <v>0</v>
      </c>
      <c r="AH253" s="93">
        <f t="shared" si="138"/>
        <v>0</v>
      </c>
      <c r="AI253" s="93">
        <f t="shared" si="139"/>
        <v>0</v>
      </c>
      <c r="AJ253" s="93">
        <f t="shared" si="140"/>
        <v>0</v>
      </c>
      <c r="AK253" s="93">
        <f t="shared" si="141"/>
        <v>0</v>
      </c>
      <c r="AL253" s="93">
        <f t="shared" si="142"/>
        <v>0</v>
      </c>
      <c r="AM253" s="92">
        <f t="shared" si="143"/>
        <v>0</v>
      </c>
      <c r="AN253" s="1" t="str">
        <f t="shared" si="120"/>
        <v xml:space="preserve"> </v>
      </c>
      <c r="AO253" s="1" t="str">
        <f t="shared" si="121"/>
        <v xml:space="preserve"> </v>
      </c>
      <c r="AP253" s="1" t="str">
        <f t="shared" si="122"/>
        <v xml:space="preserve"> </v>
      </c>
      <c r="AQ253" s="1" t="str">
        <f t="shared" si="153"/>
        <v xml:space="preserve"> </v>
      </c>
      <c r="AR253" s="1" t="str">
        <f t="shared" si="124"/>
        <v xml:space="preserve"> </v>
      </c>
      <c r="AS253" s="1" t="str">
        <f t="shared" si="125"/>
        <v xml:space="preserve"> </v>
      </c>
      <c r="AT253" s="1" t="str">
        <f t="shared" si="126"/>
        <v xml:space="preserve"> </v>
      </c>
      <c r="AU253" s="103" t="str">
        <f t="shared" si="127"/>
        <v xml:space="preserve"> </v>
      </c>
      <c r="AV253" s="111">
        <f t="shared" si="144"/>
        <v>0</v>
      </c>
      <c r="AW253" s="4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6"/>
      <c r="DM253" s="111">
        <f t="shared" si="145"/>
        <v>0</v>
      </c>
      <c r="DN253" s="4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6"/>
      <c r="GD253" s="111">
        <f t="shared" si="146"/>
        <v>0</v>
      </c>
      <c r="GE253" s="4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6"/>
      <c r="IU253" s="111">
        <f t="shared" si="147"/>
        <v>0</v>
      </c>
      <c r="IV253" s="4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6"/>
      <c r="LL253" s="111">
        <f t="shared" si="148"/>
        <v>0</v>
      </c>
      <c r="LM253" s="4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6"/>
      <c r="OC253" s="111">
        <f t="shared" si="149"/>
        <v>0</v>
      </c>
      <c r="OD253" s="4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6"/>
      <c r="QT253" s="111">
        <f t="shared" si="150"/>
        <v>0</v>
      </c>
      <c r="QU253" s="4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6"/>
      <c r="TK253" s="111">
        <f t="shared" si="151"/>
        <v>0</v>
      </c>
      <c r="TL253" s="4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6"/>
    </row>
    <row r="254" spans="1:599" ht="14.25" customHeight="1" x14ac:dyDescent="0.3">
      <c r="A254" s="85"/>
      <c r="B254" s="39"/>
      <c r="C254" s="86"/>
      <c r="D254" s="86"/>
      <c r="E254" s="81"/>
      <c r="F254" s="81"/>
      <c r="G254" s="81"/>
      <c r="H254" s="81"/>
      <c r="I254" s="81"/>
      <c r="J254" s="81"/>
      <c r="K254" s="81"/>
      <c r="L254" s="81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89" t="str">
        <f t="shared" si="129"/>
        <v/>
      </c>
      <c r="Z254" s="89" t="str">
        <f t="shared" si="130"/>
        <v/>
      </c>
      <c r="AA254" s="89">
        <f t="shared" si="131"/>
        <v>0</v>
      </c>
      <c r="AB254" s="89">
        <f t="shared" si="132"/>
        <v>0</v>
      </c>
      <c r="AC254" s="90">
        <f t="shared" si="133"/>
        <v>0</v>
      </c>
      <c r="AD254" s="91">
        <f t="shared" si="134"/>
        <v>0</v>
      </c>
      <c r="AE254" s="93">
        <f t="shared" si="135"/>
        <v>0</v>
      </c>
      <c r="AF254" s="93">
        <f t="shared" si="136"/>
        <v>0</v>
      </c>
      <c r="AG254" s="93">
        <f t="shared" si="137"/>
        <v>0</v>
      </c>
      <c r="AH254" s="93">
        <f t="shared" si="138"/>
        <v>0</v>
      </c>
      <c r="AI254" s="93">
        <f t="shared" si="139"/>
        <v>0</v>
      </c>
      <c r="AJ254" s="93">
        <f t="shared" si="140"/>
        <v>0</v>
      </c>
      <c r="AK254" s="93">
        <f t="shared" si="141"/>
        <v>0</v>
      </c>
      <c r="AL254" s="93">
        <f t="shared" si="142"/>
        <v>0</v>
      </c>
      <c r="AM254" s="92">
        <f t="shared" si="143"/>
        <v>0</v>
      </c>
      <c r="AN254" s="1" t="str">
        <f t="shared" si="120"/>
        <v xml:space="preserve"> </v>
      </c>
      <c r="AO254" s="1" t="str">
        <f t="shared" si="121"/>
        <v xml:space="preserve"> </v>
      </c>
      <c r="AP254" s="1" t="str">
        <f t="shared" si="122"/>
        <v xml:space="preserve"> </v>
      </c>
      <c r="AQ254" s="1" t="str">
        <f t="shared" si="153"/>
        <v xml:space="preserve"> </v>
      </c>
      <c r="AR254" s="1" t="str">
        <f t="shared" si="124"/>
        <v xml:space="preserve"> </v>
      </c>
      <c r="AS254" s="1" t="str">
        <f t="shared" si="125"/>
        <v xml:space="preserve"> </v>
      </c>
      <c r="AT254" s="1" t="str">
        <f t="shared" si="126"/>
        <v xml:space="preserve"> </v>
      </c>
      <c r="AU254" s="103" t="str">
        <f t="shared" si="127"/>
        <v xml:space="preserve"> </v>
      </c>
      <c r="AV254" s="111">
        <f t="shared" si="144"/>
        <v>0</v>
      </c>
      <c r="AW254" s="4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6"/>
      <c r="DM254" s="111">
        <f t="shared" si="145"/>
        <v>0</v>
      </c>
      <c r="DN254" s="4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6"/>
      <c r="GD254" s="111">
        <f t="shared" si="146"/>
        <v>0</v>
      </c>
      <c r="GE254" s="4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6"/>
      <c r="IU254" s="111">
        <f t="shared" si="147"/>
        <v>0</v>
      </c>
      <c r="IV254" s="4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6"/>
      <c r="LL254" s="111">
        <f t="shared" si="148"/>
        <v>0</v>
      </c>
      <c r="LM254" s="4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6"/>
      <c r="OC254" s="111">
        <f t="shared" si="149"/>
        <v>0</v>
      </c>
      <c r="OD254" s="4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6"/>
      <c r="QT254" s="111">
        <f t="shared" si="150"/>
        <v>0</v>
      </c>
      <c r="QU254" s="4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6"/>
      <c r="TK254" s="111">
        <f t="shared" si="151"/>
        <v>0</v>
      </c>
      <c r="TL254" s="4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6"/>
    </row>
    <row r="255" spans="1:599" ht="14.25" customHeight="1" x14ac:dyDescent="0.3">
      <c r="A255" s="85"/>
      <c r="B255" s="39"/>
      <c r="C255" s="86"/>
      <c r="D255" s="86"/>
      <c r="E255" s="81"/>
      <c r="F255" s="81"/>
      <c r="G255" s="81"/>
      <c r="H255" s="81"/>
      <c r="I255" s="81"/>
      <c r="J255" s="81"/>
      <c r="K255" s="81"/>
      <c r="L255" s="81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89" t="str">
        <f t="shared" si="129"/>
        <v/>
      </c>
      <c r="Z255" s="89" t="str">
        <f t="shared" si="130"/>
        <v/>
      </c>
      <c r="AA255" s="89">
        <f t="shared" si="131"/>
        <v>0</v>
      </c>
      <c r="AB255" s="89">
        <f t="shared" si="132"/>
        <v>0</v>
      </c>
      <c r="AC255" s="90">
        <f t="shared" si="133"/>
        <v>0</v>
      </c>
      <c r="AD255" s="91">
        <f t="shared" si="134"/>
        <v>0</v>
      </c>
      <c r="AE255" s="93">
        <f t="shared" si="135"/>
        <v>0</v>
      </c>
      <c r="AF255" s="93">
        <f t="shared" si="136"/>
        <v>0</v>
      </c>
      <c r="AG255" s="93">
        <f t="shared" si="137"/>
        <v>0</v>
      </c>
      <c r="AH255" s="93">
        <f t="shared" si="138"/>
        <v>0</v>
      </c>
      <c r="AI255" s="93">
        <f t="shared" si="139"/>
        <v>0</v>
      </c>
      <c r="AJ255" s="93">
        <f t="shared" si="140"/>
        <v>0</v>
      </c>
      <c r="AK255" s="93">
        <f t="shared" si="141"/>
        <v>0</v>
      </c>
      <c r="AL255" s="93">
        <f t="shared" si="142"/>
        <v>0</v>
      </c>
      <c r="AM255" s="92">
        <f t="shared" si="143"/>
        <v>0</v>
      </c>
      <c r="AN255" s="1" t="str">
        <f t="shared" si="120"/>
        <v xml:space="preserve"> </v>
      </c>
      <c r="AO255" s="1" t="str">
        <f t="shared" si="121"/>
        <v xml:space="preserve"> </v>
      </c>
      <c r="AP255" s="1" t="str">
        <f t="shared" si="122"/>
        <v xml:space="preserve"> </v>
      </c>
      <c r="AQ255" s="1" t="str">
        <f t="shared" si="153"/>
        <v xml:space="preserve"> </v>
      </c>
      <c r="AR255" s="1" t="str">
        <f t="shared" si="124"/>
        <v xml:space="preserve"> </v>
      </c>
      <c r="AS255" s="1" t="str">
        <f t="shared" si="125"/>
        <v xml:space="preserve"> </v>
      </c>
      <c r="AT255" s="1" t="str">
        <f t="shared" si="126"/>
        <v xml:space="preserve"> </v>
      </c>
      <c r="AU255" s="103" t="str">
        <f t="shared" si="127"/>
        <v xml:space="preserve"> </v>
      </c>
      <c r="AV255" s="111">
        <f t="shared" si="144"/>
        <v>0</v>
      </c>
      <c r="AW255" s="4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6"/>
      <c r="DM255" s="111">
        <f t="shared" si="145"/>
        <v>0</v>
      </c>
      <c r="DN255" s="4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6"/>
      <c r="GD255" s="111">
        <f t="shared" si="146"/>
        <v>0</v>
      </c>
      <c r="GE255" s="4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6"/>
      <c r="IU255" s="111">
        <f t="shared" si="147"/>
        <v>0</v>
      </c>
      <c r="IV255" s="4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6"/>
      <c r="LL255" s="111">
        <f t="shared" si="148"/>
        <v>0</v>
      </c>
      <c r="LM255" s="4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6"/>
      <c r="OC255" s="111">
        <f t="shared" si="149"/>
        <v>0</v>
      </c>
      <c r="OD255" s="4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6"/>
      <c r="QT255" s="111">
        <f t="shared" si="150"/>
        <v>0</v>
      </c>
      <c r="QU255" s="4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6"/>
      <c r="TK255" s="111">
        <f t="shared" si="151"/>
        <v>0</v>
      </c>
      <c r="TL255" s="4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6"/>
    </row>
    <row r="256" spans="1:599" ht="14.25" customHeight="1" x14ac:dyDescent="0.3">
      <c r="A256" s="85"/>
      <c r="B256" s="39"/>
      <c r="C256" s="86"/>
      <c r="D256" s="86"/>
      <c r="E256" s="81"/>
      <c r="F256" s="81"/>
      <c r="G256" s="81"/>
      <c r="H256" s="81"/>
      <c r="I256" s="81"/>
      <c r="J256" s="81"/>
      <c r="K256" s="81"/>
      <c r="L256" s="81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89" t="str">
        <f t="shared" si="129"/>
        <v/>
      </c>
      <c r="Z256" s="89" t="str">
        <f t="shared" si="130"/>
        <v/>
      </c>
      <c r="AA256" s="89">
        <f t="shared" si="131"/>
        <v>0</v>
      </c>
      <c r="AB256" s="89">
        <f t="shared" si="132"/>
        <v>0</v>
      </c>
      <c r="AC256" s="90">
        <f t="shared" si="133"/>
        <v>0</v>
      </c>
      <c r="AD256" s="91">
        <f t="shared" si="134"/>
        <v>0</v>
      </c>
      <c r="AE256" s="93">
        <f t="shared" si="135"/>
        <v>0</v>
      </c>
      <c r="AF256" s="93">
        <f t="shared" si="136"/>
        <v>0</v>
      </c>
      <c r="AG256" s="93">
        <f t="shared" si="137"/>
        <v>0</v>
      </c>
      <c r="AH256" s="93">
        <f t="shared" si="138"/>
        <v>0</v>
      </c>
      <c r="AI256" s="93">
        <f t="shared" si="139"/>
        <v>0</v>
      </c>
      <c r="AJ256" s="93">
        <f t="shared" si="140"/>
        <v>0</v>
      </c>
      <c r="AK256" s="93">
        <f t="shared" si="141"/>
        <v>0</v>
      </c>
      <c r="AL256" s="93">
        <f t="shared" si="142"/>
        <v>0</v>
      </c>
      <c r="AM256" s="92">
        <f t="shared" si="143"/>
        <v>0</v>
      </c>
      <c r="AN256" s="1" t="str">
        <f t="shared" si="120"/>
        <v xml:space="preserve"> </v>
      </c>
      <c r="AO256" s="1" t="str">
        <f t="shared" si="121"/>
        <v xml:space="preserve"> </v>
      </c>
      <c r="AP256" s="1" t="str">
        <f t="shared" si="122"/>
        <v xml:space="preserve"> </v>
      </c>
      <c r="AQ256" s="1" t="str">
        <f t="shared" si="153"/>
        <v xml:space="preserve"> </v>
      </c>
      <c r="AR256" s="1" t="str">
        <f t="shared" si="124"/>
        <v xml:space="preserve"> </v>
      </c>
      <c r="AS256" s="1" t="str">
        <f t="shared" si="125"/>
        <v xml:space="preserve"> </v>
      </c>
      <c r="AT256" s="1" t="str">
        <f t="shared" si="126"/>
        <v xml:space="preserve"> </v>
      </c>
      <c r="AU256" s="103" t="str">
        <f t="shared" si="127"/>
        <v xml:space="preserve"> </v>
      </c>
      <c r="AV256" s="111">
        <f t="shared" si="144"/>
        <v>0</v>
      </c>
      <c r="AW256" s="4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6"/>
      <c r="DM256" s="111">
        <f t="shared" si="145"/>
        <v>0</v>
      </c>
      <c r="DN256" s="4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6"/>
      <c r="GD256" s="111">
        <f t="shared" si="146"/>
        <v>0</v>
      </c>
      <c r="GE256" s="4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6"/>
      <c r="IU256" s="111">
        <f t="shared" si="147"/>
        <v>0</v>
      </c>
      <c r="IV256" s="4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6"/>
      <c r="LL256" s="111">
        <f t="shared" si="148"/>
        <v>0</v>
      </c>
      <c r="LM256" s="4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6"/>
      <c r="OC256" s="111">
        <f t="shared" si="149"/>
        <v>0</v>
      </c>
      <c r="OD256" s="4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6"/>
      <c r="QT256" s="111">
        <f t="shared" si="150"/>
        <v>0</v>
      </c>
      <c r="QU256" s="4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6"/>
      <c r="TK256" s="111">
        <f t="shared" si="151"/>
        <v>0</v>
      </c>
      <c r="TL256" s="4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6"/>
    </row>
    <row r="257" spans="1:599" ht="14.25" customHeight="1" x14ac:dyDescent="0.3">
      <c r="A257" s="85"/>
      <c r="B257" s="39"/>
      <c r="C257" s="86"/>
      <c r="D257" s="86"/>
      <c r="E257" s="81"/>
      <c r="F257" s="81"/>
      <c r="G257" s="81"/>
      <c r="H257" s="81"/>
      <c r="I257" s="81"/>
      <c r="J257" s="81"/>
      <c r="K257" s="81"/>
      <c r="L257" s="81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89" t="str">
        <f t="shared" si="129"/>
        <v/>
      </c>
      <c r="Z257" s="89" t="str">
        <f t="shared" si="130"/>
        <v/>
      </c>
      <c r="AA257" s="89">
        <f t="shared" si="131"/>
        <v>0</v>
      </c>
      <c r="AB257" s="89">
        <f t="shared" si="132"/>
        <v>0</v>
      </c>
      <c r="AC257" s="90">
        <f t="shared" si="133"/>
        <v>0</v>
      </c>
      <c r="AD257" s="91">
        <f t="shared" si="134"/>
        <v>0</v>
      </c>
      <c r="AE257" s="93">
        <f t="shared" si="135"/>
        <v>0</v>
      </c>
      <c r="AF257" s="93">
        <f t="shared" si="136"/>
        <v>0</v>
      </c>
      <c r="AG257" s="93">
        <f t="shared" si="137"/>
        <v>0</v>
      </c>
      <c r="AH257" s="93">
        <f t="shared" si="138"/>
        <v>0</v>
      </c>
      <c r="AI257" s="93">
        <f t="shared" si="139"/>
        <v>0</v>
      </c>
      <c r="AJ257" s="93">
        <f t="shared" si="140"/>
        <v>0</v>
      </c>
      <c r="AK257" s="93">
        <f t="shared" si="141"/>
        <v>0</v>
      </c>
      <c r="AL257" s="93">
        <f t="shared" si="142"/>
        <v>0</v>
      </c>
      <c r="AM257" s="92">
        <f t="shared" si="143"/>
        <v>0</v>
      </c>
      <c r="AN257" s="1" t="str">
        <f t="shared" si="120"/>
        <v xml:space="preserve"> </v>
      </c>
      <c r="AO257" s="1" t="str">
        <f t="shared" si="121"/>
        <v xml:space="preserve"> </v>
      </c>
      <c r="AP257" s="1" t="str">
        <f t="shared" si="122"/>
        <v xml:space="preserve"> </v>
      </c>
      <c r="AQ257" s="1" t="str">
        <f t="shared" si="153"/>
        <v xml:space="preserve"> </v>
      </c>
      <c r="AR257" s="1" t="str">
        <f t="shared" si="124"/>
        <v xml:space="preserve"> </v>
      </c>
      <c r="AS257" s="1" t="str">
        <f t="shared" si="125"/>
        <v xml:space="preserve"> </v>
      </c>
      <c r="AT257" s="1" t="str">
        <f t="shared" si="126"/>
        <v xml:space="preserve"> </v>
      </c>
      <c r="AU257" s="103" t="str">
        <f t="shared" si="127"/>
        <v xml:space="preserve"> </v>
      </c>
      <c r="AV257" s="111">
        <f t="shared" si="144"/>
        <v>0</v>
      </c>
      <c r="AW257" s="4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6"/>
      <c r="DM257" s="111">
        <f t="shared" si="145"/>
        <v>0</v>
      </c>
      <c r="DN257" s="4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6"/>
      <c r="GD257" s="111">
        <f t="shared" si="146"/>
        <v>0</v>
      </c>
      <c r="GE257" s="4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6"/>
      <c r="IU257" s="111">
        <f t="shared" si="147"/>
        <v>0</v>
      </c>
      <c r="IV257" s="4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6"/>
      <c r="LL257" s="111">
        <f t="shared" si="148"/>
        <v>0</v>
      </c>
      <c r="LM257" s="4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6"/>
      <c r="OC257" s="111">
        <f t="shared" si="149"/>
        <v>0</v>
      </c>
      <c r="OD257" s="4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6"/>
      <c r="QT257" s="111">
        <f t="shared" si="150"/>
        <v>0</v>
      </c>
      <c r="QU257" s="4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6"/>
      <c r="TK257" s="111">
        <f t="shared" si="151"/>
        <v>0</v>
      </c>
      <c r="TL257" s="4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6"/>
    </row>
    <row r="258" spans="1:599" ht="14.25" customHeight="1" x14ac:dyDescent="0.3">
      <c r="A258" s="85"/>
      <c r="B258" s="39"/>
      <c r="C258" s="86"/>
      <c r="D258" s="86"/>
      <c r="E258" s="81"/>
      <c r="F258" s="81"/>
      <c r="G258" s="81"/>
      <c r="H258" s="81"/>
      <c r="I258" s="81"/>
      <c r="J258" s="81"/>
      <c r="K258" s="81"/>
      <c r="L258" s="81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89" t="str">
        <f t="shared" si="129"/>
        <v/>
      </c>
      <c r="Z258" s="89" t="str">
        <f t="shared" si="130"/>
        <v/>
      </c>
      <c r="AA258" s="89">
        <f t="shared" si="131"/>
        <v>0</v>
      </c>
      <c r="AB258" s="89">
        <f t="shared" si="132"/>
        <v>0</v>
      </c>
      <c r="AC258" s="90">
        <f t="shared" si="133"/>
        <v>0</v>
      </c>
      <c r="AD258" s="91">
        <f t="shared" si="134"/>
        <v>0</v>
      </c>
      <c r="AE258" s="93">
        <f t="shared" si="135"/>
        <v>0</v>
      </c>
      <c r="AF258" s="93">
        <f t="shared" si="136"/>
        <v>0</v>
      </c>
      <c r="AG258" s="93">
        <f t="shared" si="137"/>
        <v>0</v>
      </c>
      <c r="AH258" s="93">
        <f t="shared" si="138"/>
        <v>0</v>
      </c>
      <c r="AI258" s="93">
        <f t="shared" si="139"/>
        <v>0</v>
      </c>
      <c r="AJ258" s="93">
        <f t="shared" si="140"/>
        <v>0</v>
      </c>
      <c r="AK258" s="93">
        <f t="shared" si="141"/>
        <v>0</v>
      </c>
      <c r="AL258" s="93">
        <f t="shared" si="142"/>
        <v>0</v>
      </c>
      <c r="AM258" s="92">
        <f t="shared" si="143"/>
        <v>0</v>
      </c>
      <c r="AN258" s="1" t="str">
        <f t="shared" si="120"/>
        <v xml:space="preserve"> </v>
      </c>
      <c r="AO258" s="1" t="str">
        <f t="shared" si="121"/>
        <v xml:space="preserve"> </v>
      </c>
      <c r="AP258" s="1" t="str">
        <f t="shared" si="122"/>
        <v xml:space="preserve"> </v>
      </c>
      <c r="AQ258" s="1" t="str">
        <f t="shared" si="153"/>
        <v xml:space="preserve"> </v>
      </c>
      <c r="AR258" s="1" t="str">
        <f t="shared" si="124"/>
        <v xml:space="preserve"> </v>
      </c>
      <c r="AS258" s="1" t="str">
        <f t="shared" si="125"/>
        <v xml:space="preserve"> </v>
      </c>
      <c r="AT258" s="1" t="str">
        <f t="shared" si="126"/>
        <v xml:space="preserve"> </v>
      </c>
      <c r="AU258" s="103" t="str">
        <f t="shared" si="127"/>
        <v xml:space="preserve"> </v>
      </c>
      <c r="AV258" s="111">
        <f t="shared" si="144"/>
        <v>0</v>
      </c>
      <c r="AW258" s="4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6"/>
      <c r="DM258" s="111">
        <f t="shared" si="145"/>
        <v>0</v>
      </c>
      <c r="DN258" s="4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6"/>
      <c r="GD258" s="111">
        <f t="shared" si="146"/>
        <v>0</v>
      </c>
      <c r="GE258" s="4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6"/>
      <c r="IU258" s="111">
        <f t="shared" si="147"/>
        <v>0</v>
      </c>
      <c r="IV258" s="4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6"/>
      <c r="LL258" s="111">
        <f t="shared" si="148"/>
        <v>0</v>
      </c>
      <c r="LM258" s="4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6"/>
      <c r="OC258" s="111">
        <f t="shared" si="149"/>
        <v>0</v>
      </c>
      <c r="OD258" s="4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6"/>
      <c r="QT258" s="111">
        <f t="shared" si="150"/>
        <v>0</v>
      </c>
      <c r="QU258" s="4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6"/>
      <c r="TK258" s="111">
        <f t="shared" si="151"/>
        <v>0</v>
      </c>
      <c r="TL258" s="4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6"/>
    </row>
    <row r="259" spans="1:599" ht="14.25" customHeight="1" x14ac:dyDescent="0.3">
      <c r="A259" s="85"/>
      <c r="B259" s="39"/>
      <c r="C259" s="86"/>
      <c r="D259" s="86"/>
      <c r="E259" s="81"/>
      <c r="F259" s="81"/>
      <c r="G259" s="81"/>
      <c r="H259" s="81"/>
      <c r="I259" s="81"/>
      <c r="J259" s="81"/>
      <c r="K259" s="81"/>
      <c r="L259" s="81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89" t="str">
        <f t="shared" si="129"/>
        <v/>
      </c>
      <c r="Z259" s="89" t="str">
        <f t="shared" si="130"/>
        <v/>
      </c>
      <c r="AA259" s="89">
        <f t="shared" si="131"/>
        <v>0</v>
      </c>
      <c r="AB259" s="89">
        <f t="shared" si="132"/>
        <v>0</v>
      </c>
      <c r="AC259" s="90">
        <f t="shared" si="133"/>
        <v>0</v>
      </c>
      <c r="AD259" s="91">
        <f t="shared" si="134"/>
        <v>0</v>
      </c>
      <c r="AE259" s="93">
        <f t="shared" si="135"/>
        <v>0</v>
      </c>
      <c r="AF259" s="93">
        <f t="shared" si="136"/>
        <v>0</v>
      </c>
      <c r="AG259" s="93">
        <f t="shared" si="137"/>
        <v>0</v>
      </c>
      <c r="AH259" s="93">
        <f t="shared" si="138"/>
        <v>0</v>
      </c>
      <c r="AI259" s="93">
        <f t="shared" si="139"/>
        <v>0</v>
      </c>
      <c r="AJ259" s="93">
        <f t="shared" si="140"/>
        <v>0</v>
      </c>
      <c r="AK259" s="93">
        <f t="shared" si="141"/>
        <v>0</v>
      </c>
      <c r="AL259" s="93">
        <f t="shared" si="142"/>
        <v>0</v>
      </c>
      <c r="AM259" s="92">
        <f t="shared" si="143"/>
        <v>0</v>
      </c>
      <c r="AN259" s="1" t="str">
        <f t="shared" si="120"/>
        <v xml:space="preserve"> </v>
      </c>
      <c r="AO259" s="1" t="str">
        <f t="shared" si="121"/>
        <v xml:space="preserve"> </v>
      </c>
      <c r="AP259" s="1" t="str">
        <f t="shared" si="122"/>
        <v xml:space="preserve"> </v>
      </c>
      <c r="AQ259" s="1" t="str">
        <f t="shared" si="153"/>
        <v xml:space="preserve"> </v>
      </c>
      <c r="AR259" s="1" t="str">
        <f t="shared" si="124"/>
        <v xml:space="preserve"> </v>
      </c>
      <c r="AS259" s="1" t="str">
        <f t="shared" si="125"/>
        <v xml:space="preserve"> </v>
      </c>
      <c r="AT259" s="1" t="str">
        <f t="shared" si="126"/>
        <v xml:space="preserve"> </v>
      </c>
      <c r="AU259" s="103" t="str">
        <f t="shared" si="127"/>
        <v xml:space="preserve"> </v>
      </c>
      <c r="AV259" s="111">
        <f t="shared" si="144"/>
        <v>0</v>
      </c>
      <c r="AW259" s="4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6"/>
      <c r="DM259" s="111">
        <f t="shared" si="145"/>
        <v>0</v>
      </c>
      <c r="DN259" s="4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6"/>
      <c r="GD259" s="111">
        <f t="shared" si="146"/>
        <v>0</v>
      </c>
      <c r="GE259" s="4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6"/>
      <c r="IU259" s="111">
        <f t="shared" si="147"/>
        <v>0</v>
      </c>
      <c r="IV259" s="4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6"/>
      <c r="LL259" s="111">
        <f t="shared" si="148"/>
        <v>0</v>
      </c>
      <c r="LM259" s="4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6"/>
      <c r="OC259" s="111">
        <f t="shared" si="149"/>
        <v>0</v>
      </c>
      <c r="OD259" s="4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6"/>
      <c r="QT259" s="111">
        <f t="shared" si="150"/>
        <v>0</v>
      </c>
      <c r="QU259" s="4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6"/>
      <c r="TK259" s="111">
        <f t="shared" si="151"/>
        <v>0</v>
      </c>
      <c r="TL259" s="4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6"/>
    </row>
    <row r="260" spans="1:599" ht="14.25" customHeight="1" x14ac:dyDescent="0.3">
      <c r="A260" s="85"/>
      <c r="B260" s="39"/>
      <c r="C260" s="86"/>
      <c r="D260" s="86"/>
      <c r="E260" s="81"/>
      <c r="F260" s="81"/>
      <c r="G260" s="81"/>
      <c r="H260" s="81"/>
      <c r="I260" s="81"/>
      <c r="J260" s="81"/>
      <c r="K260" s="81"/>
      <c r="L260" s="81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89" t="str">
        <f t="shared" si="129"/>
        <v/>
      </c>
      <c r="Z260" s="89" t="str">
        <f t="shared" si="130"/>
        <v/>
      </c>
      <c r="AA260" s="89">
        <f t="shared" si="131"/>
        <v>0</v>
      </c>
      <c r="AB260" s="89">
        <f t="shared" si="132"/>
        <v>0</v>
      </c>
      <c r="AC260" s="90">
        <f t="shared" si="133"/>
        <v>0</v>
      </c>
      <c r="AD260" s="91">
        <f t="shared" si="134"/>
        <v>0</v>
      </c>
      <c r="AE260" s="93">
        <f t="shared" si="135"/>
        <v>0</v>
      </c>
      <c r="AF260" s="93">
        <f t="shared" si="136"/>
        <v>0</v>
      </c>
      <c r="AG260" s="93">
        <f t="shared" si="137"/>
        <v>0</v>
      </c>
      <c r="AH260" s="93">
        <f t="shared" si="138"/>
        <v>0</v>
      </c>
      <c r="AI260" s="93">
        <f t="shared" si="139"/>
        <v>0</v>
      </c>
      <c r="AJ260" s="93">
        <f t="shared" si="140"/>
        <v>0</v>
      </c>
      <c r="AK260" s="93">
        <f t="shared" si="141"/>
        <v>0</v>
      </c>
      <c r="AL260" s="93">
        <f t="shared" si="142"/>
        <v>0</v>
      </c>
      <c r="AM260" s="92">
        <f t="shared" si="143"/>
        <v>0</v>
      </c>
      <c r="AN260" s="1" t="str">
        <f t="shared" si="120"/>
        <v xml:space="preserve"> </v>
      </c>
      <c r="AO260" s="1" t="str">
        <f t="shared" si="121"/>
        <v xml:space="preserve"> </v>
      </c>
      <c r="AP260" s="1" t="str">
        <f t="shared" si="122"/>
        <v xml:space="preserve"> </v>
      </c>
      <c r="AQ260" s="1" t="str">
        <f t="shared" si="153"/>
        <v xml:space="preserve"> </v>
      </c>
      <c r="AR260" s="1" t="str">
        <f t="shared" si="124"/>
        <v xml:space="preserve"> </v>
      </c>
      <c r="AS260" s="1" t="str">
        <f t="shared" si="125"/>
        <v xml:space="preserve"> </v>
      </c>
      <c r="AT260" s="1" t="str">
        <f t="shared" si="126"/>
        <v xml:space="preserve"> </v>
      </c>
      <c r="AU260" s="103" t="str">
        <f t="shared" si="127"/>
        <v xml:space="preserve"> </v>
      </c>
      <c r="AV260" s="111">
        <f t="shared" si="144"/>
        <v>0</v>
      </c>
      <c r="AW260" s="4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6"/>
      <c r="DM260" s="111">
        <f t="shared" si="145"/>
        <v>0</v>
      </c>
      <c r="DN260" s="4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6"/>
      <c r="GD260" s="111">
        <f t="shared" si="146"/>
        <v>0</v>
      </c>
      <c r="GE260" s="4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6"/>
      <c r="IU260" s="111">
        <f t="shared" si="147"/>
        <v>0</v>
      </c>
      <c r="IV260" s="4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6"/>
      <c r="LL260" s="111">
        <f t="shared" si="148"/>
        <v>0</v>
      </c>
      <c r="LM260" s="4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6"/>
      <c r="OC260" s="111">
        <f t="shared" si="149"/>
        <v>0</v>
      </c>
      <c r="OD260" s="4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6"/>
      <c r="QT260" s="111">
        <f t="shared" si="150"/>
        <v>0</v>
      </c>
      <c r="QU260" s="4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6"/>
      <c r="TK260" s="111">
        <f t="shared" si="151"/>
        <v>0</v>
      </c>
      <c r="TL260" s="4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6"/>
    </row>
    <row r="261" spans="1:599" ht="14.25" customHeight="1" x14ac:dyDescent="0.3">
      <c r="A261" s="85"/>
      <c r="B261" s="39"/>
      <c r="C261" s="86"/>
      <c r="D261" s="86"/>
      <c r="E261" s="81"/>
      <c r="F261" s="81"/>
      <c r="G261" s="81"/>
      <c r="H261" s="81"/>
      <c r="I261" s="81"/>
      <c r="J261" s="81"/>
      <c r="K261" s="81"/>
      <c r="L261" s="81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89" t="str">
        <f t="shared" si="129"/>
        <v/>
      </c>
      <c r="Z261" s="89" t="str">
        <f t="shared" si="130"/>
        <v/>
      </c>
      <c r="AA261" s="89">
        <f t="shared" si="131"/>
        <v>0</v>
      </c>
      <c r="AB261" s="89">
        <f t="shared" si="132"/>
        <v>0</v>
      </c>
      <c r="AC261" s="90">
        <f t="shared" si="133"/>
        <v>0</v>
      </c>
      <c r="AD261" s="91">
        <f t="shared" si="134"/>
        <v>0</v>
      </c>
      <c r="AE261" s="93">
        <f t="shared" si="135"/>
        <v>0</v>
      </c>
      <c r="AF261" s="93">
        <f t="shared" si="136"/>
        <v>0</v>
      </c>
      <c r="AG261" s="93">
        <f t="shared" si="137"/>
        <v>0</v>
      </c>
      <c r="AH261" s="93">
        <f t="shared" si="138"/>
        <v>0</v>
      </c>
      <c r="AI261" s="93">
        <f t="shared" si="139"/>
        <v>0</v>
      </c>
      <c r="AJ261" s="93">
        <f t="shared" si="140"/>
        <v>0</v>
      </c>
      <c r="AK261" s="93">
        <f t="shared" si="141"/>
        <v>0</v>
      </c>
      <c r="AL261" s="93">
        <f t="shared" si="142"/>
        <v>0</v>
      </c>
      <c r="AM261" s="92">
        <f t="shared" si="143"/>
        <v>0</v>
      </c>
      <c r="AN261" s="1" t="str">
        <f t="shared" si="120"/>
        <v xml:space="preserve"> </v>
      </c>
      <c r="AO261" s="1" t="str">
        <f t="shared" si="121"/>
        <v xml:space="preserve"> </v>
      </c>
      <c r="AP261" s="1" t="str">
        <f t="shared" si="122"/>
        <v xml:space="preserve"> </v>
      </c>
      <c r="AQ261" s="1" t="str">
        <f t="shared" si="153"/>
        <v xml:space="preserve"> </v>
      </c>
      <c r="AR261" s="1" t="str">
        <f t="shared" si="124"/>
        <v xml:space="preserve"> </v>
      </c>
      <c r="AS261" s="1" t="str">
        <f t="shared" si="125"/>
        <v xml:space="preserve"> </v>
      </c>
      <c r="AT261" s="1" t="str">
        <f t="shared" si="126"/>
        <v xml:space="preserve"> </v>
      </c>
      <c r="AU261" s="103" t="str">
        <f t="shared" si="127"/>
        <v xml:space="preserve"> </v>
      </c>
      <c r="AV261" s="111">
        <f t="shared" si="144"/>
        <v>0</v>
      </c>
      <c r="AW261" s="4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6"/>
      <c r="DM261" s="111">
        <f t="shared" si="145"/>
        <v>0</v>
      </c>
      <c r="DN261" s="4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6"/>
      <c r="GD261" s="111">
        <f t="shared" si="146"/>
        <v>0</v>
      </c>
      <c r="GE261" s="4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6"/>
      <c r="IU261" s="111">
        <f t="shared" si="147"/>
        <v>0</v>
      </c>
      <c r="IV261" s="4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6"/>
      <c r="LL261" s="111">
        <f t="shared" si="148"/>
        <v>0</v>
      </c>
      <c r="LM261" s="4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6"/>
      <c r="OC261" s="111">
        <f t="shared" si="149"/>
        <v>0</v>
      </c>
      <c r="OD261" s="4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6"/>
      <c r="QT261" s="111">
        <f t="shared" si="150"/>
        <v>0</v>
      </c>
      <c r="QU261" s="4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6"/>
      <c r="TK261" s="111">
        <f t="shared" si="151"/>
        <v>0</v>
      </c>
      <c r="TL261" s="4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6"/>
    </row>
    <row r="262" spans="1:599" ht="14.25" customHeight="1" x14ac:dyDescent="0.3">
      <c r="A262" s="85"/>
      <c r="B262" s="39"/>
      <c r="C262" s="86"/>
      <c r="D262" s="86"/>
      <c r="E262" s="81"/>
      <c r="F262" s="81"/>
      <c r="G262" s="81"/>
      <c r="H262" s="81"/>
      <c r="I262" s="81"/>
      <c r="J262" s="81"/>
      <c r="K262" s="81"/>
      <c r="L262" s="81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89" t="str">
        <f t="shared" si="129"/>
        <v/>
      </c>
      <c r="Z262" s="89" t="str">
        <f t="shared" si="130"/>
        <v/>
      </c>
      <c r="AA262" s="89">
        <f t="shared" si="131"/>
        <v>0</v>
      </c>
      <c r="AB262" s="89">
        <f t="shared" si="132"/>
        <v>0</v>
      </c>
      <c r="AC262" s="90">
        <f t="shared" si="133"/>
        <v>0</v>
      </c>
      <c r="AD262" s="91">
        <f t="shared" si="134"/>
        <v>0</v>
      </c>
      <c r="AE262" s="93">
        <f t="shared" si="135"/>
        <v>0</v>
      </c>
      <c r="AF262" s="93">
        <f t="shared" si="136"/>
        <v>0</v>
      </c>
      <c r="AG262" s="93">
        <f t="shared" si="137"/>
        <v>0</v>
      </c>
      <c r="AH262" s="93">
        <f t="shared" si="138"/>
        <v>0</v>
      </c>
      <c r="AI262" s="93">
        <f t="shared" si="139"/>
        <v>0</v>
      </c>
      <c r="AJ262" s="93">
        <f t="shared" si="140"/>
        <v>0</v>
      </c>
      <c r="AK262" s="93">
        <f t="shared" si="141"/>
        <v>0</v>
      </c>
      <c r="AL262" s="93">
        <f t="shared" si="142"/>
        <v>0</v>
      </c>
      <c r="AM262" s="92">
        <f t="shared" si="143"/>
        <v>0</v>
      </c>
      <c r="AN262" s="1" t="str">
        <f t="shared" si="120"/>
        <v xml:space="preserve"> </v>
      </c>
      <c r="AO262" s="1" t="str">
        <f t="shared" si="121"/>
        <v xml:space="preserve"> </v>
      </c>
      <c r="AP262" s="1" t="str">
        <f t="shared" si="122"/>
        <v xml:space="preserve"> </v>
      </c>
      <c r="AQ262" s="1" t="str">
        <f t="shared" si="153"/>
        <v xml:space="preserve"> </v>
      </c>
      <c r="AR262" s="1" t="str">
        <f t="shared" si="124"/>
        <v xml:space="preserve"> </v>
      </c>
      <c r="AS262" s="1" t="str">
        <f t="shared" si="125"/>
        <v xml:space="preserve"> </v>
      </c>
      <c r="AT262" s="1" t="str">
        <f t="shared" si="126"/>
        <v xml:space="preserve"> </v>
      </c>
      <c r="AU262" s="103" t="str">
        <f t="shared" si="127"/>
        <v xml:space="preserve"> </v>
      </c>
      <c r="AV262" s="111">
        <f t="shared" si="144"/>
        <v>0</v>
      </c>
      <c r="AW262" s="4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6"/>
      <c r="DM262" s="111">
        <f t="shared" si="145"/>
        <v>0</v>
      </c>
      <c r="DN262" s="4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6"/>
      <c r="GD262" s="111">
        <f t="shared" si="146"/>
        <v>0</v>
      </c>
      <c r="GE262" s="4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6"/>
      <c r="IU262" s="111">
        <f t="shared" si="147"/>
        <v>0</v>
      </c>
      <c r="IV262" s="4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6"/>
      <c r="LL262" s="111">
        <f t="shared" si="148"/>
        <v>0</v>
      </c>
      <c r="LM262" s="4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6"/>
      <c r="OC262" s="111">
        <f t="shared" si="149"/>
        <v>0</v>
      </c>
      <c r="OD262" s="4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6"/>
      <c r="QT262" s="111">
        <f t="shared" si="150"/>
        <v>0</v>
      </c>
      <c r="QU262" s="4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6"/>
      <c r="TK262" s="111">
        <f t="shared" si="151"/>
        <v>0</v>
      </c>
      <c r="TL262" s="4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6"/>
    </row>
    <row r="263" spans="1:599" ht="14.25" customHeight="1" x14ac:dyDescent="0.3">
      <c r="A263" s="85"/>
      <c r="B263" s="39"/>
      <c r="C263" s="86"/>
      <c r="D263" s="86"/>
      <c r="E263" s="81"/>
      <c r="F263" s="81"/>
      <c r="G263" s="81"/>
      <c r="H263" s="81"/>
      <c r="I263" s="81"/>
      <c r="J263" s="81"/>
      <c r="K263" s="81"/>
      <c r="L263" s="81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89" t="str">
        <f t="shared" si="129"/>
        <v/>
      </c>
      <c r="Z263" s="89" t="str">
        <f t="shared" si="130"/>
        <v/>
      </c>
      <c r="AA263" s="89">
        <f t="shared" si="131"/>
        <v>0</v>
      </c>
      <c r="AB263" s="89">
        <f t="shared" si="132"/>
        <v>0</v>
      </c>
      <c r="AC263" s="90">
        <f t="shared" si="133"/>
        <v>0</v>
      </c>
      <c r="AD263" s="91">
        <f t="shared" si="134"/>
        <v>0</v>
      </c>
      <c r="AE263" s="93">
        <f t="shared" si="135"/>
        <v>0</v>
      </c>
      <c r="AF263" s="93">
        <f t="shared" si="136"/>
        <v>0</v>
      </c>
      <c r="AG263" s="93">
        <f t="shared" si="137"/>
        <v>0</v>
      </c>
      <c r="AH263" s="93">
        <f t="shared" si="138"/>
        <v>0</v>
      </c>
      <c r="AI263" s="93">
        <f t="shared" si="139"/>
        <v>0</v>
      </c>
      <c r="AJ263" s="93">
        <f t="shared" si="140"/>
        <v>0</v>
      </c>
      <c r="AK263" s="93">
        <f t="shared" si="141"/>
        <v>0</v>
      </c>
      <c r="AL263" s="93">
        <f t="shared" si="142"/>
        <v>0</v>
      </c>
      <c r="AM263" s="92">
        <f t="shared" si="143"/>
        <v>0</v>
      </c>
      <c r="AN263" s="1" t="str">
        <f t="shared" si="120"/>
        <v xml:space="preserve"> </v>
      </c>
      <c r="AO263" s="1" t="str">
        <f t="shared" si="121"/>
        <v xml:space="preserve"> </v>
      </c>
      <c r="AP263" s="1" t="str">
        <f t="shared" si="122"/>
        <v xml:space="preserve"> </v>
      </c>
      <c r="AQ263" s="1" t="str">
        <f t="shared" si="153"/>
        <v xml:space="preserve"> </v>
      </c>
      <c r="AR263" s="1" t="str">
        <f t="shared" si="124"/>
        <v xml:space="preserve"> </v>
      </c>
      <c r="AS263" s="1" t="str">
        <f t="shared" si="125"/>
        <v xml:space="preserve"> </v>
      </c>
      <c r="AT263" s="1" t="str">
        <f t="shared" si="126"/>
        <v xml:space="preserve"> </v>
      </c>
      <c r="AU263" s="103" t="str">
        <f t="shared" si="127"/>
        <v xml:space="preserve"> </v>
      </c>
      <c r="AV263" s="111">
        <f t="shared" si="144"/>
        <v>0</v>
      </c>
      <c r="AW263" s="4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6"/>
      <c r="DM263" s="111">
        <f t="shared" si="145"/>
        <v>0</v>
      </c>
      <c r="DN263" s="4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6"/>
      <c r="GD263" s="111">
        <f t="shared" si="146"/>
        <v>0</v>
      </c>
      <c r="GE263" s="4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6"/>
      <c r="IU263" s="111">
        <f t="shared" si="147"/>
        <v>0</v>
      </c>
      <c r="IV263" s="4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6"/>
      <c r="LL263" s="111">
        <f t="shared" si="148"/>
        <v>0</v>
      </c>
      <c r="LM263" s="4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6"/>
      <c r="OC263" s="111">
        <f t="shared" si="149"/>
        <v>0</v>
      </c>
      <c r="OD263" s="4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6"/>
      <c r="QT263" s="111">
        <f t="shared" si="150"/>
        <v>0</v>
      </c>
      <c r="QU263" s="4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6"/>
      <c r="TK263" s="111">
        <f t="shared" si="151"/>
        <v>0</v>
      </c>
      <c r="TL263" s="4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6"/>
    </row>
    <row r="264" spans="1:599" ht="14.25" customHeight="1" x14ac:dyDescent="0.3">
      <c r="A264" s="85"/>
      <c r="B264" s="39"/>
      <c r="C264" s="86"/>
      <c r="D264" s="86"/>
      <c r="E264" s="81"/>
      <c r="F264" s="81"/>
      <c r="G264" s="81"/>
      <c r="H264" s="81"/>
      <c r="I264" s="81"/>
      <c r="J264" s="81"/>
      <c r="K264" s="81"/>
      <c r="L264" s="81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89" t="str">
        <f t="shared" ref="Y264:Y297" si="154">CONCATENATE(IF(M264&gt;0,M264,""),IF(N264&gt;0,CONCATENATE("+", N264),""),IF(O264&gt;0,CONCATENATE("+", O264),""),IF(P264&gt;0,CONCATENATE("+", P264),""),IF(Q264&gt;0,CONCATENATE("+", Q264),""),IF(R264&gt;0,CONCATENATE("+", R264),""))</f>
        <v/>
      </c>
      <c r="Z264" s="89" t="str">
        <f t="shared" ref="Z264:Z297" si="155">CONCATENATE(IF(S264&gt;0,S264,""),IF(T264&gt;0,CONCATENATE("+", T264),""),IF(U264&gt;0,CONCATENATE("+", U264),""),IF(V264&gt;0,CONCATENATE("+", V264),""),IF(W264&gt;0,CONCATENATE("+", W264),""),IF(X264&gt;0,CONCATENATE("+", X264),""))</f>
        <v/>
      </c>
      <c r="AA264" s="89">
        <f>SUM(M264:R264)</f>
        <v>0</v>
      </c>
      <c r="AB264" s="89">
        <f t="shared" ref="AB264:AB297" si="156">SUM(S264:X264)</f>
        <v>0</v>
      </c>
      <c r="AC264" s="90">
        <f t="shared" ref="AC264:AC297" si="157">SUM(AW264:DL264)+SUM(DN264:GC264)+SUM(GE264:IT264)+SUM(IV264:LK264)+SUM(LM264:OB264)+SUM(OD264:QS264)+SUM(QU264:TJ264)+SUM(TL264:WA264)</f>
        <v>0</v>
      </c>
      <c r="AD264" s="91">
        <f t="shared" ref="AD264:AD297" si="158">AA264*AB264/1000000</f>
        <v>0</v>
      </c>
      <c r="AE264" s="93">
        <f t="shared" ref="AE264:AE297" si="159">AV264</f>
        <v>0</v>
      </c>
      <c r="AF264" s="93">
        <f t="shared" ref="AF264:AF297" si="160">DM264</f>
        <v>0</v>
      </c>
      <c r="AG264" s="93">
        <f t="shared" ref="AG264:AG297" si="161">GD264</f>
        <v>0</v>
      </c>
      <c r="AH264" s="93">
        <f t="shared" ref="AH264:AH297" si="162">IU264</f>
        <v>0</v>
      </c>
      <c r="AI264" s="93">
        <f t="shared" ref="AI264:AI297" si="163">LN264</f>
        <v>0</v>
      </c>
      <c r="AJ264" s="93">
        <f t="shared" ref="AJ264:AJ297" si="164">OC264</f>
        <v>0</v>
      </c>
      <c r="AK264" s="93">
        <f t="shared" ref="AK264:AK297" si="165">QT264</f>
        <v>0</v>
      </c>
      <c r="AL264" s="93">
        <f t="shared" ref="AL264:AL297" si="166">TK264</f>
        <v>0</v>
      </c>
      <c r="AM264" s="92">
        <f t="shared" ref="AM264:AM297" si="167">AA264*AB264*AC264/1000000</f>
        <v>0</v>
      </c>
      <c r="AN264" s="1" t="str">
        <f>IF(E264&gt;0,E264*$AC264*$AB264/1000," ")</f>
        <v xml:space="preserve"> </v>
      </c>
      <c r="AO264" s="1" t="str">
        <f t="shared" ref="AO264:AP268" si="168">IF(F264&gt;0,F264*$AC264*$AA264/1000," ")</f>
        <v xml:space="preserve"> </v>
      </c>
      <c r="AP264" s="1" t="str">
        <f t="shared" si="168"/>
        <v xml:space="preserve"> </v>
      </c>
      <c r="AQ264" s="1" t="str">
        <f>IF(H264&gt;0,H264*$AC264*$AB264/1000," ")</f>
        <v xml:space="preserve"> </v>
      </c>
      <c r="AR264" s="1" t="str">
        <f t="shared" ref="AR264:AT268" si="169">IF(I264&gt;0,I264*$AC264*$AA264/1000," ")</f>
        <v xml:space="preserve"> </v>
      </c>
      <c r="AS264" s="1" t="str">
        <f t="shared" si="169"/>
        <v xml:space="preserve"> </v>
      </c>
      <c r="AT264" s="1" t="str">
        <f t="shared" si="169"/>
        <v xml:space="preserve"> </v>
      </c>
      <c r="AU264" s="103" t="str">
        <f>IF(L264&gt;0,L264*$AC264*$AB264/1000," ")</f>
        <v xml:space="preserve"> </v>
      </c>
      <c r="AV264" s="111">
        <f t="shared" ref="AV264:AV297" si="170">SUM(AW264:DL264)*AD264</f>
        <v>0</v>
      </c>
      <c r="AW264" s="4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6"/>
      <c r="DM264" s="111">
        <f t="shared" ref="DM264:DM297" si="171">SUM(DN264:GC264)*AD264</f>
        <v>0</v>
      </c>
      <c r="DN264" s="4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6"/>
      <c r="GD264" s="111">
        <f t="shared" ref="GD264:GD297" si="172">SUM(GE264:IT264)*AD264</f>
        <v>0</v>
      </c>
      <c r="GE264" s="4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6"/>
      <c r="IU264" s="111">
        <f t="shared" ref="IU264:IU297" si="173">SUM(IV264:LK264)*AD264</f>
        <v>0</v>
      </c>
      <c r="IV264" s="4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6"/>
      <c r="LL264" s="111">
        <f t="shared" ref="LL264:LL297" si="174">SUM(LM264:OB264)*AD264</f>
        <v>0</v>
      </c>
      <c r="LM264" s="4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6"/>
      <c r="OC264" s="111">
        <f t="shared" ref="OC264:OC297" si="175">SUM(OD264:QS264)*AD264</f>
        <v>0</v>
      </c>
      <c r="OD264" s="4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6"/>
      <c r="QT264" s="111">
        <f t="shared" ref="QT264:QT297" si="176">SUM(QU264:TJ264)*AD264</f>
        <v>0</v>
      </c>
      <c r="QU264" s="4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6"/>
      <c r="TK264" s="111">
        <f t="shared" ref="TK264:TK297" si="177">SUM(TL264:WA264)*AD264</f>
        <v>0</v>
      </c>
      <c r="TL264" s="4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6"/>
    </row>
    <row r="265" spans="1:599" ht="14.25" customHeight="1" x14ac:dyDescent="0.3">
      <c r="A265" s="85"/>
      <c r="B265" s="39"/>
      <c r="C265" s="86"/>
      <c r="D265" s="86"/>
      <c r="E265" s="81"/>
      <c r="F265" s="81"/>
      <c r="G265" s="81"/>
      <c r="H265" s="81"/>
      <c r="I265" s="81"/>
      <c r="J265" s="81"/>
      <c r="K265" s="81"/>
      <c r="L265" s="81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89" t="str">
        <f t="shared" si="154"/>
        <v/>
      </c>
      <c r="Z265" s="89" t="str">
        <f t="shared" si="155"/>
        <v/>
      </c>
      <c r="AA265" s="89">
        <f>SUM(M265:R265)</f>
        <v>0</v>
      </c>
      <c r="AB265" s="89">
        <f t="shared" si="156"/>
        <v>0</v>
      </c>
      <c r="AC265" s="90">
        <f t="shared" si="157"/>
        <v>0</v>
      </c>
      <c r="AD265" s="91">
        <f t="shared" si="158"/>
        <v>0</v>
      </c>
      <c r="AE265" s="93">
        <f t="shared" si="159"/>
        <v>0</v>
      </c>
      <c r="AF265" s="93">
        <f t="shared" si="160"/>
        <v>0</v>
      </c>
      <c r="AG265" s="93">
        <f t="shared" si="161"/>
        <v>0</v>
      </c>
      <c r="AH265" s="93">
        <f t="shared" si="162"/>
        <v>0</v>
      </c>
      <c r="AI265" s="93">
        <f t="shared" si="163"/>
        <v>0</v>
      </c>
      <c r="AJ265" s="93">
        <f t="shared" si="164"/>
        <v>0</v>
      </c>
      <c r="AK265" s="93">
        <f t="shared" si="165"/>
        <v>0</v>
      </c>
      <c r="AL265" s="93">
        <f t="shared" si="166"/>
        <v>0</v>
      </c>
      <c r="AM265" s="92">
        <f t="shared" si="167"/>
        <v>0</v>
      </c>
      <c r="AN265" s="1" t="str">
        <f>IF(E265&gt;0,E265*$AC265*$AB265/1000," ")</f>
        <v xml:space="preserve"> </v>
      </c>
      <c r="AO265" s="1" t="str">
        <f t="shared" si="168"/>
        <v xml:space="preserve"> </v>
      </c>
      <c r="AP265" s="1" t="str">
        <f t="shared" si="168"/>
        <v xml:space="preserve"> </v>
      </c>
      <c r="AQ265" s="1" t="str">
        <f>IF(H265&gt;0,H265*$AC265*$AB265/1000," ")</f>
        <v xml:space="preserve"> </v>
      </c>
      <c r="AR265" s="1" t="str">
        <f t="shared" si="169"/>
        <v xml:space="preserve"> </v>
      </c>
      <c r="AS265" s="1" t="str">
        <f t="shared" si="169"/>
        <v xml:space="preserve"> </v>
      </c>
      <c r="AT265" s="1" t="str">
        <f t="shared" si="169"/>
        <v xml:space="preserve"> </v>
      </c>
      <c r="AU265" s="103" t="str">
        <f>IF(L265&gt;0,L265*$AC265*$AB265/1000," ")</f>
        <v xml:space="preserve"> </v>
      </c>
      <c r="AV265" s="111">
        <f t="shared" si="170"/>
        <v>0</v>
      </c>
      <c r="AW265" s="4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6"/>
      <c r="DM265" s="111">
        <f t="shared" si="171"/>
        <v>0</v>
      </c>
      <c r="DN265" s="4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6"/>
      <c r="GD265" s="111">
        <f t="shared" si="172"/>
        <v>0</v>
      </c>
      <c r="GE265" s="4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6"/>
      <c r="IU265" s="111">
        <f t="shared" si="173"/>
        <v>0</v>
      </c>
      <c r="IV265" s="4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6"/>
      <c r="LL265" s="111">
        <f t="shared" si="174"/>
        <v>0</v>
      </c>
      <c r="LM265" s="4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6"/>
      <c r="OC265" s="111">
        <f t="shared" si="175"/>
        <v>0</v>
      </c>
      <c r="OD265" s="4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6"/>
      <c r="QT265" s="111">
        <f t="shared" si="176"/>
        <v>0</v>
      </c>
      <c r="QU265" s="4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6"/>
      <c r="TK265" s="111">
        <f t="shared" si="177"/>
        <v>0</v>
      </c>
      <c r="TL265" s="4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6"/>
    </row>
    <row r="266" spans="1:599" ht="14.25" customHeight="1" x14ac:dyDescent="0.3">
      <c r="A266" s="85"/>
      <c r="B266" s="39"/>
      <c r="C266" s="86"/>
      <c r="D266" s="86"/>
      <c r="E266" s="81"/>
      <c r="F266" s="81"/>
      <c r="G266" s="81"/>
      <c r="H266" s="81"/>
      <c r="I266" s="81"/>
      <c r="J266" s="81"/>
      <c r="K266" s="81"/>
      <c r="L266" s="81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89" t="str">
        <f t="shared" si="154"/>
        <v/>
      </c>
      <c r="Z266" s="89" t="str">
        <f t="shared" si="155"/>
        <v/>
      </c>
      <c r="AA266" s="89">
        <f>SUM(M266:R266)</f>
        <v>0</v>
      </c>
      <c r="AB266" s="89">
        <f t="shared" si="156"/>
        <v>0</v>
      </c>
      <c r="AC266" s="90">
        <f t="shared" si="157"/>
        <v>0</v>
      </c>
      <c r="AD266" s="91">
        <f t="shared" si="158"/>
        <v>0</v>
      </c>
      <c r="AE266" s="93">
        <f t="shared" si="159"/>
        <v>0</v>
      </c>
      <c r="AF266" s="93">
        <f t="shared" si="160"/>
        <v>0</v>
      </c>
      <c r="AG266" s="93">
        <f t="shared" si="161"/>
        <v>0</v>
      </c>
      <c r="AH266" s="93">
        <f t="shared" si="162"/>
        <v>0</v>
      </c>
      <c r="AI266" s="93">
        <f t="shared" si="163"/>
        <v>0</v>
      </c>
      <c r="AJ266" s="93">
        <f t="shared" si="164"/>
        <v>0</v>
      </c>
      <c r="AK266" s="93">
        <f t="shared" si="165"/>
        <v>0</v>
      </c>
      <c r="AL266" s="93">
        <f t="shared" si="166"/>
        <v>0</v>
      </c>
      <c r="AM266" s="92">
        <f t="shared" si="167"/>
        <v>0</v>
      </c>
      <c r="AN266" s="1" t="str">
        <f>IF(E266&gt;0,E266*$AC266*$AB266/1000," ")</f>
        <v xml:space="preserve"> </v>
      </c>
      <c r="AO266" s="1" t="str">
        <f t="shared" si="168"/>
        <v xml:space="preserve"> </v>
      </c>
      <c r="AP266" s="1" t="str">
        <f t="shared" si="168"/>
        <v xml:space="preserve"> </v>
      </c>
      <c r="AQ266" s="1" t="str">
        <f>IF(H266&gt;0,H266*$AC266*$AB266/1000," ")</f>
        <v xml:space="preserve"> </v>
      </c>
      <c r="AR266" s="1" t="str">
        <f t="shared" si="169"/>
        <v xml:space="preserve"> </v>
      </c>
      <c r="AS266" s="1" t="str">
        <f t="shared" si="169"/>
        <v xml:space="preserve"> </v>
      </c>
      <c r="AT266" s="1" t="str">
        <f t="shared" si="169"/>
        <v xml:space="preserve"> </v>
      </c>
      <c r="AU266" s="103" t="str">
        <f>IF(L266&gt;0,L266*$AC266*$AB266/1000," ")</f>
        <v xml:space="preserve"> </v>
      </c>
      <c r="AV266" s="111">
        <f t="shared" si="170"/>
        <v>0</v>
      </c>
      <c r="AW266" s="4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6"/>
      <c r="DM266" s="111">
        <f t="shared" si="171"/>
        <v>0</v>
      </c>
      <c r="DN266" s="4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6"/>
      <c r="GD266" s="111">
        <f t="shared" si="172"/>
        <v>0</v>
      </c>
      <c r="GE266" s="4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6"/>
      <c r="IU266" s="111">
        <f t="shared" si="173"/>
        <v>0</v>
      </c>
      <c r="IV266" s="4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6"/>
      <c r="LL266" s="111">
        <f t="shared" si="174"/>
        <v>0</v>
      </c>
      <c r="LM266" s="4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6"/>
      <c r="OC266" s="111">
        <f t="shared" si="175"/>
        <v>0</v>
      </c>
      <c r="OD266" s="4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6"/>
      <c r="QT266" s="111">
        <f t="shared" si="176"/>
        <v>0</v>
      </c>
      <c r="QU266" s="4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6"/>
      <c r="TK266" s="111">
        <f t="shared" si="177"/>
        <v>0</v>
      </c>
      <c r="TL266" s="4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6"/>
    </row>
    <row r="267" spans="1:599" ht="14.25" customHeight="1" x14ac:dyDescent="0.3">
      <c r="A267" s="85"/>
      <c r="B267" s="39"/>
      <c r="C267" s="86"/>
      <c r="D267" s="86"/>
      <c r="E267" s="81"/>
      <c r="F267" s="81"/>
      <c r="G267" s="81"/>
      <c r="H267" s="81"/>
      <c r="I267" s="81"/>
      <c r="J267" s="81"/>
      <c r="K267" s="81"/>
      <c r="L267" s="81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89" t="str">
        <f t="shared" si="154"/>
        <v/>
      </c>
      <c r="Z267" s="89" t="str">
        <f t="shared" si="155"/>
        <v/>
      </c>
      <c r="AA267" s="89">
        <f>SUM(M267:R267)</f>
        <v>0</v>
      </c>
      <c r="AB267" s="89">
        <f t="shared" si="156"/>
        <v>0</v>
      </c>
      <c r="AC267" s="90">
        <f t="shared" si="157"/>
        <v>0</v>
      </c>
      <c r="AD267" s="91">
        <f t="shared" si="158"/>
        <v>0</v>
      </c>
      <c r="AE267" s="93">
        <f t="shared" si="159"/>
        <v>0</v>
      </c>
      <c r="AF267" s="93">
        <f t="shared" si="160"/>
        <v>0</v>
      </c>
      <c r="AG267" s="93">
        <f t="shared" si="161"/>
        <v>0</v>
      </c>
      <c r="AH267" s="93">
        <f t="shared" si="162"/>
        <v>0</v>
      </c>
      <c r="AI267" s="93">
        <f t="shared" si="163"/>
        <v>0</v>
      </c>
      <c r="AJ267" s="93">
        <f t="shared" si="164"/>
        <v>0</v>
      </c>
      <c r="AK267" s="93">
        <f t="shared" si="165"/>
        <v>0</v>
      </c>
      <c r="AL267" s="93">
        <f t="shared" si="166"/>
        <v>0</v>
      </c>
      <c r="AM267" s="92">
        <f t="shared" si="167"/>
        <v>0</v>
      </c>
      <c r="AN267" s="1" t="str">
        <f>IF(E267&gt;0,E267*$AC267*$AB267/1000," ")</f>
        <v xml:space="preserve"> </v>
      </c>
      <c r="AO267" s="1" t="str">
        <f t="shared" si="168"/>
        <v xml:space="preserve"> </v>
      </c>
      <c r="AP267" s="1" t="str">
        <f t="shared" si="168"/>
        <v xml:space="preserve"> </v>
      </c>
      <c r="AQ267" s="1" t="str">
        <f>IF(H267&gt;0,H267*$AC267*$AB267/1000," ")</f>
        <v xml:space="preserve"> </v>
      </c>
      <c r="AR267" s="1" t="str">
        <f t="shared" si="169"/>
        <v xml:space="preserve"> </v>
      </c>
      <c r="AS267" s="1" t="str">
        <f t="shared" si="169"/>
        <v xml:space="preserve"> </v>
      </c>
      <c r="AT267" s="1" t="str">
        <f t="shared" si="169"/>
        <v xml:space="preserve"> </v>
      </c>
      <c r="AU267" s="103" t="str">
        <f>IF(L267&gt;0,L267*$AC267*$AB267/1000," ")</f>
        <v xml:space="preserve"> </v>
      </c>
      <c r="AV267" s="111">
        <f t="shared" si="170"/>
        <v>0</v>
      </c>
      <c r="AW267" s="4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6"/>
      <c r="DM267" s="111">
        <f t="shared" si="171"/>
        <v>0</v>
      </c>
      <c r="DN267" s="4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6"/>
      <c r="GD267" s="111">
        <f t="shared" si="172"/>
        <v>0</v>
      </c>
      <c r="GE267" s="4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6"/>
      <c r="IU267" s="111">
        <f t="shared" si="173"/>
        <v>0</v>
      </c>
      <c r="IV267" s="4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6"/>
      <c r="LL267" s="111">
        <f t="shared" si="174"/>
        <v>0</v>
      </c>
      <c r="LM267" s="4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6"/>
      <c r="OC267" s="111">
        <f t="shared" si="175"/>
        <v>0</v>
      </c>
      <c r="OD267" s="4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6"/>
      <c r="QT267" s="111">
        <f t="shared" si="176"/>
        <v>0</v>
      </c>
      <c r="QU267" s="4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6"/>
      <c r="TK267" s="111">
        <f t="shared" si="177"/>
        <v>0</v>
      </c>
      <c r="TL267" s="4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6"/>
    </row>
    <row r="268" spans="1:599" ht="14.25" customHeight="1" x14ac:dyDescent="0.3">
      <c r="A268" s="85"/>
      <c r="B268" s="39"/>
      <c r="C268" s="86"/>
      <c r="D268" s="86"/>
      <c r="E268" s="81"/>
      <c r="F268" s="81"/>
      <c r="G268" s="81"/>
      <c r="H268" s="81"/>
      <c r="I268" s="81"/>
      <c r="J268" s="81"/>
      <c r="K268" s="81"/>
      <c r="L268" s="81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89" t="str">
        <f t="shared" si="154"/>
        <v/>
      </c>
      <c r="Z268" s="89" t="str">
        <f t="shared" si="155"/>
        <v/>
      </c>
      <c r="AA268" s="89">
        <f>SUM(M268:R268)</f>
        <v>0</v>
      </c>
      <c r="AB268" s="89">
        <f t="shared" si="156"/>
        <v>0</v>
      </c>
      <c r="AC268" s="90">
        <f t="shared" si="157"/>
        <v>0</v>
      </c>
      <c r="AD268" s="91">
        <f t="shared" si="158"/>
        <v>0</v>
      </c>
      <c r="AE268" s="93">
        <f t="shared" si="159"/>
        <v>0</v>
      </c>
      <c r="AF268" s="93">
        <f t="shared" si="160"/>
        <v>0</v>
      </c>
      <c r="AG268" s="93">
        <f t="shared" si="161"/>
        <v>0</v>
      </c>
      <c r="AH268" s="93">
        <f t="shared" si="162"/>
        <v>0</v>
      </c>
      <c r="AI268" s="93">
        <f t="shared" si="163"/>
        <v>0</v>
      </c>
      <c r="AJ268" s="93">
        <f t="shared" si="164"/>
        <v>0</v>
      </c>
      <c r="AK268" s="93">
        <f t="shared" si="165"/>
        <v>0</v>
      </c>
      <c r="AL268" s="93">
        <f t="shared" si="166"/>
        <v>0</v>
      </c>
      <c r="AM268" s="92">
        <f t="shared" si="167"/>
        <v>0</v>
      </c>
      <c r="AN268" s="1" t="str">
        <f>IF(E268&gt;0,E268*$AC268*$AB268/1000," ")</f>
        <v xml:space="preserve"> </v>
      </c>
      <c r="AO268" s="1" t="str">
        <f t="shared" si="168"/>
        <v xml:space="preserve"> </v>
      </c>
      <c r="AP268" s="1" t="str">
        <f t="shared" si="168"/>
        <v xml:space="preserve"> </v>
      </c>
      <c r="AQ268" s="1" t="str">
        <f>IF(H268&gt;0,H268*$AC268*$AB268/1000," ")</f>
        <v xml:space="preserve"> </v>
      </c>
      <c r="AR268" s="1" t="str">
        <f t="shared" si="169"/>
        <v xml:space="preserve"> </v>
      </c>
      <c r="AS268" s="1" t="str">
        <f t="shared" si="169"/>
        <v xml:space="preserve"> </v>
      </c>
      <c r="AT268" s="1" t="str">
        <f t="shared" si="169"/>
        <v xml:space="preserve"> </v>
      </c>
      <c r="AU268" s="103" t="str">
        <f>IF(L268&gt;0,L268*$AC268*$AB268/1000," ")</f>
        <v xml:space="preserve"> </v>
      </c>
      <c r="AV268" s="111">
        <f t="shared" si="170"/>
        <v>0</v>
      </c>
      <c r="AW268" s="4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6"/>
      <c r="DM268" s="111">
        <f t="shared" si="171"/>
        <v>0</v>
      </c>
      <c r="DN268" s="4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6"/>
      <c r="GD268" s="111">
        <f t="shared" si="172"/>
        <v>0</v>
      </c>
      <c r="GE268" s="4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6"/>
      <c r="IU268" s="111">
        <f t="shared" si="173"/>
        <v>0</v>
      </c>
      <c r="IV268" s="4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6"/>
      <c r="LL268" s="111">
        <f t="shared" si="174"/>
        <v>0</v>
      </c>
      <c r="LM268" s="4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6"/>
      <c r="OC268" s="111">
        <f t="shared" si="175"/>
        <v>0</v>
      </c>
      <c r="OD268" s="4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6"/>
      <c r="QT268" s="111">
        <f t="shared" si="176"/>
        <v>0</v>
      </c>
      <c r="QU268" s="4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6"/>
      <c r="TK268" s="111">
        <f t="shared" si="177"/>
        <v>0</v>
      </c>
      <c r="TL268" s="4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6"/>
    </row>
    <row r="269" spans="1:599" ht="14.25" customHeight="1" x14ac:dyDescent="0.3">
      <c r="A269" s="85"/>
      <c r="B269" s="39"/>
      <c r="C269" s="86"/>
      <c r="D269" s="86"/>
      <c r="E269" s="81"/>
      <c r="F269" s="81"/>
      <c r="G269" s="81"/>
      <c r="H269" s="81"/>
      <c r="I269" s="81"/>
      <c r="J269" s="81"/>
      <c r="K269" s="81"/>
      <c r="L269" s="81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89" t="str">
        <f t="shared" si="154"/>
        <v/>
      </c>
      <c r="Z269" s="89" t="str">
        <f t="shared" si="155"/>
        <v/>
      </c>
      <c r="AA269" s="89">
        <f t="shared" ref="AA269:AA297" si="178">SUM(M269:R269)</f>
        <v>0</v>
      </c>
      <c r="AB269" s="89">
        <f t="shared" si="156"/>
        <v>0</v>
      </c>
      <c r="AC269" s="90">
        <f t="shared" si="157"/>
        <v>0</v>
      </c>
      <c r="AD269" s="91">
        <f t="shared" si="158"/>
        <v>0</v>
      </c>
      <c r="AE269" s="93">
        <f t="shared" si="159"/>
        <v>0</v>
      </c>
      <c r="AF269" s="93">
        <f t="shared" si="160"/>
        <v>0</v>
      </c>
      <c r="AG269" s="93">
        <f t="shared" si="161"/>
        <v>0</v>
      </c>
      <c r="AH269" s="93">
        <f t="shared" si="162"/>
        <v>0</v>
      </c>
      <c r="AI269" s="93">
        <f t="shared" si="163"/>
        <v>0</v>
      </c>
      <c r="AJ269" s="93">
        <f t="shared" si="164"/>
        <v>0</v>
      </c>
      <c r="AK269" s="93">
        <f t="shared" si="165"/>
        <v>0</v>
      </c>
      <c r="AL269" s="93">
        <f t="shared" si="166"/>
        <v>0</v>
      </c>
      <c r="AM269" s="92">
        <f t="shared" si="167"/>
        <v>0</v>
      </c>
      <c r="AN269" s="1" t="str">
        <f t="shared" si="120"/>
        <v xml:space="preserve"> </v>
      </c>
      <c r="AO269" s="1" t="str">
        <f t="shared" si="121"/>
        <v xml:space="preserve"> </v>
      </c>
      <c r="AP269" s="1" t="str">
        <f t="shared" si="122"/>
        <v xml:space="preserve"> </v>
      </c>
      <c r="AQ269" s="1" t="str">
        <f t="shared" si="153"/>
        <v xml:space="preserve"> </v>
      </c>
      <c r="AR269" s="1" t="str">
        <f t="shared" si="124"/>
        <v xml:space="preserve"> </v>
      </c>
      <c r="AS269" s="1" t="str">
        <f t="shared" si="125"/>
        <v xml:space="preserve"> </v>
      </c>
      <c r="AT269" s="1" t="str">
        <f t="shared" si="126"/>
        <v xml:space="preserve"> </v>
      </c>
      <c r="AU269" s="103" t="str">
        <f t="shared" si="127"/>
        <v xml:space="preserve"> </v>
      </c>
      <c r="AV269" s="111">
        <f t="shared" si="170"/>
        <v>0</v>
      </c>
      <c r="AW269" s="4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6"/>
      <c r="DM269" s="111">
        <f t="shared" si="171"/>
        <v>0</v>
      </c>
      <c r="DN269" s="4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6"/>
      <c r="GD269" s="111">
        <f t="shared" si="172"/>
        <v>0</v>
      </c>
      <c r="GE269" s="4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6"/>
      <c r="IU269" s="111">
        <f t="shared" si="173"/>
        <v>0</v>
      </c>
      <c r="IV269" s="4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6"/>
      <c r="LL269" s="111">
        <f t="shared" si="174"/>
        <v>0</v>
      </c>
      <c r="LM269" s="4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6"/>
      <c r="OC269" s="111">
        <f t="shared" si="175"/>
        <v>0</v>
      </c>
      <c r="OD269" s="4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6"/>
      <c r="QT269" s="111">
        <f t="shared" si="176"/>
        <v>0</v>
      </c>
      <c r="QU269" s="4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6"/>
      <c r="TK269" s="111">
        <f t="shared" si="177"/>
        <v>0</v>
      </c>
      <c r="TL269" s="4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6"/>
    </row>
    <row r="270" spans="1:599" ht="14.25" customHeight="1" x14ac:dyDescent="0.3">
      <c r="A270" s="85"/>
      <c r="B270" s="39"/>
      <c r="C270" s="86"/>
      <c r="D270" s="86"/>
      <c r="E270" s="81"/>
      <c r="F270" s="81"/>
      <c r="G270" s="81"/>
      <c r="H270" s="81"/>
      <c r="I270" s="81"/>
      <c r="J270" s="81"/>
      <c r="K270" s="81"/>
      <c r="L270" s="81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89" t="str">
        <f t="shared" si="154"/>
        <v/>
      </c>
      <c r="Z270" s="89" t="str">
        <f t="shared" si="155"/>
        <v/>
      </c>
      <c r="AA270" s="89">
        <f t="shared" si="178"/>
        <v>0</v>
      </c>
      <c r="AB270" s="89">
        <f t="shared" si="156"/>
        <v>0</v>
      </c>
      <c r="AC270" s="90">
        <f t="shared" si="157"/>
        <v>0</v>
      </c>
      <c r="AD270" s="91">
        <f t="shared" si="158"/>
        <v>0</v>
      </c>
      <c r="AE270" s="93">
        <f t="shared" si="159"/>
        <v>0</v>
      </c>
      <c r="AF270" s="93">
        <f t="shared" si="160"/>
        <v>0</v>
      </c>
      <c r="AG270" s="93">
        <f t="shared" si="161"/>
        <v>0</v>
      </c>
      <c r="AH270" s="93">
        <f t="shared" si="162"/>
        <v>0</v>
      </c>
      <c r="AI270" s="93">
        <f t="shared" si="163"/>
        <v>0</v>
      </c>
      <c r="AJ270" s="93">
        <f t="shared" si="164"/>
        <v>0</v>
      </c>
      <c r="AK270" s="93">
        <f t="shared" si="165"/>
        <v>0</v>
      </c>
      <c r="AL270" s="93">
        <f t="shared" si="166"/>
        <v>0</v>
      </c>
      <c r="AM270" s="92">
        <f t="shared" si="167"/>
        <v>0</v>
      </c>
      <c r="AN270" s="1" t="str">
        <f t="shared" si="120"/>
        <v xml:space="preserve"> </v>
      </c>
      <c r="AO270" s="1" t="str">
        <f t="shared" si="121"/>
        <v xml:space="preserve"> </v>
      </c>
      <c r="AP270" s="1" t="str">
        <f t="shared" si="122"/>
        <v xml:space="preserve"> </v>
      </c>
      <c r="AQ270" s="1" t="str">
        <f t="shared" si="153"/>
        <v xml:space="preserve"> </v>
      </c>
      <c r="AR270" s="1" t="str">
        <f t="shared" si="124"/>
        <v xml:space="preserve"> </v>
      </c>
      <c r="AS270" s="1" t="str">
        <f t="shared" si="125"/>
        <v xml:space="preserve"> </v>
      </c>
      <c r="AT270" s="1" t="str">
        <f t="shared" si="126"/>
        <v xml:space="preserve"> </v>
      </c>
      <c r="AU270" s="103" t="str">
        <f t="shared" si="127"/>
        <v xml:space="preserve"> </v>
      </c>
      <c r="AV270" s="111">
        <f t="shared" si="170"/>
        <v>0</v>
      </c>
      <c r="AW270" s="4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6"/>
      <c r="DM270" s="111">
        <f t="shared" si="171"/>
        <v>0</v>
      </c>
      <c r="DN270" s="4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6"/>
      <c r="GD270" s="111">
        <f t="shared" si="172"/>
        <v>0</v>
      </c>
      <c r="GE270" s="4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6"/>
      <c r="IU270" s="111">
        <f t="shared" si="173"/>
        <v>0</v>
      </c>
      <c r="IV270" s="4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6"/>
      <c r="LL270" s="111">
        <f t="shared" si="174"/>
        <v>0</v>
      </c>
      <c r="LM270" s="4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6"/>
      <c r="OC270" s="111">
        <f t="shared" si="175"/>
        <v>0</v>
      </c>
      <c r="OD270" s="4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6"/>
      <c r="QT270" s="111">
        <f t="shared" si="176"/>
        <v>0</v>
      </c>
      <c r="QU270" s="4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6"/>
      <c r="TK270" s="111">
        <f t="shared" si="177"/>
        <v>0</v>
      </c>
      <c r="TL270" s="4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6"/>
    </row>
    <row r="271" spans="1:599" ht="14.25" customHeight="1" x14ac:dyDescent="0.3">
      <c r="A271" s="85"/>
      <c r="B271" s="39"/>
      <c r="C271" s="86"/>
      <c r="D271" s="86"/>
      <c r="E271" s="81"/>
      <c r="F271" s="81"/>
      <c r="G271" s="81"/>
      <c r="H271" s="81"/>
      <c r="I271" s="81"/>
      <c r="J271" s="81"/>
      <c r="K271" s="81"/>
      <c r="L271" s="81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89" t="str">
        <f t="shared" si="154"/>
        <v/>
      </c>
      <c r="Z271" s="89" t="str">
        <f t="shared" si="155"/>
        <v/>
      </c>
      <c r="AA271" s="89">
        <f t="shared" si="178"/>
        <v>0</v>
      </c>
      <c r="AB271" s="89">
        <f t="shared" si="156"/>
        <v>0</v>
      </c>
      <c r="AC271" s="90">
        <f t="shared" si="157"/>
        <v>0</v>
      </c>
      <c r="AD271" s="91">
        <f t="shared" si="158"/>
        <v>0</v>
      </c>
      <c r="AE271" s="93">
        <f t="shared" si="159"/>
        <v>0</v>
      </c>
      <c r="AF271" s="93">
        <f t="shared" si="160"/>
        <v>0</v>
      </c>
      <c r="AG271" s="93">
        <f t="shared" si="161"/>
        <v>0</v>
      </c>
      <c r="AH271" s="93">
        <f t="shared" si="162"/>
        <v>0</v>
      </c>
      <c r="AI271" s="93">
        <f t="shared" si="163"/>
        <v>0</v>
      </c>
      <c r="AJ271" s="93">
        <f t="shared" si="164"/>
        <v>0</v>
      </c>
      <c r="AK271" s="93">
        <f t="shared" si="165"/>
        <v>0</v>
      </c>
      <c r="AL271" s="93">
        <f t="shared" si="166"/>
        <v>0</v>
      </c>
      <c r="AM271" s="92">
        <f t="shared" si="167"/>
        <v>0</v>
      </c>
      <c r="AN271" s="1" t="str">
        <f t="shared" si="120"/>
        <v xml:space="preserve"> </v>
      </c>
      <c r="AO271" s="1" t="str">
        <f t="shared" si="121"/>
        <v xml:space="preserve"> </v>
      </c>
      <c r="AP271" s="1" t="str">
        <f t="shared" si="122"/>
        <v xml:space="preserve"> </v>
      </c>
      <c r="AQ271" s="1" t="str">
        <f t="shared" si="153"/>
        <v xml:space="preserve"> </v>
      </c>
      <c r="AR271" s="1" t="str">
        <f t="shared" si="124"/>
        <v xml:space="preserve"> </v>
      </c>
      <c r="AS271" s="1" t="str">
        <f t="shared" si="125"/>
        <v xml:space="preserve"> </v>
      </c>
      <c r="AT271" s="1" t="str">
        <f t="shared" si="126"/>
        <v xml:space="preserve"> </v>
      </c>
      <c r="AU271" s="103" t="str">
        <f t="shared" si="127"/>
        <v xml:space="preserve"> </v>
      </c>
      <c r="AV271" s="111">
        <f t="shared" si="170"/>
        <v>0</v>
      </c>
      <c r="AW271" s="4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6"/>
      <c r="DM271" s="111">
        <f t="shared" si="171"/>
        <v>0</v>
      </c>
      <c r="DN271" s="4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6"/>
      <c r="GD271" s="111">
        <f t="shared" si="172"/>
        <v>0</v>
      </c>
      <c r="GE271" s="4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6"/>
      <c r="IU271" s="111">
        <f t="shared" si="173"/>
        <v>0</v>
      </c>
      <c r="IV271" s="4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6"/>
      <c r="LL271" s="111">
        <f t="shared" si="174"/>
        <v>0</v>
      </c>
      <c r="LM271" s="4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6"/>
      <c r="OC271" s="111">
        <f t="shared" si="175"/>
        <v>0</v>
      </c>
      <c r="OD271" s="4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6"/>
      <c r="QT271" s="111">
        <f t="shared" si="176"/>
        <v>0</v>
      </c>
      <c r="QU271" s="4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6"/>
      <c r="TK271" s="111">
        <f t="shared" si="177"/>
        <v>0</v>
      </c>
      <c r="TL271" s="4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6"/>
    </row>
    <row r="272" spans="1:599" ht="14.25" customHeight="1" x14ac:dyDescent="0.3">
      <c r="A272" s="85"/>
      <c r="B272" s="39"/>
      <c r="C272" s="86"/>
      <c r="D272" s="86"/>
      <c r="E272" s="81"/>
      <c r="F272" s="81"/>
      <c r="G272" s="81"/>
      <c r="H272" s="81"/>
      <c r="I272" s="81"/>
      <c r="J272" s="81"/>
      <c r="K272" s="81"/>
      <c r="L272" s="81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89" t="str">
        <f t="shared" si="154"/>
        <v/>
      </c>
      <c r="Z272" s="89" t="str">
        <f t="shared" si="155"/>
        <v/>
      </c>
      <c r="AA272" s="89">
        <f t="shared" si="178"/>
        <v>0</v>
      </c>
      <c r="AB272" s="89">
        <f t="shared" si="156"/>
        <v>0</v>
      </c>
      <c r="AC272" s="90">
        <f t="shared" si="157"/>
        <v>0</v>
      </c>
      <c r="AD272" s="91">
        <f t="shared" si="158"/>
        <v>0</v>
      </c>
      <c r="AE272" s="93">
        <f t="shared" si="159"/>
        <v>0</v>
      </c>
      <c r="AF272" s="93">
        <f t="shared" si="160"/>
        <v>0</v>
      </c>
      <c r="AG272" s="93">
        <f t="shared" si="161"/>
        <v>0</v>
      </c>
      <c r="AH272" s="93">
        <f t="shared" si="162"/>
        <v>0</v>
      </c>
      <c r="AI272" s="93">
        <f t="shared" si="163"/>
        <v>0</v>
      </c>
      <c r="AJ272" s="93">
        <f t="shared" si="164"/>
        <v>0</v>
      </c>
      <c r="AK272" s="93">
        <f t="shared" si="165"/>
        <v>0</v>
      </c>
      <c r="AL272" s="93">
        <f t="shared" si="166"/>
        <v>0</v>
      </c>
      <c r="AM272" s="92">
        <f t="shared" si="167"/>
        <v>0</v>
      </c>
      <c r="AN272" s="1" t="str">
        <f t="shared" si="120"/>
        <v xml:space="preserve"> </v>
      </c>
      <c r="AO272" s="1" t="str">
        <f t="shared" si="121"/>
        <v xml:space="preserve"> </v>
      </c>
      <c r="AP272" s="1" t="str">
        <f t="shared" si="122"/>
        <v xml:space="preserve"> </v>
      </c>
      <c r="AQ272" s="1" t="str">
        <f t="shared" si="153"/>
        <v xml:space="preserve"> </v>
      </c>
      <c r="AR272" s="1" t="str">
        <f t="shared" si="124"/>
        <v xml:space="preserve"> </v>
      </c>
      <c r="AS272" s="1" t="str">
        <f t="shared" si="125"/>
        <v xml:space="preserve"> </v>
      </c>
      <c r="AT272" s="1" t="str">
        <f t="shared" si="126"/>
        <v xml:space="preserve"> </v>
      </c>
      <c r="AU272" s="103" t="str">
        <f t="shared" si="127"/>
        <v xml:space="preserve"> </v>
      </c>
      <c r="AV272" s="111">
        <f t="shared" si="170"/>
        <v>0</v>
      </c>
      <c r="AW272" s="4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6"/>
      <c r="DM272" s="111">
        <f t="shared" si="171"/>
        <v>0</v>
      </c>
      <c r="DN272" s="4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6"/>
      <c r="GD272" s="111">
        <f t="shared" si="172"/>
        <v>0</v>
      </c>
      <c r="GE272" s="4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6"/>
      <c r="IU272" s="111">
        <f t="shared" si="173"/>
        <v>0</v>
      </c>
      <c r="IV272" s="4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6"/>
      <c r="LL272" s="111">
        <f t="shared" si="174"/>
        <v>0</v>
      </c>
      <c r="LM272" s="4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6"/>
      <c r="OC272" s="111">
        <f t="shared" si="175"/>
        <v>0</v>
      </c>
      <c r="OD272" s="4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6"/>
      <c r="QT272" s="111">
        <f t="shared" si="176"/>
        <v>0</v>
      </c>
      <c r="QU272" s="4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6"/>
      <c r="TK272" s="111">
        <f t="shared" si="177"/>
        <v>0</v>
      </c>
      <c r="TL272" s="4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6"/>
    </row>
    <row r="273" spans="1:599" ht="14.25" customHeight="1" x14ac:dyDescent="0.3">
      <c r="A273" s="85"/>
      <c r="B273" s="39"/>
      <c r="C273" s="86"/>
      <c r="D273" s="86"/>
      <c r="E273" s="81"/>
      <c r="F273" s="81"/>
      <c r="G273" s="81"/>
      <c r="H273" s="81"/>
      <c r="I273" s="81"/>
      <c r="J273" s="81"/>
      <c r="K273" s="81"/>
      <c r="L273" s="81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89" t="str">
        <f t="shared" si="154"/>
        <v/>
      </c>
      <c r="Z273" s="89" t="str">
        <f t="shared" si="155"/>
        <v/>
      </c>
      <c r="AA273" s="89">
        <f t="shared" si="178"/>
        <v>0</v>
      </c>
      <c r="AB273" s="89">
        <f t="shared" si="156"/>
        <v>0</v>
      </c>
      <c r="AC273" s="90">
        <f t="shared" si="157"/>
        <v>0</v>
      </c>
      <c r="AD273" s="91">
        <f t="shared" si="158"/>
        <v>0</v>
      </c>
      <c r="AE273" s="93">
        <f t="shared" si="159"/>
        <v>0</v>
      </c>
      <c r="AF273" s="93">
        <f t="shared" si="160"/>
        <v>0</v>
      </c>
      <c r="AG273" s="93">
        <f t="shared" si="161"/>
        <v>0</v>
      </c>
      <c r="AH273" s="93">
        <f t="shared" si="162"/>
        <v>0</v>
      </c>
      <c r="AI273" s="93">
        <f t="shared" si="163"/>
        <v>0</v>
      </c>
      <c r="AJ273" s="93">
        <f t="shared" si="164"/>
        <v>0</v>
      </c>
      <c r="AK273" s="93">
        <f t="shared" si="165"/>
        <v>0</v>
      </c>
      <c r="AL273" s="93">
        <f t="shared" si="166"/>
        <v>0</v>
      </c>
      <c r="AM273" s="92">
        <f t="shared" si="167"/>
        <v>0</v>
      </c>
      <c r="AN273" s="1" t="str">
        <f t="shared" si="120"/>
        <v xml:space="preserve"> </v>
      </c>
      <c r="AO273" s="1" t="str">
        <f t="shared" si="121"/>
        <v xml:space="preserve"> </v>
      </c>
      <c r="AP273" s="1" t="str">
        <f t="shared" si="122"/>
        <v xml:space="preserve"> </v>
      </c>
      <c r="AQ273" s="1" t="str">
        <f t="shared" si="153"/>
        <v xml:space="preserve"> </v>
      </c>
      <c r="AR273" s="1" t="str">
        <f t="shared" si="124"/>
        <v xml:space="preserve"> </v>
      </c>
      <c r="AS273" s="1" t="str">
        <f t="shared" si="125"/>
        <v xml:space="preserve"> </v>
      </c>
      <c r="AT273" s="1" t="str">
        <f t="shared" si="126"/>
        <v xml:space="preserve"> </v>
      </c>
      <c r="AU273" s="103" t="str">
        <f t="shared" si="127"/>
        <v xml:space="preserve"> </v>
      </c>
      <c r="AV273" s="111">
        <f t="shared" si="170"/>
        <v>0</v>
      </c>
      <c r="AW273" s="4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6"/>
      <c r="DM273" s="111">
        <f t="shared" si="171"/>
        <v>0</v>
      </c>
      <c r="DN273" s="4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6"/>
      <c r="GD273" s="111">
        <f t="shared" si="172"/>
        <v>0</v>
      </c>
      <c r="GE273" s="4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6"/>
      <c r="IU273" s="111">
        <f t="shared" si="173"/>
        <v>0</v>
      </c>
      <c r="IV273" s="4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6"/>
      <c r="LL273" s="111">
        <f t="shared" si="174"/>
        <v>0</v>
      </c>
      <c r="LM273" s="4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6"/>
      <c r="OC273" s="111">
        <f t="shared" si="175"/>
        <v>0</v>
      </c>
      <c r="OD273" s="4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6"/>
      <c r="QT273" s="111">
        <f t="shared" si="176"/>
        <v>0</v>
      </c>
      <c r="QU273" s="4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6"/>
      <c r="TK273" s="111">
        <f t="shared" si="177"/>
        <v>0</v>
      </c>
      <c r="TL273" s="4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6"/>
    </row>
    <row r="274" spans="1:599" ht="14.25" customHeight="1" x14ac:dyDescent="0.3">
      <c r="A274" s="85"/>
      <c r="B274" s="39"/>
      <c r="C274" s="86"/>
      <c r="D274" s="86"/>
      <c r="E274" s="81"/>
      <c r="F274" s="81"/>
      <c r="G274" s="81"/>
      <c r="H274" s="81"/>
      <c r="I274" s="81"/>
      <c r="J274" s="81"/>
      <c r="K274" s="81"/>
      <c r="L274" s="81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89" t="str">
        <f t="shared" si="154"/>
        <v/>
      </c>
      <c r="Z274" s="89" t="str">
        <f t="shared" si="155"/>
        <v/>
      </c>
      <c r="AA274" s="89">
        <f t="shared" si="178"/>
        <v>0</v>
      </c>
      <c r="AB274" s="89">
        <f t="shared" si="156"/>
        <v>0</v>
      </c>
      <c r="AC274" s="90">
        <f t="shared" si="157"/>
        <v>0</v>
      </c>
      <c r="AD274" s="91">
        <f t="shared" si="158"/>
        <v>0</v>
      </c>
      <c r="AE274" s="93">
        <f t="shared" si="159"/>
        <v>0</v>
      </c>
      <c r="AF274" s="93">
        <f t="shared" si="160"/>
        <v>0</v>
      </c>
      <c r="AG274" s="93">
        <f t="shared" si="161"/>
        <v>0</v>
      </c>
      <c r="AH274" s="93">
        <f t="shared" si="162"/>
        <v>0</v>
      </c>
      <c r="AI274" s="93">
        <f t="shared" si="163"/>
        <v>0</v>
      </c>
      <c r="AJ274" s="93">
        <f t="shared" si="164"/>
        <v>0</v>
      </c>
      <c r="AK274" s="93">
        <f t="shared" si="165"/>
        <v>0</v>
      </c>
      <c r="AL274" s="93">
        <f t="shared" si="166"/>
        <v>0</v>
      </c>
      <c r="AM274" s="92">
        <f t="shared" si="167"/>
        <v>0</v>
      </c>
      <c r="AN274" s="1" t="str">
        <f t="shared" si="120"/>
        <v xml:space="preserve"> </v>
      </c>
      <c r="AO274" s="1" t="str">
        <f t="shared" si="121"/>
        <v xml:space="preserve"> </v>
      </c>
      <c r="AP274" s="1" t="str">
        <f t="shared" si="122"/>
        <v xml:space="preserve"> </v>
      </c>
      <c r="AQ274" s="1" t="str">
        <f t="shared" si="153"/>
        <v xml:space="preserve"> </v>
      </c>
      <c r="AR274" s="1" t="str">
        <f t="shared" si="124"/>
        <v xml:space="preserve"> </v>
      </c>
      <c r="AS274" s="1" t="str">
        <f t="shared" si="125"/>
        <v xml:space="preserve"> </v>
      </c>
      <c r="AT274" s="1" t="str">
        <f t="shared" si="126"/>
        <v xml:space="preserve"> </v>
      </c>
      <c r="AU274" s="103" t="str">
        <f t="shared" si="127"/>
        <v xml:space="preserve"> </v>
      </c>
      <c r="AV274" s="111">
        <f t="shared" si="170"/>
        <v>0</v>
      </c>
      <c r="AW274" s="4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6"/>
      <c r="DM274" s="111">
        <f t="shared" si="171"/>
        <v>0</v>
      </c>
      <c r="DN274" s="4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6"/>
      <c r="GD274" s="111">
        <f t="shared" si="172"/>
        <v>0</v>
      </c>
      <c r="GE274" s="4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6"/>
      <c r="IU274" s="111">
        <f t="shared" si="173"/>
        <v>0</v>
      </c>
      <c r="IV274" s="4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6"/>
      <c r="LL274" s="111">
        <f t="shared" si="174"/>
        <v>0</v>
      </c>
      <c r="LM274" s="4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6"/>
      <c r="OC274" s="111">
        <f t="shared" si="175"/>
        <v>0</v>
      </c>
      <c r="OD274" s="4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6"/>
      <c r="QT274" s="111">
        <f t="shared" si="176"/>
        <v>0</v>
      </c>
      <c r="QU274" s="4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6"/>
      <c r="TK274" s="111">
        <f t="shared" si="177"/>
        <v>0</v>
      </c>
      <c r="TL274" s="4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6"/>
    </row>
    <row r="275" spans="1:599" ht="14.25" customHeight="1" x14ac:dyDescent="0.3">
      <c r="A275" s="85"/>
      <c r="B275" s="39"/>
      <c r="C275" s="86"/>
      <c r="D275" s="86"/>
      <c r="E275" s="81"/>
      <c r="F275" s="81"/>
      <c r="G275" s="81"/>
      <c r="H275" s="81"/>
      <c r="I275" s="81"/>
      <c r="J275" s="81"/>
      <c r="K275" s="81"/>
      <c r="L275" s="81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89" t="str">
        <f t="shared" si="154"/>
        <v/>
      </c>
      <c r="Z275" s="89" t="str">
        <f t="shared" si="155"/>
        <v/>
      </c>
      <c r="AA275" s="89">
        <f t="shared" si="178"/>
        <v>0</v>
      </c>
      <c r="AB275" s="89">
        <f t="shared" si="156"/>
        <v>0</v>
      </c>
      <c r="AC275" s="90">
        <f t="shared" si="157"/>
        <v>0</v>
      </c>
      <c r="AD275" s="91">
        <f t="shared" si="158"/>
        <v>0</v>
      </c>
      <c r="AE275" s="93">
        <f t="shared" si="159"/>
        <v>0</v>
      </c>
      <c r="AF275" s="93">
        <f t="shared" si="160"/>
        <v>0</v>
      </c>
      <c r="AG275" s="93">
        <f t="shared" si="161"/>
        <v>0</v>
      </c>
      <c r="AH275" s="93">
        <f t="shared" si="162"/>
        <v>0</v>
      </c>
      <c r="AI275" s="93">
        <f t="shared" si="163"/>
        <v>0</v>
      </c>
      <c r="AJ275" s="93">
        <f t="shared" si="164"/>
        <v>0</v>
      </c>
      <c r="AK275" s="93">
        <f t="shared" si="165"/>
        <v>0</v>
      </c>
      <c r="AL275" s="93">
        <f t="shared" si="166"/>
        <v>0</v>
      </c>
      <c r="AM275" s="92">
        <f t="shared" si="167"/>
        <v>0</v>
      </c>
      <c r="AN275" s="1" t="str">
        <f t="shared" si="120"/>
        <v xml:space="preserve"> </v>
      </c>
      <c r="AO275" s="1" t="str">
        <f t="shared" si="121"/>
        <v xml:space="preserve"> </v>
      </c>
      <c r="AP275" s="1" t="str">
        <f t="shared" si="122"/>
        <v xml:space="preserve"> </v>
      </c>
      <c r="AQ275" s="1" t="str">
        <f t="shared" si="153"/>
        <v xml:space="preserve"> </v>
      </c>
      <c r="AR275" s="1" t="str">
        <f t="shared" si="124"/>
        <v xml:space="preserve"> </v>
      </c>
      <c r="AS275" s="1" t="str">
        <f t="shared" si="125"/>
        <v xml:space="preserve"> </v>
      </c>
      <c r="AT275" s="1" t="str">
        <f t="shared" si="126"/>
        <v xml:space="preserve"> </v>
      </c>
      <c r="AU275" s="103" t="str">
        <f t="shared" si="127"/>
        <v xml:space="preserve"> </v>
      </c>
      <c r="AV275" s="111">
        <f t="shared" si="170"/>
        <v>0</v>
      </c>
      <c r="AW275" s="4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6"/>
      <c r="DM275" s="111">
        <f t="shared" si="171"/>
        <v>0</v>
      </c>
      <c r="DN275" s="4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6"/>
      <c r="GD275" s="111">
        <f t="shared" si="172"/>
        <v>0</v>
      </c>
      <c r="GE275" s="4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6"/>
      <c r="IU275" s="111">
        <f t="shared" si="173"/>
        <v>0</v>
      </c>
      <c r="IV275" s="4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6"/>
      <c r="LL275" s="111">
        <f t="shared" si="174"/>
        <v>0</v>
      </c>
      <c r="LM275" s="4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6"/>
      <c r="OC275" s="111">
        <f t="shared" si="175"/>
        <v>0</v>
      </c>
      <c r="OD275" s="4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6"/>
      <c r="QT275" s="111">
        <f t="shared" si="176"/>
        <v>0</v>
      </c>
      <c r="QU275" s="4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6"/>
      <c r="TK275" s="111">
        <f t="shared" si="177"/>
        <v>0</v>
      </c>
      <c r="TL275" s="4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6"/>
    </row>
    <row r="276" spans="1:599" ht="14.25" customHeight="1" x14ac:dyDescent="0.3">
      <c r="A276" s="85"/>
      <c r="B276" s="39"/>
      <c r="C276" s="86"/>
      <c r="D276" s="86"/>
      <c r="E276" s="81"/>
      <c r="F276" s="81"/>
      <c r="G276" s="81"/>
      <c r="H276" s="81"/>
      <c r="I276" s="81"/>
      <c r="J276" s="81"/>
      <c r="K276" s="81"/>
      <c r="L276" s="81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89" t="str">
        <f t="shared" si="154"/>
        <v/>
      </c>
      <c r="Z276" s="89" t="str">
        <f t="shared" si="155"/>
        <v/>
      </c>
      <c r="AA276" s="89">
        <f t="shared" si="178"/>
        <v>0</v>
      </c>
      <c r="AB276" s="89">
        <f t="shared" si="156"/>
        <v>0</v>
      </c>
      <c r="AC276" s="90">
        <f t="shared" si="157"/>
        <v>0</v>
      </c>
      <c r="AD276" s="91">
        <f t="shared" si="158"/>
        <v>0</v>
      </c>
      <c r="AE276" s="93">
        <f t="shared" si="159"/>
        <v>0</v>
      </c>
      <c r="AF276" s="93">
        <f t="shared" si="160"/>
        <v>0</v>
      </c>
      <c r="AG276" s="93">
        <f t="shared" si="161"/>
        <v>0</v>
      </c>
      <c r="AH276" s="93">
        <f t="shared" si="162"/>
        <v>0</v>
      </c>
      <c r="AI276" s="93">
        <f t="shared" si="163"/>
        <v>0</v>
      </c>
      <c r="AJ276" s="93">
        <f t="shared" si="164"/>
        <v>0</v>
      </c>
      <c r="AK276" s="93">
        <f t="shared" si="165"/>
        <v>0</v>
      </c>
      <c r="AL276" s="93">
        <f t="shared" si="166"/>
        <v>0</v>
      </c>
      <c r="AM276" s="92">
        <f t="shared" si="167"/>
        <v>0</v>
      </c>
      <c r="AN276" s="1" t="str">
        <f t="shared" si="120"/>
        <v xml:space="preserve"> </v>
      </c>
      <c r="AO276" s="1" t="str">
        <f t="shared" si="121"/>
        <v xml:space="preserve"> </v>
      </c>
      <c r="AP276" s="1" t="str">
        <f t="shared" si="122"/>
        <v xml:space="preserve"> </v>
      </c>
      <c r="AQ276" s="1" t="str">
        <f t="shared" si="153"/>
        <v xml:space="preserve"> </v>
      </c>
      <c r="AR276" s="1" t="str">
        <f t="shared" si="124"/>
        <v xml:space="preserve"> </v>
      </c>
      <c r="AS276" s="1" t="str">
        <f t="shared" si="125"/>
        <v xml:space="preserve"> </v>
      </c>
      <c r="AT276" s="1" t="str">
        <f t="shared" si="126"/>
        <v xml:space="preserve"> </v>
      </c>
      <c r="AU276" s="103" t="str">
        <f t="shared" si="127"/>
        <v xml:space="preserve"> </v>
      </c>
      <c r="AV276" s="111">
        <f t="shared" si="170"/>
        <v>0</v>
      </c>
      <c r="AW276" s="4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6"/>
      <c r="DM276" s="111">
        <f t="shared" si="171"/>
        <v>0</v>
      </c>
      <c r="DN276" s="4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6"/>
      <c r="GD276" s="111">
        <f t="shared" si="172"/>
        <v>0</v>
      </c>
      <c r="GE276" s="4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6"/>
      <c r="IU276" s="111">
        <f t="shared" si="173"/>
        <v>0</v>
      </c>
      <c r="IV276" s="4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6"/>
      <c r="LL276" s="111">
        <f t="shared" si="174"/>
        <v>0</v>
      </c>
      <c r="LM276" s="4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6"/>
      <c r="OC276" s="111">
        <f t="shared" si="175"/>
        <v>0</v>
      </c>
      <c r="OD276" s="4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6"/>
      <c r="QT276" s="111">
        <f t="shared" si="176"/>
        <v>0</v>
      </c>
      <c r="QU276" s="4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6"/>
      <c r="TK276" s="111">
        <f t="shared" si="177"/>
        <v>0</v>
      </c>
      <c r="TL276" s="4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6"/>
    </row>
    <row r="277" spans="1:599" ht="14.25" customHeight="1" x14ac:dyDescent="0.3">
      <c r="A277" s="85"/>
      <c r="B277" s="39"/>
      <c r="C277" s="86"/>
      <c r="D277" s="86"/>
      <c r="E277" s="81"/>
      <c r="F277" s="81"/>
      <c r="G277" s="81"/>
      <c r="H277" s="81"/>
      <c r="I277" s="81"/>
      <c r="J277" s="81"/>
      <c r="K277" s="81"/>
      <c r="L277" s="81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89" t="str">
        <f t="shared" si="154"/>
        <v/>
      </c>
      <c r="Z277" s="89" t="str">
        <f t="shared" si="155"/>
        <v/>
      </c>
      <c r="AA277" s="89">
        <f t="shared" si="178"/>
        <v>0</v>
      </c>
      <c r="AB277" s="89">
        <f t="shared" si="156"/>
        <v>0</v>
      </c>
      <c r="AC277" s="90">
        <f t="shared" si="157"/>
        <v>0</v>
      </c>
      <c r="AD277" s="91">
        <f t="shared" si="158"/>
        <v>0</v>
      </c>
      <c r="AE277" s="93">
        <f t="shared" si="159"/>
        <v>0</v>
      </c>
      <c r="AF277" s="93">
        <f t="shared" si="160"/>
        <v>0</v>
      </c>
      <c r="AG277" s="93">
        <f t="shared" si="161"/>
        <v>0</v>
      </c>
      <c r="AH277" s="93">
        <f t="shared" si="162"/>
        <v>0</v>
      </c>
      <c r="AI277" s="93">
        <f t="shared" si="163"/>
        <v>0</v>
      </c>
      <c r="AJ277" s="93">
        <f t="shared" si="164"/>
        <v>0</v>
      </c>
      <c r="AK277" s="93">
        <f t="shared" si="165"/>
        <v>0</v>
      </c>
      <c r="AL277" s="93">
        <f t="shared" si="166"/>
        <v>0</v>
      </c>
      <c r="AM277" s="92">
        <f t="shared" si="167"/>
        <v>0</v>
      </c>
      <c r="AN277" s="1" t="str">
        <f t="shared" si="120"/>
        <v xml:space="preserve"> </v>
      </c>
      <c r="AO277" s="1" t="str">
        <f t="shared" si="121"/>
        <v xml:space="preserve"> </v>
      </c>
      <c r="AP277" s="1" t="str">
        <f t="shared" si="122"/>
        <v xml:space="preserve"> </v>
      </c>
      <c r="AQ277" s="1" t="str">
        <f t="shared" si="153"/>
        <v xml:space="preserve"> </v>
      </c>
      <c r="AR277" s="1" t="str">
        <f t="shared" si="124"/>
        <v xml:space="preserve"> </v>
      </c>
      <c r="AS277" s="1" t="str">
        <f t="shared" si="125"/>
        <v xml:space="preserve"> </v>
      </c>
      <c r="AT277" s="1" t="str">
        <f t="shared" si="126"/>
        <v xml:space="preserve"> </v>
      </c>
      <c r="AU277" s="103" t="str">
        <f t="shared" si="127"/>
        <v xml:space="preserve"> </v>
      </c>
      <c r="AV277" s="111">
        <f t="shared" si="170"/>
        <v>0</v>
      </c>
      <c r="AW277" s="4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6"/>
      <c r="DM277" s="111">
        <f t="shared" si="171"/>
        <v>0</v>
      </c>
      <c r="DN277" s="4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6"/>
      <c r="GD277" s="111">
        <f t="shared" si="172"/>
        <v>0</v>
      </c>
      <c r="GE277" s="4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6"/>
      <c r="IU277" s="111">
        <f t="shared" si="173"/>
        <v>0</v>
      </c>
      <c r="IV277" s="4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6"/>
      <c r="LL277" s="111">
        <f t="shared" si="174"/>
        <v>0</v>
      </c>
      <c r="LM277" s="4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6"/>
      <c r="OC277" s="111">
        <f t="shared" si="175"/>
        <v>0</v>
      </c>
      <c r="OD277" s="4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6"/>
      <c r="QT277" s="111">
        <f t="shared" si="176"/>
        <v>0</v>
      </c>
      <c r="QU277" s="4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6"/>
      <c r="TK277" s="111">
        <f t="shared" si="177"/>
        <v>0</v>
      </c>
      <c r="TL277" s="4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6"/>
    </row>
    <row r="278" spans="1:599" ht="14.25" customHeight="1" x14ac:dyDescent="0.3">
      <c r="A278" s="85"/>
      <c r="B278" s="39"/>
      <c r="C278" s="86"/>
      <c r="D278" s="86"/>
      <c r="E278" s="81"/>
      <c r="F278" s="81"/>
      <c r="G278" s="81"/>
      <c r="H278" s="81"/>
      <c r="I278" s="81"/>
      <c r="J278" s="81"/>
      <c r="K278" s="81"/>
      <c r="L278" s="81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89" t="str">
        <f t="shared" si="154"/>
        <v/>
      </c>
      <c r="Z278" s="89" t="str">
        <f t="shared" si="155"/>
        <v/>
      </c>
      <c r="AA278" s="89">
        <f t="shared" si="178"/>
        <v>0</v>
      </c>
      <c r="AB278" s="89">
        <f t="shared" si="156"/>
        <v>0</v>
      </c>
      <c r="AC278" s="90">
        <f t="shared" si="157"/>
        <v>0</v>
      </c>
      <c r="AD278" s="91">
        <f t="shared" si="158"/>
        <v>0</v>
      </c>
      <c r="AE278" s="93">
        <f t="shared" si="159"/>
        <v>0</v>
      </c>
      <c r="AF278" s="93">
        <f t="shared" si="160"/>
        <v>0</v>
      </c>
      <c r="AG278" s="93">
        <f t="shared" si="161"/>
        <v>0</v>
      </c>
      <c r="AH278" s="93">
        <f t="shared" si="162"/>
        <v>0</v>
      </c>
      <c r="AI278" s="93">
        <f t="shared" si="163"/>
        <v>0</v>
      </c>
      <c r="AJ278" s="93">
        <f t="shared" si="164"/>
        <v>0</v>
      </c>
      <c r="AK278" s="93">
        <f t="shared" si="165"/>
        <v>0</v>
      </c>
      <c r="AL278" s="93">
        <f t="shared" si="166"/>
        <v>0</v>
      </c>
      <c r="AM278" s="92">
        <f t="shared" si="167"/>
        <v>0</v>
      </c>
      <c r="AN278" s="1" t="str">
        <f t="shared" ref="AN278:AN295" si="179">IF(E278&gt;0,E278*$AC278*$AB278/1000," ")</f>
        <v xml:space="preserve"> </v>
      </c>
      <c r="AO278" s="1" t="str">
        <f t="shared" ref="AO278:AO295" si="180">IF(F278&gt;0,F278*$AC278*$AA278/1000," ")</f>
        <v xml:space="preserve"> </v>
      </c>
      <c r="AP278" s="1" t="str">
        <f t="shared" ref="AP278:AP295" si="181">IF(G278&gt;0,G278*$AC278*$AA278/1000," ")</f>
        <v xml:space="preserve"> </v>
      </c>
      <c r="AQ278" s="1" t="str">
        <f t="shared" ref="AQ278:AQ295" si="182">IF(H278&gt;0,H278*$AC278*$AB278/1000," ")</f>
        <v xml:space="preserve"> </v>
      </c>
      <c r="AR278" s="1" t="str">
        <f t="shared" ref="AR278:AR295" si="183">IF(I278&gt;0,I278*$AC278*$AA278/1000," ")</f>
        <v xml:space="preserve"> </v>
      </c>
      <c r="AS278" s="1" t="str">
        <f t="shared" ref="AS278:AS295" si="184">IF(J278&gt;0,J278*$AC278*$AA278/1000," ")</f>
        <v xml:space="preserve"> </v>
      </c>
      <c r="AT278" s="1" t="str">
        <f t="shared" ref="AT278:AT295" si="185">IF(K278&gt;0,K278*$AC278*$AA278/1000," ")</f>
        <v xml:space="preserve"> </v>
      </c>
      <c r="AU278" s="103" t="str">
        <f t="shared" ref="AU278:AU295" si="186">IF(L278&gt;0,L278*$AC278*$AB278/1000," ")</f>
        <v xml:space="preserve"> </v>
      </c>
      <c r="AV278" s="111">
        <f t="shared" si="170"/>
        <v>0</v>
      </c>
      <c r="AW278" s="4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6"/>
      <c r="DM278" s="111">
        <f t="shared" si="171"/>
        <v>0</v>
      </c>
      <c r="DN278" s="4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6"/>
      <c r="GD278" s="111">
        <f t="shared" si="172"/>
        <v>0</v>
      </c>
      <c r="GE278" s="4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6"/>
      <c r="IU278" s="111">
        <f t="shared" si="173"/>
        <v>0</v>
      </c>
      <c r="IV278" s="4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6"/>
      <c r="LL278" s="111">
        <f t="shared" si="174"/>
        <v>0</v>
      </c>
      <c r="LM278" s="4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6"/>
      <c r="OC278" s="111">
        <f t="shared" si="175"/>
        <v>0</v>
      </c>
      <c r="OD278" s="4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6"/>
      <c r="QT278" s="111">
        <f t="shared" si="176"/>
        <v>0</v>
      </c>
      <c r="QU278" s="4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6"/>
      <c r="TK278" s="111">
        <f t="shared" si="177"/>
        <v>0</v>
      </c>
      <c r="TL278" s="4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6"/>
    </row>
    <row r="279" spans="1:599" ht="14.25" customHeight="1" x14ac:dyDescent="0.3">
      <c r="A279" s="85"/>
      <c r="B279" s="39"/>
      <c r="C279" s="86"/>
      <c r="D279" s="86"/>
      <c r="E279" s="81"/>
      <c r="F279" s="81"/>
      <c r="G279" s="81"/>
      <c r="H279" s="81"/>
      <c r="I279" s="81"/>
      <c r="J279" s="81"/>
      <c r="K279" s="81"/>
      <c r="L279" s="81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89" t="str">
        <f t="shared" si="154"/>
        <v/>
      </c>
      <c r="Z279" s="89" t="str">
        <f t="shared" si="155"/>
        <v/>
      </c>
      <c r="AA279" s="89">
        <f t="shared" si="178"/>
        <v>0</v>
      </c>
      <c r="AB279" s="89">
        <f t="shared" si="156"/>
        <v>0</v>
      </c>
      <c r="AC279" s="90">
        <f t="shared" si="157"/>
        <v>0</v>
      </c>
      <c r="AD279" s="91">
        <f t="shared" si="158"/>
        <v>0</v>
      </c>
      <c r="AE279" s="93">
        <f t="shared" si="159"/>
        <v>0</v>
      </c>
      <c r="AF279" s="93">
        <f t="shared" si="160"/>
        <v>0</v>
      </c>
      <c r="AG279" s="93">
        <f t="shared" si="161"/>
        <v>0</v>
      </c>
      <c r="AH279" s="93">
        <f t="shared" si="162"/>
        <v>0</v>
      </c>
      <c r="AI279" s="93">
        <f t="shared" si="163"/>
        <v>0</v>
      </c>
      <c r="AJ279" s="93">
        <f t="shared" si="164"/>
        <v>0</v>
      </c>
      <c r="AK279" s="93">
        <f t="shared" si="165"/>
        <v>0</v>
      </c>
      <c r="AL279" s="93">
        <f t="shared" si="166"/>
        <v>0</v>
      </c>
      <c r="AM279" s="92">
        <f t="shared" si="167"/>
        <v>0</v>
      </c>
      <c r="AN279" s="1" t="str">
        <f t="shared" si="179"/>
        <v xml:space="preserve"> </v>
      </c>
      <c r="AO279" s="1" t="str">
        <f t="shared" si="180"/>
        <v xml:space="preserve"> </v>
      </c>
      <c r="AP279" s="1" t="str">
        <f t="shared" si="181"/>
        <v xml:space="preserve"> </v>
      </c>
      <c r="AQ279" s="1" t="str">
        <f t="shared" si="182"/>
        <v xml:space="preserve"> </v>
      </c>
      <c r="AR279" s="1" t="str">
        <f t="shared" si="183"/>
        <v xml:space="preserve"> </v>
      </c>
      <c r="AS279" s="1" t="str">
        <f t="shared" si="184"/>
        <v xml:space="preserve"> </v>
      </c>
      <c r="AT279" s="1" t="str">
        <f t="shared" si="185"/>
        <v xml:space="preserve"> </v>
      </c>
      <c r="AU279" s="103" t="str">
        <f t="shared" si="186"/>
        <v xml:space="preserve"> </v>
      </c>
      <c r="AV279" s="111">
        <f t="shared" si="170"/>
        <v>0</v>
      </c>
      <c r="AW279" s="4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6"/>
      <c r="DM279" s="111">
        <f t="shared" si="171"/>
        <v>0</v>
      </c>
      <c r="DN279" s="4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6"/>
      <c r="GD279" s="111">
        <f t="shared" si="172"/>
        <v>0</v>
      </c>
      <c r="GE279" s="4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6"/>
      <c r="IU279" s="111">
        <f t="shared" si="173"/>
        <v>0</v>
      </c>
      <c r="IV279" s="4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6"/>
      <c r="LL279" s="111">
        <f t="shared" si="174"/>
        <v>0</v>
      </c>
      <c r="LM279" s="4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6"/>
      <c r="OC279" s="111">
        <f t="shared" si="175"/>
        <v>0</v>
      </c>
      <c r="OD279" s="4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6"/>
      <c r="QT279" s="111">
        <f t="shared" si="176"/>
        <v>0</v>
      </c>
      <c r="QU279" s="4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6"/>
      <c r="TK279" s="111">
        <f t="shared" si="177"/>
        <v>0</v>
      </c>
      <c r="TL279" s="4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6"/>
    </row>
    <row r="280" spans="1:599" ht="14.25" customHeight="1" x14ac:dyDescent="0.3">
      <c r="A280" s="85"/>
      <c r="B280" s="39"/>
      <c r="C280" s="86"/>
      <c r="D280" s="86"/>
      <c r="E280" s="81"/>
      <c r="F280" s="81"/>
      <c r="G280" s="81"/>
      <c r="H280" s="81"/>
      <c r="I280" s="81"/>
      <c r="J280" s="81"/>
      <c r="K280" s="81"/>
      <c r="L280" s="81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89" t="str">
        <f t="shared" si="154"/>
        <v/>
      </c>
      <c r="Z280" s="89" t="str">
        <f t="shared" si="155"/>
        <v/>
      </c>
      <c r="AA280" s="89">
        <f t="shared" si="178"/>
        <v>0</v>
      </c>
      <c r="AB280" s="89">
        <f t="shared" si="156"/>
        <v>0</v>
      </c>
      <c r="AC280" s="90">
        <f t="shared" si="157"/>
        <v>0</v>
      </c>
      <c r="AD280" s="91">
        <f t="shared" si="158"/>
        <v>0</v>
      </c>
      <c r="AE280" s="93">
        <f t="shared" si="159"/>
        <v>0</v>
      </c>
      <c r="AF280" s="93">
        <f t="shared" si="160"/>
        <v>0</v>
      </c>
      <c r="AG280" s="93">
        <f t="shared" si="161"/>
        <v>0</v>
      </c>
      <c r="AH280" s="93">
        <f t="shared" si="162"/>
        <v>0</v>
      </c>
      <c r="AI280" s="93">
        <f t="shared" si="163"/>
        <v>0</v>
      </c>
      <c r="AJ280" s="93">
        <f t="shared" si="164"/>
        <v>0</v>
      </c>
      <c r="AK280" s="93">
        <f t="shared" si="165"/>
        <v>0</v>
      </c>
      <c r="AL280" s="93">
        <f t="shared" si="166"/>
        <v>0</v>
      </c>
      <c r="AM280" s="92">
        <f t="shared" si="167"/>
        <v>0</v>
      </c>
      <c r="AN280" s="1" t="str">
        <f t="shared" si="179"/>
        <v xml:space="preserve"> </v>
      </c>
      <c r="AO280" s="1" t="str">
        <f t="shared" si="180"/>
        <v xml:space="preserve"> </v>
      </c>
      <c r="AP280" s="1" t="str">
        <f t="shared" si="181"/>
        <v xml:space="preserve"> </v>
      </c>
      <c r="AQ280" s="1" t="str">
        <f t="shared" si="182"/>
        <v xml:space="preserve"> </v>
      </c>
      <c r="AR280" s="1" t="str">
        <f t="shared" si="183"/>
        <v xml:space="preserve"> </v>
      </c>
      <c r="AS280" s="1" t="str">
        <f t="shared" si="184"/>
        <v xml:space="preserve"> </v>
      </c>
      <c r="AT280" s="1" t="str">
        <f t="shared" si="185"/>
        <v xml:space="preserve"> </v>
      </c>
      <c r="AU280" s="103" t="str">
        <f t="shared" si="186"/>
        <v xml:space="preserve"> </v>
      </c>
      <c r="AV280" s="111">
        <f t="shared" si="170"/>
        <v>0</v>
      </c>
      <c r="AW280" s="4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6"/>
      <c r="DM280" s="111">
        <f t="shared" si="171"/>
        <v>0</v>
      </c>
      <c r="DN280" s="4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6"/>
      <c r="GD280" s="111">
        <f t="shared" si="172"/>
        <v>0</v>
      </c>
      <c r="GE280" s="4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6"/>
      <c r="IU280" s="111">
        <f t="shared" si="173"/>
        <v>0</v>
      </c>
      <c r="IV280" s="4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6"/>
      <c r="LL280" s="111">
        <f t="shared" si="174"/>
        <v>0</v>
      </c>
      <c r="LM280" s="4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6"/>
      <c r="OC280" s="111">
        <f t="shared" si="175"/>
        <v>0</v>
      </c>
      <c r="OD280" s="4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6"/>
      <c r="QT280" s="111">
        <f t="shared" si="176"/>
        <v>0</v>
      </c>
      <c r="QU280" s="4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6"/>
      <c r="TK280" s="111">
        <f t="shared" si="177"/>
        <v>0</v>
      </c>
      <c r="TL280" s="4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6"/>
    </row>
    <row r="281" spans="1:599" ht="14.25" customHeight="1" x14ac:dyDescent="0.3">
      <c r="A281" s="85"/>
      <c r="B281" s="39"/>
      <c r="C281" s="86"/>
      <c r="D281" s="86"/>
      <c r="E281" s="81"/>
      <c r="F281" s="81"/>
      <c r="G281" s="81"/>
      <c r="H281" s="81"/>
      <c r="I281" s="81"/>
      <c r="J281" s="81"/>
      <c r="K281" s="81"/>
      <c r="L281" s="81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89" t="str">
        <f t="shared" si="154"/>
        <v/>
      </c>
      <c r="Z281" s="89" t="str">
        <f t="shared" si="155"/>
        <v/>
      </c>
      <c r="AA281" s="89">
        <f t="shared" si="178"/>
        <v>0</v>
      </c>
      <c r="AB281" s="89">
        <f t="shared" si="156"/>
        <v>0</v>
      </c>
      <c r="AC281" s="90">
        <f t="shared" si="157"/>
        <v>0</v>
      </c>
      <c r="AD281" s="91">
        <f t="shared" si="158"/>
        <v>0</v>
      </c>
      <c r="AE281" s="93">
        <f t="shared" si="159"/>
        <v>0</v>
      </c>
      <c r="AF281" s="93">
        <f t="shared" si="160"/>
        <v>0</v>
      </c>
      <c r="AG281" s="93">
        <f t="shared" si="161"/>
        <v>0</v>
      </c>
      <c r="AH281" s="93">
        <f t="shared" si="162"/>
        <v>0</v>
      </c>
      <c r="AI281" s="93">
        <f t="shared" si="163"/>
        <v>0</v>
      </c>
      <c r="AJ281" s="93">
        <f t="shared" si="164"/>
        <v>0</v>
      </c>
      <c r="AK281" s="93">
        <f t="shared" si="165"/>
        <v>0</v>
      </c>
      <c r="AL281" s="93">
        <f t="shared" si="166"/>
        <v>0</v>
      </c>
      <c r="AM281" s="92">
        <f t="shared" si="167"/>
        <v>0</v>
      </c>
      <c r="AN281" s="1" t="str">
        <f t="shared" si="179"/>
        <v xml:space="preserve"> </v>
      </c>
      <c r="AO281" s="1" t="str">
        <f t="shared" si="180"/>
        <v xml:space="preserve"> </v>
      </c>
      <c r="AP281" s="1" t="str">
        <f t="shared" si="181"/>
        <v xml:space="preserve"> </v>
      </c>
      <c r="AQ281" s="1" t="str">
        <f t="shared" si="182"/>
        <v xml:space="preserve"> </v>
      </c>
      <c r="AR281" s="1" t="str">
        <f t="shared" si="183"/>
        <v xml:space="preserve"> </v>
      </c>
      <c r="AS281" s="1" t="str">
        <f t="shared" si="184"/>
        <v xml:space="preserve"> </v>
      </c>
      <c r="AT281" s="1" t="str">
        <f t="shared" si="185"/>
        <v xml:space="preserve"> </v>
      </c>
      <c r="AU281" s="103" t="str">
        <f t="shared" si="186"/>
        <v xml:space="preserve"> </v>
      </c>
      <c r="AV281" s="111">
        <f t="shared" si="170"/>
        <v>0</v>
      </c>
      <c r="AW281" s="4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6"/>
      <c r="DM281" s="111">
        <f t="shared" si="171"/>
        <v>0</v>
      </c>
      <c r="DN281" s="4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6"/>
      <c r="GD281" s="111">
        <f t="shared" si="172"/>
        <v>0</v>
      </c>
      <c r="GE281" s="4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6"/>
      <c r="IU281" s="111">
        <f t="shared" si="173"/>
        <v>0</v>
      </c>
      <c r="IV281" s="4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6"/>
      <c r="LL281" s="111">
        <f t="shared" si="174"/>
        <v>0</v>
      </c>
      <c r="LM281" s="4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6"/>
      <c r="OC281" s="111">
        <f t="shared" si="175"/>
        <v>0</v>
      </c>
      <c r="OD281" s="4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6"/>
      <c r="QT281" s="111">
        <f t="shared" si="176"/>
        <v>0</v>
      </c>
      <c r="QU281" s="4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6"/>
      <c r="TK281" s="111">
        <f t="shared" si="177"/>
        <v>0</v>
      </c>
      <c r="TL281" s="4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6"/>
    </row>
    <row r="282" spans="1:599" ht="14.25" customHeight="1" x14ac:dyDescent="0.3">
      <c r="A282" s="85"/>
      <c r="B282" s="39"/>
      <c r="C282" s="86"/>
      <c r="D282" s="86"/>
      <c r="E282" s="81"/>
      <c r="F282" s="81"/>
      <c r="G282" s="81"/>
      <c r="H282" s="81"/>
      <c r="I282" s="81"/>
      <c r="J282" s="81"/>
      <c r="K282" s="81"/>
      <c r="L282" s="81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89" t="str">
        <f t="shared" si="154"/>
        <v/>
      </c>
      <c r="Z282" s="89" t="str">
        <f t="shared" si="155"/>
        <v/>
      </c>
      <c r="AA282" s="89">
        <f t="shared" si="178"/>
        <v>0</v>
      </c>
      <c r="AB282" s="89">
        <f t="shared" si="156"/>
        <v>0</v>
      </c>
      <c r="AC282" s="90">
        <f t="shared" si="157"/>
        <v>0</v>
      </c>
      <c r="AD282" s="91">
        <f t="shared" si="158"/>
        <v>0</v>
      </c>
      <c r="AE282" s="93">
        <f t="shared" si="159"/>
        <v>0</v>
      </c>
      <c r="AF282" s="93">
        <f t="shared" si="160"/>
        <v>0</v>
      </c>
      <c r="AG282" s="93">
        <f t="shared" si="161"/>
        <v>0</v>
      </c>
      <c r="AH282" s="93">
        <f t="shared" si="162"/>
        <v>0</v>
      </c>
      <c r="AI282" s="93">
        <f t="shared" si="163"/>
        <v>0</v>
      </c>
      <c r="AJ282" s="93">
        <f t="shared" si="164"/>
        <v>0</v>
      </c>
      <c r="AK282" s="93">
        <f t="shared" si="165"/>
        <v>0</v>
      </c>
      <c r="AL282" s="93">
        <f t="shared" si="166"/>
        <v>0</v>
      </c>
      <c r="AM282" s="92">
        <f t="shared" si="167"/>
        <v>0</v>
      </c>
      <c r="AN282" s="1" t="str">
        <f t="shared" si="179"/>
        <v xml:space="preserve"> </v>
      </c>
      <c r="AO282" s="1" t="str">
        <f t="shared" si="180"/>
        <v xml:space="preserve"> </v>
      </c>
      <c r="AP282" s="1" t="str">
        <f t="shared" si="181"/>
        <v xml:space="preserve"> </v>
      </c>
      <c r="AQ282" s="1" t="str">
        <f t="shared" si="182"/>
        <v xml:space="preserve"> </v>
      </c>
      <c r="AR282" s="1" t="str">
        <f t="shared" si="183"/>
        <v xml:space="preserve"> </v>
      </c>
      <c r="AS282" s="1" t="str">
        <f t="shared" si="184"/>
        <v xml:space="preserve"> </v>
      </c>
      <c r="AT282" s="1" t="str">
        <f t="shared" si="185"/>
        <v xml:space="preserve"> </v>
      </c>
      <c r="AU282" s="103" t="str">
        <f t="shared" si="186"/>
        <v xml:space="preserve"> </v>
      </c>
      <c r="AV282" s="111">
        <f t="shared" si="170"/>
        <v>0</v>
      </c>
      <c r="AW282" s="4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6"/>
      <c r="DM282" s="111">
        <f t="shared" si="171"/>
        <v>0</v>
      </c>
      <c r="DN282" s="4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6"/>
      <c r="GD282" s="111">
        <f t="shared" si="172"/>
        <v>0</v>
      </c>
      <c r="GE282" s="4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6"/>
      <c r="IU282" s="111">
        <f t="shared" si="173"/>
        <v>0</v>
      </c>
      <c r="IV282" s="4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6"/>
      <c r="LL282" s="111">
        <f t="shared" si="174"/>
        <v>0</v>
      </c>
      <c r="LM282" s="4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6"/>
      <c r="OC282" s="111">
        <f t="shared" si="175"/>
        <v>0</v>
      </c>
      <c r="OD282" s="4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6"/>
      <c r="QT282" s="111">
        <f t="shared" si="176"/>
        <v>0</v>
      </c>
      <c r="QU282" s="4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6"/>
      <c r="TK282" s="111">
        <f t="shared" si="177"/>
        <v>0</v>
      </c>
      <c r="TL282" s="4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6"/>
    </row>
    <row r="283" spans="1:599" ht="14.25" customHeight="1" x14ac:dyDescent="0.3">
      <c r="A283" s="85"/>
      <c r="B283" s="39"/>
      <c r="C283" s="86"/>
      <c r="D283" s="86"/>
      <c r="E283" s="81"/>
      <c r="F283" s="81"/>
      <c r="G283" s="81"/>
      <c r="H283" s="81"/>
      <c r="I283" s="81"/>
      <c r="J283" s="81"/>
      <c r="K283" s="81"/>
      <c r="L283" s="81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89" t="str">
        <f t="shared" si="154"/>
        <v/>
      </c>
      <c r="Z283" s="89" t="str">
        <f t="shared" si="155"/>
        <v/>
      </c>
      <c r="AA283" s="89">
        <f t="shared" si="178"/>
        <v>0</v>
      </c>
      <c r="AB283" s="89">
        <f t="shared" si="156"/>
        <v>0</v>
      </c>
      <c r="AC283" s="90">
        <f t="shared" si="157"/>
        <v>0</v>
      </c>
      <c r="AD283" s="91">
        <f t="shared" si="158"/>
        <v>0</v>
      </c>
      <c r="AE283" s="93">
        <f t="shared" si="159"/>
        <v>0</v>
      </c>
      <c r="AF283" s="93">
        <f t="shared" si="160"/>
        <v>0</v>
      </c>
      <c r="AG283" s="93">
        <f t="shared" si="161"/>
        <v>0</v>
      </c>
      <c r="AH283" s="93">
        <f t="shared" si="162"/>
        <v>0</v>
      </c>
      <c r="AI283" s="93">
        <f t="shared" si="163"/>
        <v>0</v>
      </c>
      <c r="AJ283" s="93">
        <f t="shared" si="164"/>
        <v>0</v>
      </c>
      <c r="AK283" s="93">
        <f t="shared" si="165"/>
        <v>0</v>
      </c>
      <c r="AL283" s="93">
        <f t="shared" si="166"/>
        <v>0</v>
      </c>
      <c r="AM283" s="92">
        <f t="shared" si="167"/>
        <v>0</v>
      </c>
      <c r="AN283" s="1" t="str">
        <f t="shared" si="179"/>
        <v xml:space="preserve"> </v>
      </c>
      <c r="AO283" s="1" t="str">
        <f t="shared" si="180"/>
        <v xml:space="preserve"> </v>
      </c>
      <c r="AP283" s="1" t="str">
        <f t="shared" si="181"/>
        <v xml:space="preserve"> </v>
      </c>
      <c r="AQ283" s="1" t="str">
        <f t="shared" si="182"/>
        <v xml:space="preserve"> </v>
      </c>
      <c r="AR283" s="1" t="str">
        <f t="shared" si="183"/>
        <v xml:space="preserve"> </v>
      </c>
      <c r="AS283" s="1" t="str">
        <f t="shared" si="184"/>
        <v xml:space="preserve"> </v>
      </c>
      <c r="AT283" s="1" t="str">
        <f t="shared" si="185"/>
        <v xml:space="preserve"> </v>
      </c>
      <c r="AU283" s="103" t="str">
        <f t="shared" si="186"/>
        <v xml:space="preserve"> </v>
      </c>
      <c r="AV283" s="111">
        <f t="shared" si="170"/>
        <v>0</v>
      </c>
      <c r="AW283" s="4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6"/>
      <c r="DM283" s="111">
        <f t="shared" si="171"/>
        <v>0</v>
      </c>
      <c r="DN283" s="4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6"/>
      <c r="GD283" s="111">
        <f t="shared" si="172"/>
        <v>0</v>
      </c>
      <c r="GE283" s="4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6"/>
      <c r="IU283" s="111">
        <f t="shared" si="173"/>
        <v>0</v>
      </c>
      <c r="IV283" s="4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6"/>
      <c r="LL283" s="111">
        <f t="shared" si="174"/>
        <v>0</v>
      </c>
      <c r="LM283" s="4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6"/>
      <c r="OC283" s="111">
        <f t="shared" si="175"/>
        <v>0</v>
      </c>
      <c r="OD283" s="4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6"/>
      <c r="QT283" s="111">
        <f t="shared" si="176"/>
        <v>0</v>
      </c>
      <c r="QU283" s="4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6"/>
      <c r="TK283" s="111">
        <f t="shared" si="177"/>
        <v>0</v>
      </c>
      <c r="TL283" s="4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6"/>
    </row>
    <row r="284" spans="1:599" ht="14.25" customHeight="1" x14ac:dyDescent="0.3">
      <c r="A284" s="85"/>
      <c r="B284" s="39"/>
      <c r="C284" s="86"/>
      <c r="D284" s="86"/>
      <c r="E284" s="81"/>
      <c r="F284" s="81"/>
      <c r="G284" s="81"/>
      <c r="H284" s="81"/>
      <c r="I284" s="81"/>
      <c r="J284" s="81"/>
      <c r="K284" s="81"/>
      <c r="L284" s="81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89" t="str">
        <f t="shared" si="154"/>
        <v/>
      </c>
      <c r="Z284" s="89" t="str">
        <f t="shared" si="155"/>
        <v/>
      </c>
      <c r="AA284" s="89">
        <f t="shared" si="178"/>
        <v>0</v>
      </c>
      <c r="AB284" s="89">
        <f t="shared" si="156"/>
        <v>0</v>
      </c>
      <c r="AC284" s="90">
        <f t="shared" si="157"/>
        <v>0</v>
      </c>
      <c r="AD284" s="91">
        <f t="shared" si="158"/>
        <v>0</v>
      </c>
      <c r="AE284" s="93">
        <f t="shared" si="159"/>
        <v>0</v>
      </c>
      <c r="AF284" s="93">
        <f t="shared" si="160"/>
        <v>0</v>
      </c>
      <c r="AG284" s="93">
        <f t="shared" si="161"/>
        <v>0</v>
      </c>
      <c r="AH284" s="93">
        <f t="shared" si="162"/>
        <v>0</v>
      </c>
      <c r="AI284" s="93">
        <f t="shared" si="163"/>
        <v>0</v>
      </c>
      <c r="AJ284" s="93">
        <f t="shared" si="164"/>
        <v>0</v>
      </c>
      <c r="AK284" s="93">
        <f t="shared" si="165"/>
        <v>0</v>
      </c>
      <c r="AL284" s="93">
        <f t="shared" si="166"/>
        <v>0</v>
      </c>
      <c r="AM284" s="92">
        <f t="shared" si="167"/>
        <v>0</v>
      </c>
      <c r="AN284" s="1" t="str">
        <f t="shared" si="179"/>
        <v xml:space="preserve"> </v>
      </c>
      <c r="AO284" s="1" t="str">
        <f t="shared" si="180"/>
        <v xml:space="preserve"> </v>
      </c>
      <c r="AP284" s="1" t="str">
        <f t="shared" si="181"/>
        <v xml:space="preserve"> </v>
      </c>
      <c r="AQ284" s="1" t="str">
        <f t="shared" si="182"/>
        <v xml:space="preserve"> </v>
      </c>
      <c r="AR284" s="1" t="str">
        <f t="shared" si="183"/>
        <v xml:space="preserve"> </v>
      </c>
      <c r="AS284" s="1" t="str">
        <f t="shared" si="184"/>
        <v xml:space="preserve"> </v>
      </c>
      <c r="AT284" s="1" t="str">
        <f t="shared" si="185"/>
        <v xml:space="preserve"> </v>
      </c>
      <c r="AU284" s="103" t="str">
        <f t="shared" si="186"/>
        <v xml:space="preserve"> </v>
      </c>
      <c r="AV284" s="111">
        <f t="shared" si="170"/>
        <v>0</v>
      </c>
      <c r="AW284" s="4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6"/>
      <c r="DM284" s="111">
        <f t="shared" si="171"/>
        <v>0</v>
      </c>
      <c r="DN284" s="4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6"/>
      <c r="GD284" s="111">
        <f t="shared" si="172"/>
        <v>0</v>
      </c>
      <c r="GE284" s="4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6"/>
      <c r="IU284" s="111">
        <f t="shared" si="173"/>
        <v>0</v>
      </c>
      <c r="IV284" s="4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6"/>
      <c r="LL284" s="111">
        <f t="shared" si="174"/>
        <v>0</v>
      </c>
      <c r="LM284" s="4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6"/>
      <c r="OC284" s="111">
        <f t="shared" si="175"/>
        <v>0</v>
      </c>
      <c r="OD284" s="4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6"/>
      <c r="QT284" s="111">
        <f t="shared" si="176"/>
        <v>0</v>
      </c>
      <c r="QU284" s="4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6"/>
      <c r="TK284" s="111">
        <f t="shared" si="177"/>
        <v>0</v>
      </c>
      <c r="TL284" s="4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6"/>
    </row>
    <row r="285" spans="1:599" ht="14.25" customHeight="1" x14ac:dyDescent="0.3">
      <c r="A285" s="85"/>
      <c r="B285" s="39"/>
      <c r="C285" s="86"/>
      <c r="D285" s="86"/>
      <c r="E285" s="81"/>
      <c r="F285" s="81"/>
      <c r="G285" s="81"/>
      <c r="H285" s="81"/>
      <c r="I285" s="81"/>
      <c r="J285" s="81"/>
      <c r="K285" s="81"/>
      <c r="L285" s="81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89" t="str">
        <f t="shared" si="154"/>
        <v/>
      </c>
      <c r="Z285" s="89" t="str">
        <f t="shared" si="155"/>
        <v/>
      </c>
      <c r="AA285" s="89">
        <f t="shared" si="178"/>
        <v>0</v>
      </c>
      <c r="AB285" s="89">
        <f t="shared" si="156"/>
        <v>0</v>
      </c>
      <c r="AC285" s="90">
        <f t="shared" si="157"/>
        <v>0</v>
      </c>
      <c r="AD285" s="91">
        <f t="shared" si="158"/>
        <v>0</v>
      </c>
      <c r="AE285" s="93">
        <f t="shared" si="159"/>
        <v>0</v>
      </c>
      <c r="AF285" s="93">
        <f t="shared" si="160"/>
        <v>0</v>
      </c>
      <c r="AG285" s="93">
        <f t="shared" si="161"/>
        <v>0</v>
      </c>
      <c r="AH285" s="93">
        <f t="shared" si="162"/>
        <v>0</v>
      </c>
      <c r="AI285" s="93">
        <f t="shared" si="163"/>
        <v>0</v>
      </c>
      <c r="AJ285" s="93">
        <f t="shared" si="164"/>
        <v>0</v>
      </c>
      <c r="AK285" s="93">
        <f t="shared" si="165"/>
        <v>0</v>
      </c>
      <c r="AL285" s="93">
        <f t="shared" si="166"/>
        <v>0</v>
      </c>
      <c r="AM285" s="92">
        <f t="shared" si="167"/>
        <v>0</v>
      </c>
      <c r="AN285" s="1" t="str">
        <f t="shared" si="179"/>
        <v xml:space="preserve"> </v>
      </c>
      <c r="AO285" s="1" t="str">
        <f t="shared" si="180"/>
        <v xml:space="preserve"> </v>
      </c>
      <c r="AP285" s="1" t="str">
        <f t="shared" si="181"/>
        <v xml:space="preserve"> </v>
      </c>
      <c r="AQ285" s="1" t="str">
        <f t="shared" si="182"/>
        <v xml:space="preserve"> </v>
      </c>
      <c r="AR285" s="1" t="str">
        <f t="shared" si="183"/>
        <v xml:space="preserve"> </v>
      </c>
      <c r="AS285" s="1" t="str">
        <f t="shared" si="184"/>
        <v xml:space="preserve"> </v>
      </c>
      <c r="AT285" s="1" t="str">
        <f t="shared" si="185"/>
        <v xml:space="preserve"> </v>
      </c>
      <c r="AU285" s="103" t="str">
        <f t="shared" si="186"/>
        <v xml:space="preserve"> </v>
      </c>
      <c r="AV285" s="111">
        <f t="shared" si="170"/>
        <v>0</v>
      </c>
      <c r="AW285" s="4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6"/>
      <c r="DM285" s="111">
        <f t="shared" si="171"/>
        <v>0</v>
      </c>
      <c r="DN285" s="4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6"/>
      <c r="GD285" s="111">
        <f t="shared" si="172"/>
        <v>0</v>
      </c>
      <c r="GE285" s="4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6"/>
      <c r="IU285" s="111">
        <f t="shared" si="173"/>
        <v>0</v>
      </c>
      <c r="IV285" s="4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6"/>
      <c r="LL285" s="111">
        <f t="shared" si="174"/>
        <v>0</v>
      </c>
      <c r="LM285" s="4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6"/>
      <c r="OC285" s="111">
        <f t="shared" si="175"/>
        <v>0</v>
      </c>
      <c r="OD285" s="4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6"/>
      <c r="QT285" s="111">
        <f t="shared" si="176"/>
        <v>0</v>
      </c>
      <c r="QU285" s="4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6"/>
      <c r="TK285" s="111">
        <f t="shared" si="177"/>
        <v>0</v>
      </c>
      <c r="TL285" s="4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6"/>
    </row>
    <row r="286" spans="1:599" ht="14.25" customHeight="1" x14ac:dyDescent="0.3">
      <c r="A286" s="85"/>
      <c r="B286" s="39"/>
      <c r="C286" s="86"/>
      <c r="D286" s="86"/>
      <c r="E286" s="81"/>
      <c r="F286" s="81"/>
      <c r="G286" s="81"/>
      <c r="H286" s="81"/>
      <c r="I286" s="81"/>
      <c r="J286" s="81"/>
      <c r="K286" s="81"/>
      <c r="L286" s="81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89" t="str">
        <f t="shared" si="154"/>
        <v/>
      </c>
      <c r="Z286" s="89" t="str">
        <f t="shared" si="155"/>
        <v/>
      </c>
      <c r="AA286" s="89">
        <f t="shared" si="178"/>
        <v>0</v>
      </c>
      <c r="AB286" s="89">
        <f t="shared" si="156"/>
        <v>0</v>
      </c>
      <c r="AC286" s="90">
        <f t="shared" si="157"/>
        <v>0</v>
      </c>
      <c r="AD286" s="91">
        <f t="shared" si="158"/>
        <v>0</v>
      </c>
      <c r="AE286" s="93">
        <f t="shared" si="159"/>
        <v>0</v>
      </c>
      <c r="AF286" s="93">
        <f t="shared" si="160"/>
        <v>0</v>
      </c>
      <c r="AG286" s="93">
        <f t="shared" si="161"/>
        <v>0</v>
      </c>
      <c r="AH286" s="93">
        <f t="shared" si="162"/>
        <v>0</v>
      </c>
      <c r="AI286" s="93">
        <f t="shared" si="163"/>
        <v>0</v>
      </c>
      <c r="AJ286" s="93">
        <f t="shared" si="164"/>
        <v>0</v>
      </c>
      <c r="AK286" s="93">
        <f t="shared" si="165"/>
        <v>0</v>
      </c>
      <c r="AL286" s="93">
        <f t="shared" si="166"/>
        <v>0</v>
      </c>
      <c r="AM286" s="92">
        <f t="shared" si="167"/>
        <v>0</v>
      </c>
      <c r="AN286" s="1" t="str">
        <f t="shared" si="179"/>
        <v xml:space="preserve"> </v>
      </c>
      <c r="AO286" s="1" t="str">
        <f t="shared" si="180"/>
        <v xml:space="preserve"> </v>
      </c>
      <c r="AP286" s="1" t="str">
        <f t="shared" si="181"/>
        <v xml:space="preserve"> </v>
      </c>
      <c r="AQ286" s="1" t="str">
        <f t="shared" si="182"/>
        <v xml:space="preserve"> </v>
      </c>
      <c r="AR286" s="1" t="str">
        <f t="shared" si="183"/>
        <v xml:space="preserve"> </v>
      </c>
      <c r="AS286" s="1" t="str">
        <f t="shared" si="184"/>
        <v xml:space="preserve"> </v>
      </c>
      <c r="AT286" s="1" t="str">
        <f t="shared" si="185"/>
        <v xml:space="preserve"> </v>
      </c>
      <c r="AU286" s="103" t="str">
        <f t="shared" si="186"/>
        <v xml:space="preserve"> </v>
      </c>
      <c r="AV286" s="111">
        <f t="shared" si="170"/>
        <v>0</v>
      </c>
      <c r="AW286" s="4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6"/>
      <c r="DM286" s="111">
        <f t="shared" si="171"/>
        <v>0</v>
      </c>
      <c r="DN286" s="4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6"/>
      <c r="GD286" s="111">
        <f t="shared" si="172"/>
        <v>0</v>
      </c>
      <c r="GE286" s="4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6"/>
      <c r="IU286" s="111">
        <f t="shared" si="173"/>
        <v>0</v>
      </c>
      <c r="IV286" s="4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6"/>
      <c r="LL286" s="111">
        <f t="shared" si="174"/>
        <v>0</v>
      </c>
      <c r="LM286" s="4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6"/>
      <c r="OC286" s="111">
        <f t="shared" si="175"/>
        <v>0</v>
      </c>
      <c r="OD286" s="4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6"/>
      <c r="QT286" s="111">
        <f t="shared" si="176"/>
        <v>0</v>
      </c>
      <c r="QU286" s="4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6"/>
      <c r="TK286" s="111">
        <f t="shared" si="177"/>
        <v>0</v>
      </c>
      <c r="TL286" s="4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6"/>
    </row>
    <row r="287" spans="1:599" ht="14.25" customHeight="1" x14ac:dyDescent="0.3">
      <c r="A287" s="85"/>
      <c r="B287" s="39"/>
      <c r="C287" s="86"/>
      <c r="D287" s="86"/>
      <c r="E287" s="81"/>
      <c r="F287" s="81"/>
      <c r="G287" s="81"/>
      <c r="H287" s="81"/>
      <c r="I287" s="81"/>
      <c r="J287" s="81"/>
      <c r="K287" s="81"/>
      <c r="L287" s="81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89" t="str">
        <f t="shared" si="154"/>
        <v/>
      </c>
      <c r="Z287" s="89" t="str">
        <f t="shared" si="155"/>
        <v/>
      </c>
      <c r="AA287" s="89">
        <f t="shared" si="178"/>
        <v>0</v>
      </c>
      <c r="AB287" s="89">
        <f t="shared" si="156"/>
        <v>0</v>
      </c>
      <c r="AC287" s="90">
        <f t="shared" si="157"/>
        <v>0</v>
      </c>
      <c r="AD287" s="91">
        <f t="shared" si="158"/>
        <v>0</v>
      </c>
      <c r="AE287" s="93">
        <f t="shared" si="159"/>
        <v>0</v>
      </c>
      <c r="AF287" s="93">
        <f t="shared" si="160"/>
        <v>0</v>
      </c>
      <c r="AG287" s="93">
        <f t="shared" si="161"/>
        <v>0</v>
      </c>
      <c r="AH287" s="93">
        <f t="shared" si="162"/>
        <v>0</v>
      </c>
      <c r="AI287" s="93">
        <f t="shared" si="163"/>
        <v>0</v>
      </c>
      <c r="AJ287" s="93">
        <f t="shared" si="164"/>
        <v>0</v>
      </c>
      <c r="AK287" s="93">
        <f t="shared" si="165"/>
        <v>0</v>
      </c>
      <c r="AL287" s="93">
        <f t="shared" si="166"/>
        <v>0</v>
      </c>
      <c r="AM287" s="92">
        <f t="shared" si="167"/>
        <v>0</v>
      </c>
      <c r="AN287" s="1" t="str">
        <f t="shared" si="179"/>
        <v xml:space="preserve"> </v>
      </c>
      <c r="AO287" s="1" t="str">
        <f t="shared" si="180"/>
        <v xml:space="preserve"> </v>
      </c>
      <c r="AP287" s="1" t="str">
        <f t="shared" si="181"/>
        <v xml:space="preserve"> </v>
      </c>
      <c r="AQ287" s="1" t="str">
        <f t="shared" si="182"/>
        <v xml:space="preserve"> </v>
      </c>
      <c r="AR287" s="1" t="str">
        <f t="shared" si="183"/>
        <v xml:space="preserve"> </v>
      </c>
      <c r="AS287" s="1" t="str">
        <f t="shared" si="184"/>
        <v xml:space="preserve"> </v>
      </c>
      <c r="AT287" s="1" t="str">
        <f t="shared" si="185"/>
        <v xml:space="preserve"> </v>
      </c>
      <c r="AU287" s="103" t="str">
        <f t="shared" si="186"/>
        <v xml:space="preserve"> </v>
      </c>
      <c r="AV287" s="111">
        <f t="shared" si="170"/>
        <v>0</v>
      </c>
      <c r="AW287" s="4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6"/>
      <c r="DM287" s="111">
        <f t="shared" si="171"/>
        <v>0</v>
      </c>
      <c r="DN287" s="4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6"/>
      <c r="GD287" s="111">
        <f t="shared" si="172"/>
        <v>0</v>
      </c>
      <c r="GE287" s="4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6"/>
      <c r="IU287" s="111">
        <f t="shared" si="173"/>
        <v>0</v>
      </c>
      <c r="IV287" s="4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6"/>
      <c r="LL287" s="111">
        <f t="shared" si="174"/>
        <v>0</v>
      </c>
      <c r="LM287" s="4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6"/>
      <c r="OC287" s="111">
        <f t="shared" si="175"/>
        <v>0</v>
      </c>
      <c r="OD287" s="4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6"/>
      <c r="QT287" s="111">
        <f t="shared" si="176"/>
        <v>0</v>
      </c>
      <c r="QU287" s="4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6"/>
      <c r="TK287" s="111">
        <f t="shared" si="177"/>
        <v>0</v>
      </c>
      <c r="TL287" s="4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6"/>
    </row>
    <row r="288" spans="1:599" ht="14.25" customHeight="1" x14ac:dyDescent="0.3">
      <c r="A288" s="85"/>
      <c r="B288" s="39"/>
      <c r="C288" s="86"/>
      <c r="D288" s="86"/>
      <c r="E288" s="81"/>
      <c r="F288" s="81"/>
      <c r="G288" s="81"/>
      <c r="H288" s="81"/>
      <c r="I288" s="81"/>
      <c r="J288" s="81"/>
      <c r="K288" s="81"/>
      <c r="L288" s="81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89" t="str">
        <f t="shared" si="154"/>
        <v/>
      </c>
      <c r="Z288" s="89" t="str">
        <f t="shared" si="155"/>
        <v/>
      </c>
      <c r="AA288" s="89">
        <f t="shared" si="178"/>
        <v>0</v>
      </c>
      <c r="AB288" s="89">
        <f t="shared" si="156"/>
        <v>0</v>
      </c>
      <c r="AC288" s="90">
        <f t="shared" si="157"/>
        <v>0</v>
      </c>
      <c r="AD288" s="91">
        <f t="shared" si="158"/>
        <v>0</v>
      </c>
      <c r="AE288" s="93">
        <f t="shared" si="159"/>
        <v>0</v>
      </c>
      <c r="AF288" s="93">
        <f t="shared" si="160"/>
        <v>0</v>
      </c>
      <c r="AG288" s="93">
        <f t="shared" si="161"/>
        <v>0</v>
      </c>
      <c r="AH288" s="93">
        <f t="shared" si="162"/>
        <v>0</v>
      </c>
      <c r="AI288" s="93">
        <f t="shared" si="163"/>
        <v>0</v>
      </c>
      <c r="AJ288" s="93">
        <f t="shared" si="164"/>
        <v>0</v>
      </c>
      <c r="AK288" s="93">
        <f t="shared" si="165"/>
        <v>0</v>
      </c>
      <c r="AL288" s="93">
        <f t="shared" si="166"/>
        <v>0</v>
      </c>
      <c r="AM288" s="92">
        <f t="shared" si="167"/>
        <v>0</v>
      </c>
      <c r="AN288" s="1" t="str">
        <f t="shared" si="179"/>
        <v xml:space="preserve"> </v>
      </c>
      <c r="AO288" s="1" t="str">
        <f t="shared" si="180"/>
        <v xml:space="preserve"> </v>
      </c>
      <c r="AP288" s="1" t="str">
        <f t="shared" si="181"/>
        <v xml:space="preserve"> </v>
      </c>
      <c r="AQ288" s="1" t="str">
        <f t="shared" si="182"/>
        <v xml:space="preserve"> </v>
      </c>
      <c r="AR288" s="1" t="str">
        <f t="shared" si="183"/>
        <v xml:space="preserve"> </v>
      </c>
      <c r="AS288" s="1" t="str">
        <f t="shared" si="184"/>
        <v xml:space="preserve"> </v>
      </c>
      <c r="AT288" s="1" t="str">
        <f t="shared" si="185"/>
        <v xml:space="preserve"> </v>
      </c>
      <c r="AU288" s="103" t="str">
        <f t="shared" si="186"/>
        <v xml:space="preserve"> </v>
      </c>
      <c r="AV288" s="111">
        <f t="shared" si="170"/>
        <v>0</v>
      </c>
      <c r="AW288" s="4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6"/>
      <c r="DM288" s="111">
        <f t="shared" si="171"/>
        <v>0</v>
      </c>
      <c r="DN288" s="4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6"/>
      <c r="GD288" s="111">
        <f t="shared" si="172"/>
        <v>0</v>
      </c>
      <c r="GE288" s="4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6"/>
      <c r="IU288" s="111">
        <f t="shared" si="173"/>
        <v>0</v>
      </c>
      <c r="IV288" s="4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6"/>
      <c r="LL288" s="111">
        <f t="shared" si="174"/>
        <v>0</v>
      </c>
      <c r="LM288" s="4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6"/>
      <c r="OC288" s="111">
        <f t="shared" si="175"/>
        <v>0</v>
      </c>
      <c r="OD288" s="4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6"/>
      <c r="QT288" s="111">
        <f t="shared" si="176"/>
        <v>0</v>
      </c>
      <c r="QU288" s="4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6"/>
      <c r="TK288" s="111">
        <f t="shared" si="177"/>
        <v>0</v>
      </c>
      <c r="TL288" s="4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6"/>
    </row>
    <row r="289" spans="1:599" ht="14.25" customHeight="1" x14ac:dyDescent="0.3">
      <c r="A289" s="85"/>
      <c r="B289" s="39"/>
      <c r="C289" s="86"/>
      <c r="D289" s="86"/>
      <c r="E289" s="81"/>
      <c r="F289" s="81"/>
      <c r="G289" s="81"/>
      <c r="H289" s="81"/>
      <c r="I289" s="81"/>
      <c r="J289" s="81"/>
      <c r="K289" s="81"/>
      <c r="L289" s="81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89" t="str">
        <f t="shared" si="154"/>
        <v/>
      </c>
      <c r="Z289" s="89" t="str">
        <f t="shared" si="155"/>
        <v/>
      </c>
      <c r="AA289" s="89">
        <f t="shared" si="178"/>
        <v>0</v>
      </c>
      <c r="AB289" s="89">
        <f t="shared" si="156"/>
        <v>0</v>
      </c>
      <c r="AC289" s="90">
        <f t="shared" si="157"/>
        <v>0</v>
      </c>
      <c r="AD289" s="91">
        <f t="shared" si="158"/>
        <v>0</v>
      </c>
      <c r="AE289" s="93">
        <f t="shared" si="159"/>
        <v>0</v>
      </c>
      <c r="AF289" s="93">
        <f t="shared" si="160"/>
        <v>0</v>
      </c>
      <c r="AG289" s="93">
        <f t="shared" si="161"/>
        <v>0</v>
      </c>
      <c r="AH289" s="93">
        <f t="shared" si="162"/>
        <v>0</v>
      </c>
      <c r="AI289" s="93">
        <f t="shared" si="163"/>
        <v>0</v>
      </c>
      <c r="AJ289" s="93">
        <f t="shared" si="164"/>
        <v>0</v>
      </c>
      <c r="AK289" s="93">
        <f t="shared" si="165"/>
        <v>0</v>
      </c>
      <c r="AL289" s="93">
        <f t="shared" si="166"/>
        <v>0</v>
      </c>
      <c r="AM289" s="92">
        <f t="shared" si="167"/>
        <v>0</v>
      </c>
      <c r="AN289" s="1" t="str">
        <f t="shared" si="179"/>
        <v xml:space="preserve"> </v>
      </c>
      <c r="AO289" s="1" t="str">
        <f t="shared" si="180"/>
        <v xml:space="preserve"> </v>
      </c>
      <c r="AP289" s="1" t="str">
        <f t="shared" si="181"/>
        <v xml:space="preserve"> </v>
      </c>
      <c r="AQ289" s="1" t="str">
        <f t="shared" si="182"/>
        <v xml:space="preserve"> </v>
      </c>
      <c r="AR289" s="1" t="str">
        <f t="shared" si="183"/>
        <v xml:space="preserve"> </v>
      </c>
      <c r="AS289" s="1" t="str">
        <f t="shared" si="184"/>
        <v xml:space="preserve"> </v>
      </c>
      <c r="AT289" s="1" t="str">
        <f t="shared" si="185"/>
        <v xml:space="preserve"> </v>
      </c>
      <c r="AU289" s="103" t="str">
        <f t="shared" si="186"/>
        <v xml:space="preserve"> </v>
      </c>
      <c r="AV289" s="111">
        <f t="shared" si="170"/>
        <v>0</v>
      </c>
      <c r="AW289" s="4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6"/>
      <c r="DM289" s="111">
        <f t="shared" si="171"/>
        <v>0</v>
      </c>
      <c r="DN289" s="4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6"/>
      <c r="GD289" s="111">
        <f t="shared" si="172"/>
        <v>0</v>
      </c>
      <c r="GE289" s="4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6"/>
      <c r="IU289" s="111">
        <f t="shared" si="173"/>
        <v>0</v>
      </c>
      <c r="IV289" s="4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6"/>
      <c r="LL289" s="111">
        <f t="shared" si="174"/>
        <v>0</v>
      </c>
      <c r="LM289" s="4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6"/>
      <c r="OC289" s="111">
        <f t="shared" si="175"/>
        <v>0</v>
      </c>
      <c r="OD289" s="4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6"/>
      <c r="QT289" s="111">
        <f t="shared" si="176"/>
        <v>0</v>
      </c>
      <c r="QU289" s="4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6"/>
      <c r="TK289" s="111">
        <f t="shared" si="177"/>
        <v>0</v>
      </c>
      <c r="TL289" s="4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6"/>
    </row>
    <row r="290" spans="1:599" ht="14.25" customHeight="1" x14ac:dyDescent="0.3">
      <c r="A290" s="85"/>
      <c r="B290" s="39"/>
      <c r="C290" s="86"/>
      <c r="D290" s="86"/>
      <c r="E290" s="81"/>
      <c r="F290" s="81"/>
      <c r="G290" s="81"/>
      <c r="H290" s="81"/>
      <c r="I290" s="81"/>
      <c r="J290" s="81"/>
      <c r="K290" s="81"/>
      <c r="L290" s="81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89" t="str">
        <f t="shared" si="154"/>
        <v/>
      </c>
      <c r="Z290" s="89" t="str">
        <f t="shared" si="155"/>
        <v/>
      </c>
      <c r="AA290" s="89">
        <f t="shared" si="178"/>
        <v>0</v>
      </c>
      <c r="AB290" s="89">
        <f t="shared" si="156"/>
        <v>0</v>
      </c>
      <c r="AC290" s="90">
        <f t="shared" si="157"/>
        <v>0</v>
      </c>
      <c r="AD290" s="91">
        <f t="shared" si="158"/>
        <v>0</v>
      </c>
      <c r="AE290" s="93">
        <f t="shared" si="159"/>
        <v>0</v>
      </c>
      <c r="AF290" s="93">
        <f t="shared" si="160"/>
        <v>0</v>
      </c>
      <c r="AG290" s="93">
        <f t="shared" si="161"/>
        <v>0</v>
      </c>
      <c r="AH290" s="93">
        <f t="shared" si="162"/>
        <v>0</v>
      </c>
      <c r="AI290" s="93">
        <f t="shared" si="163"/>
        <v>0</v>
      </c>
      <c r="AJ290" s="93">
        <f t="shared" si="164"/>
        <v>0</v>
      </c>
      <c r="AK290" s="93">
        <f t="shared" si="165"/>
        <v>0</v>
      </c>
      <c r="AL290" s="93">
        <f t="shared" si="166"/>
        <v>0</v>
      </c>
      <c r="AM290" s="92">
        <f t="shared" si="167"/>
        <v>0</v>
      </c>
      <c r="AN290" s="1" t="str">
        <f t="shared" si="179"/>
        <v xml:space="preserve"> </v>
      </c>
      <c r="AO290" s="1" t="str">
        <f t="shared" si="180"/>
        <v xml:space="preserve"> </v>
      </c>
      <c r="AP290" s="1" t="str">
        <f t="shared" si="181"/>
        <v xml:space="preserve"> </v>
      </c>
      <c r="AQ290" s="1" t="str">
        <f t="shared" si="182"/>
        <v xml:space="preserve"> </v>
      </c>
      <c r="AR290" s="1" t="str">
        <f t="shared" si="183"/>
        <v xml:space="preserve"> </v>
      </c>
      <c r="AS290" s="1" t="str">
        <f t="shared" si="184"/>
        <v xml:space="preserve"> </v>
      </c>
      <c r="AT290" s="1" t="str">
        <f t="shared" si="185"/>
        <v xml:space="preserve"> </v>
      </c>
      <c r="AU290" s="103" t="str">
        <f t="shared" si="186"/>
        <v xml:space="preserve"> </v>
      </c>
      <c r="AV290" s="111">
        <f t="shared" si="170"/>
        <v>0</v>
      </c>
      <c r="AW290" s="4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6"/>
      <c r="DM290" s="111">
        <f t="shared" si="171"/>
        <v>0</v>
      </c>
      <c r="DN290" s="4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6"/>
      <c r="GD290" s="111">
        <f t="shared" si="172"/>
        <v>0</v>
      </c>
      <c r="GE290" s="4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6"/>
      <c r="IU290" s="111">
        <f t="shared" si="173"/>
        <v>0</v>
      </c>
      <c r="IV290" s="4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6"/>
      <c r="LL290" s="111">
        <f t="shared" si="174"/>
        <v>0</v>
      </c>
      <c r="LM290" s="4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6"/>
      <c r="OC290" s="111">
        <f t="shared" si="175"/>
        <v>0</v>
      </c>
      <c r="OD290" s="4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6"/>
      <c r="QT290" s="111">
        <f t="shared" si="176"/>
        <v>0</v>
      </c>
      <c r="QU290" s="4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6"/>
      <c r="TK290" s="111">
        <f t="shared" si="177"/>
        <v>0</v>
      </c>
      <c r="TL290" s="4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6"/>
    </row>
    <row r="291" spans="1:599" ht="14.25" customHeight="1" x14ac:dyDescent="0.3">
      <c r="A291" s="41"/>
      <c r="B291" s="39"/>
      <c r="C291" s="40"/>
      <c r="D291" s="40"/>
      <c r="E291" s="81"/>
      <c r="F291" s="81"/>
      <c r="G291" s="81"/>
      <c r="H291" s="81"/>
      <c r="I291" s="81"/>
      <c r="J291" s="81"/>
      <c r="K291" s="81"/>
      <c r="L291" s="81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89" t="str">
        <f t="shared" si="154"/>
        <v/>
      </c>
      <c r="Z291" s="89" t="str">
        <f t="shared" si="155"/>
        <v/>
      </c>
      <c r="AA291" s="89">
        <f t="shared" si="178"/>
        <v>0</v>
      </c>
      <c r="AB291" s="89">
        <f t="shared" si="156"/>
        <v>0</v>
      </c>
      <c r="AC291" s="90">
        <f t="shared" si="157"/>
        <v>0</v>
      </c>
      <c r="AD291" s="91">
        <f t="shared" si="158"/>
        <v>0</v>
      </c>
      <c r="AE291" s="93">
        <f t="shared" si="159"/>
        <v>0</v>
      </c>
      <c r="AF291" s="93">
        <f t="shared" si="160"/>
        <v>0</v>
      </c>
      <c r="AG291" s="93">
        <f t="shared" si="161"/>
        <v>0</v>
      </c>
      <c r="AH291" s="93">
        <f t="shared" si="162"/>
        <v>0</v>
      </c>
      <c r="AI291" s="93">
        <f t="shared" si="163"/>
        <v>0</v>
      </c>
      <c r="AJ291" s="93">
        <f t="shared" si="164"/>
        <v>0</v>
      </c>
      <c r="AK291" s="93">
        <f t="shared" si="165"/>
        <v>0</v>
      </c>
      <c r="AL291" s="93">
        <f t="shared" si="166"/>
        <v>0</v>
      </c>
      <c r="AM291" s="92">
        <f t="shared" si="167"/>
        <v>0</v>
      </c>
      <c r="AN291" s="1" t="str">
        <f t="shared" si="179"/>
        <v xml:space="preserve"> </v>
      </c>
      <c r="AO291" s="1" t="str">
        <f t="shared" si="180"/>
        <v xml:space="preserve"> </v>
      </c>
      <c r="AP291" s="1" t="str">
        <f t="shared" si="181"/>
        <v xml:space="preserve"> </v>
      </c>
      <c r="AQ291" s="1" t="str">
        <f t="shared" si="182"/>
        <v xml:space="preserve"> </v>
      </c>
      <c r="AR291" s="1" t="str">
        <f t="shared" si="183"/>
        <v xml:space="preserve"> </v>
      </c>
      <c r="AS291" s="1" t="str">
        <f t="shared" si="184"/>
        <v xml:space="preserve"> </v>
      </c>
      <c r="AT291" s="1" t="str">
        <f t="shared" si="185"/>
        <v xml:space="preserve"> </v>
      </c>
      <c r="AU291" s="103" t="str">
        <f t="shared" si="186"/>
        <v xml:space="preserve"> </v>
      </c>
      <c r="AV291" s="111">
        <f t="shared" si="170"/>
        <v>0</v>
      </c>
      <c r="AW291" s="4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6"/>
      <c r="DM291" s="111">
        <f t="shared" si="171"/>
        <v>0</v>
      </c>
      <c r="DN291" s="4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6"/>
      <c r="GD291" s="111">
        <f t="shared" si="172"/>
        <v>0</v>
      </c>
      <c r="GE291" s="4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6"/>
      <c r="IU291" s="111">
        <f t="shared" si="173"/>
        <v>0</v>
      </c>
      <c r="IV291" s="4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6"/>
      <c r="LL291" s="111">
        <f t="shared" si="174"/>
        <v>0</v>
      </c>
      <c r="LM291" s="4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6"/>
      <c r="OC291" s="111">
        <f t="shared" si="175"/>
        <v>0</v>
      </c>
      <c r="OD291" s="4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6"/>
      <c r="QT291" s="111">
        <f t="shared" si="176"/>
        <v>0</v>
      </c>
      <c r="QU291" s="4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6"/>
      <c r="TK291" s="111">
        <f t="shared" si="177"/>
        <v>0</v>
      </c>
      <c r="TL291" s="4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6"/>
    </row>
    <row r="292" spans="1:599" ht="14.25" customHeight="1" x14ac:dyDescent="0.3">
      <c r="A292" s="41"/>
      <c r="B292" s="39"/>
      <c r="C292" s="40"/>
      <c r="D292" s="40"/>
      <c r="E292" s="81"/>
      <c r="F292" s="81"/>
      <c r="G292" s="81"/>
      <c r="H292" s="81"/>
      <c r="I292" s="81"/>
      <c r="J292" s="81"/>
      <c r="K292" s="81"/>
      <c r="L292" s="81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89" t="str">
        <f t="shared" si="154"/>
        <v/>
      </c>
      <c r="Z292" s="89" t="str">
        <f t="shared" si="155"/>
        <v/>
      </c>
      <c r="AA292" s="89">
        <f t="shared" si="178"/>
        <v>0</v>
      </c>
      <c r="AB292" s="89">
        <f t="shared" si="156"/>
        <v>0</v>
      </c>
      <c r="AC292" s="90">
        <f t="shared" si="157"/>
        <v>0</v>
      </c>
      <c r="AD292" s="91">
        <f t="shared" si="158"/>
        <v>0</v>
      </c>
      <c r="AE292" s="93">
        <f t="shared" si="159"/>
        <v>0</v>
      </c>
      <c r="AF292" s="93">
        <f t="shared" si="160"/>
        <v>0</v>
      </c>
      <c r="AG292" s="93">
        <f t="shared" si="161"/>
        <v>0</v>
      </c>
      <c r="AH292" s="93">
        <f t="shared" si="162"/>
        <v>0</v>
      </c>
      <c r="AI292" s="93">
        <f t="shared" si="163"/>
        <v>0</v>
      </c>
      <c r="AJ292" s="93">
        <f t="shared" si="164"/>
        <v>0</v>
      </c>
      <c r="AK292" s="93">
        <f t="shared" si="165"/>
        <v>0</v>
      </c>
      <c r="AL292" s="93">
        <f t="shared" si="166"/>
        <v>0</v>
      </c>
      <c r="AM292" s="92">
        <f t="shared" si="167"/>
        <v>0</v>
      </c>
      <c r="AN292" s="1" t="str">
        <f t="shared" si="179"/>
        <v xml:space="preserve"> </v>
      </c>
      <c r="AO292" s="1" t="str">
        <f t="shared" si="180"/>
        <v xml:space="preserve"> </v>
      </c>
      <c r="AP292" s="1" t="str">
        <f t="shared" si="181"/>
        <v xml:space="preserve"> </v>
      </c>
      <c r="AQ292" s="1" t="str">
        <f t="shared" si="182"/>
        <v xml:space="preserve"> </v>
      </c>
      <c r="AR292" s="1" t="str">
        <f t="shared" si="183"/>
        <v xml:space="preserve"> </v>
      </c>
      <c r="AS292" s="1" t="str">
        <f t="shared" si="184"/>
        <v xml:space="preserve"> </v>
      </c>
      <c r="AT292" s="1" t="str">
        <f t="shared" si="185"/>
        <v xml:space="preserve"> </v>
      </c>
      <c r="AU292" s="103" t="str">
        <f t="shared" si="186"/>
        <v xml:space="preserve"> </v>
      </c>
      <c r="AV292" s="111">
        <f t="shared" si="170"/>
        <v>0</v>
      </c>
      <c r="AW292" s="4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6"/>
      <c r="DM292" s="111">
        <f t="shared" si="171"/>
        <v>0</v>
      </c>
      <c r="DN292" s="4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6"/>
      <c r="GD292" s="111">
        <f t="shared" si="172"/>
        <v>0</v>
      </c>
      <c r="GE292" s="4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6"/>
      <c r="IU292" s="111">
        <f t="shared" si="173"/>
        <v>0</v>
      </c>
      <c r="IV292" s="4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6"/>
      <c r="LL292" s="111">
        <f t="shared" si="174"/>
        <v>0</v>
      </c>
      <c r="LM292" s="4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6"/>
      <c r="OC292" s="111">
        <f t="shared" si="175"/>
        <v>0</v>
      </c>
      <c r="OD292" s="4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6"/>
      <c r="QT292" s="111">
        <f t="shared" si="176"/>
        <v>0</v>
      </c>
      <c r="QU292" s="4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6"/>
      <c r="TK292" s="111">
        <f t="shared" si="177"/>
        <v>0</v>
      </c>
      <c r="TL292" s="4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6"/>
    </row>
    <row r="293" spans="1:599" ht="14.25" customHeight="1" x14ac:dyDescent="0.3">
      <c r="A293" s="41"/>
      <c r="B293" s="39"/>
      <c r="C293" s="40"/>
      <c r="D293" s="40"/>
      <c r="E293" s="81"/>
      <c r="F293" s="81"/>
      <c r="G293" s="81"/>
      <c r="H293" s="81"/>
      <c r="I293" s="81"/>
      <c r="J293" s="81"/>
      <c r="K293" s="81"/>
      <c r="L293" s="81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89" t="str">
        <f t="shared" si="154"/>
        <v/>
      </c>
      <c r="Z293" s="89" t="str">
        <f t="shared" si="155"/>
        <v/>
      </c>
      <c r="AA293" s="89">
        <f t="shared" si="178"/>
        <v>0</v>
      </c>
      <c r="AB293" s="89">
        <f t="shared" si="156"/>
        <v>0</v>
      </c>
      <c r="AC293" s="90">
        <f t="shared" si="157"/>
        <v>0</v>
      </c>
      <c r="AD293" s="91">
        <f t="shared" si="158"/>
        <v>0</v>
      </c>
      <c r="AE293" s="93">
        <f t="shared" si="159"/>
        <v>0</v>
      </c>
      <c r="AF293" s="93">
        <f t="shared" si="160"/>
        <v>0</v>
      </c>
      <c r="AG293" s="93">
        <f t="shared" si="161"/>
        <v>0</v>
      </c>
      <c r="AH293" s="93">
        <f t="shared" si="162"/>
        <v>0</v>
      </c>
      <c r="AI293" s="93">
        <f t="shared" si="163"/>
        <v>0</v>
      </c>
      <c r="AJ293" s="93">
        <f t="shared" si="164"/>
        <v>0</v>
      </c>
      <c r="AK293" s="93">
        <f t="shared" si="165"/>
        <v>0</v>
      </c>
      <c r="AL293" s="93">
        <f t="shared" si="166"/>
        <v>0</v>
      </c>
      <c r="AM293" s="92">
        <f t="shared" si="167"/>
        <v>0</v>
      </c>
      <c r="AN293" s="1" t="str">
        <f t="shared" si="179"/>
        <v xml:space="preserve"> </v>
      </c>
      <c r="AO293" s="1" t="str">
        <f t="shared" si="180"/>
        <v xml:space="preserve"> </v>
      </c>
      <c r="AP293" s="1" t="str">
        <f t="shared" si="181"/>
        <v xml:space="preserve"> </v>
      </c>
      <c r="AQ293" s="1" t="str">
        <f t="shared" si="182"/>
        <v xml:space="preserve"> </v>
      </c>
      <c r="AR293" s="1" t="str">
        <f t="shared" si="183"/>
        <v xml:space="preserve"> </v>
      </c>
      <c r="AS293" s="1" t="str">
        <f t="shared" si="184"/>
        <v xml:space="preserve"> </v>
      </c>
      <c r="AT293" s="1" t="str">
        <f t="shared" si="185"/>
        <v xml:space="preserve"> </v>
      </c>
      <c r="AU293" s="103" t="str">
        <f t="shared" si="186"/>
        <v xml:space="preserve"> </v>
      </c>
      <c r="AV293" s="111">
        <f t="shared" si="170"/>
        <v>0</v>
      </c>
      <c r="AW293" s="4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6"/>
      <c r="DM293" s="111">
        <f t="shared" si="171"/>
        <v>0</v>
      </c>
      <c r="DN293" s="4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6"/>
      <c r="GD293" s="111">
        <f t="shared" si="172"/>
        <v>0</v>
      </c>
      <c r="GE293" s="4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6"/>
      <c r="IU293" s="111">
        <f t="shared" si="173"/>
        <v>0</v>
      </c>
      <c r="IV293" s="4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6"/>
      <c r="LL293" s="111">
        <f t="shared" si="174"/>
        <v>0</v>
      </c>
      <c r="LM293" s="4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6"/>
      <c r="OC293" s="111">
        <f t="shared" si="175"/>
        <v>0</v>
      </c>
      <c r="OD293" s="4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6"/>
      <c r="QT293" s="111">
        <f t="shared" si="176"/>
        <v>0</v>
      </c>
      <c r="QU293" s="4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6"/>
      <c r="TK293" s="111">
        <f t="shared" si="177"/>
        <v>0</v>
      </c>
      <c r="TL293" s="4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6"/>
    </row>
    <row r="294" spans="1:599" ht="14.25" customHeight="1" x14ac:dyDescent="0.3">
      <c r="A294" s="41"/>
      <c r="B294" s="39"/>
      <c r="C294" s="40"/>
      <c r="D294" s="40"/>
      <c r="E294" s="81"/>
      <c r="F294" s="81"/>
      <c r="G294" s="81"/>
      <c r="H294" s="81"/>
      <c r="I294" s="81"/>
      <c r="J294" s="81"/>
      <c r="K294" s="81"/>
      <c r="L294" s="81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89" t="str">
        <f t="shared" si="154"/>
        <v/>
      </c>
      <c r="Z294" s="89" t="str">
        <f t="shared" si="155"/>
        <v/>
      </c>
      <c r="AA294" s="89">
        <f t="shared" si="178"/>
        <v>0</v>
      </c>
      <c r="AB294" s="89">
        <f t="shared" si="156"/>
        <v>0</v>
      </c>
      <c r="AC294" s="90">
        <f t="shared" si="157"/>
        <v>0</v>
      </c>
      <c r="AD294" s="91">
        <f t="shared" si="158"/>
        <v>0</v>
      </c>
      <c r="AE294" s="93">
        <f t="shared" si="159"/>
        <v>0</v>
      </c>
      <c r="AF294" s="93">
        <f t="shared" si="160"/>
        <v>0</v>
      </c>
      <c r="AG294" s="93">
        <f t="shared" si="161"/>
        <v>0</v>
      </c>
      <c r="AH294" s="93">
        <f t="shared" si="162"/>
        <v>0</v>
      </c>
      <c r="AI294" s="93">
        <f t="shared" si="163"/>
        <v>0</v>
      </c>
      <c r="AJ294" s="93">
        <f t="shared" si="164"/>
        <v>0</v>
      </c>
      <c r="AK294" s="93">
        <f t="shared" si="165"/>
        <v>0</v>
      </c>
      <c r="AL294" s="93">
        <f t="shared" si="166"/>
        <v>0</v>
      </c>
      <c r="AM294" s="92">
        <f t="shared" si="167"/>
        <v>0</v>
      </c>
      <c r="AN294" s="1" t="str">
        <f t="shared" si="179"/>
        <v xml:space="preserve"> </v>
      </c>
      <c r="AO294" s="1" t="str">
        <f t="shared" si="180"/>
        <v xml:space="preserve"> </v>
      </c>
      <c r="AP294" s="1" t="str">
        <f t="shared" si="181"/>
        <v xml:space="preserve"> </v>
      </c>
      <c r="AQ294" s="1" t="str">
        <f t="shared" si="182"/>
        <v xml:space="preserve"> </v>
      </c>
      <c r="AR294" s="1" t="str">
        <f t="shared" si="183"/>
        <v xml:space="preserve"> </v>
      </c>
      <c r="AS294" s="1" t="str">
        <f t="shared" si="184"/>
        <v xml:space="preserve"> </v>
      </c>
      <c r="AT294" s="1" t="str">
        <f t="shared" si="185"/>
        <v xml:space="preserve"> </v>
      </c>
      <c r="AU294" s="103" t="str">
        <f t="shared" si="186"/>
        <v xml:space="preserve"> </v>
      </c>
      <c r="AV294" s="111">
        <f t="shared" si="170"/>
        <v>0</v>
      </c>
      <c r="AW294" s="4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6"/>
      <c r="DM294" s="111">
        <f t="shared" si="171"/>
        <v>0</v>
      </c>
      <c r="DN294" s="4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6"/>
      <c r="GD294" s="111">
        <f t="shared" si="172"/>
        <v>0</v>
      </c>
      <c r="GE294" s="4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6"/>
      <c r="IU294" s="111">
        <f t="shared" si="173"/>
        <v>0</v>
      </c>
      <c r="IV294" s="4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6"/>
      <c r="LL294" s="111">
        <f t="shared" si="174"/>
        <v>0</v>
      </c>
      <c r="LM294" s="4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6"/>
      <c r="OC294" s="111">
        <f t="shared" si="175"/>
        <v>0</v>
      </c>
      <c r="OD294" s="4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6"/>
      <c r="QT294" s="111">
        <f t="shared" si="176"/>
        <v>0</v>
      </c>
      <c r="QU294" s="4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6"/>
      <c r="TK294" s="111">
        <f t="shared" si="177"/>
        <v>0</v>
      </c>
      <c r="TL294" s="4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6"/>
    </row>
    <row r="295" spans="1:599" ht="14.25" customHeight="1" x14ac:dyDescent="0.3">
      <c r="A295" s="41"/>
      <c r="B295" s="39"/>
      <c r="C295" s="40"/>
      <c r="D295" s="40"/>
      <c r="E295" s="81"/>
      <c r="F295" s="81"/>
      <c r="G295" s="81"/>
      <c r="H295" s="81"/>
      <c r="I295" s="81"/>
      <c r="J295" s="81"/>
      <c r="K295" s="81"/>
      <c r="L295" s="81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89" t="str">
        <f t="shared" si="154"/>
        <v/>
      </c>
      <c r="Z295" s="89" t="str">
        <f t="shared" si="155"/>
        <v/>
      </c>
      <c r="AA295" s="89">
        <f t="shared" si="178"/>
        <v>0</v>
      </c>
      <c r="AB295" s="89">
        <f t="shared" si="156"/>
        <v>0</v>
      </c>
      <c r="AC295" s="90">
        <f t="shared" si="157"/>
        <v>0</v>
      </c>
      <c r="AD295" s="91">
        <f t="shared" si="158"/>
        <v>0</v>
      </c>
      <c r="AE295" s="93">
        <f t="shared" si="159"/>
        <v>0</v>
      </c>
      <c r="AF295" s="93">
        <f t="shared" si="160"/>
        <v>0</v>
      </c>
      <c r="AG295" s="93">
        <f t="shared" si="161"/>
        <v>0</v>
      </c>
      <c r="AH295" s="93">
        <f t="shared" si="162"/>
        <v>0</v>
      </c>
      <c r="AI295" s="93">
        <f t="shared" si="163"/>
        <v>0</v>
      </c>
      <c r="AJ295" s="93">
        <f t="shared" si="164"/>
        <v>0</v>
      </c>
      <c r="AK295" s="93">
        <f t="shared" si="165"/>
        <v>0</v>
      </c>
      <c r="AL295" s="93">
        <f t="shared" si="166"/>
        <v>0</v>
      </c>
      <c r="AM295" s="92">
        <f t="shared" si="167"/>
        <v>0</v>
      </c>
      <c r="AN295" s="1" t="str">
        <f t="shared" si="179"/>
        <v xml:space="preserve"> </v>
      </c>
      <c r="AO295" s="1" t="str">
        <f t="shared" si="180"/>
        <v xml:space="preserve"> </v>
      </c>
      <c r="AP295" s="1" t="str">
        <f t="shared" si="181"/>
        <v xml:space="preserve"> </v>
      </c>
      <c r="AQ295" s="1" t="str">
        <f t="shared" si="182"/>
        <v xml:space="preserve"> </v>
      </c>
      <c r="AR295" s="1" t="str">
        <f t="shared" si="183"/>
        <v xml:space="preserve"> </v>
      </c>
      <c r="AS295" s="1" t="str">
        <f t="shared" si="184"/>
        <v xml:space="preserve"> </v>
      </c>
      <c r="AT295" s="1" t="str">
        <f t="shared" si="185"/>
        <v xml:space="preserve"> </v>
      </c>
      <c r="AU295" s="103" t="str">
        <f t="shared" si="186"/>
        <v xml:space="preserve"> </v>
      </c>
      <c r="AV295" s="111">
        <f t="shared" si="170"/>
        <v>0</v>
      </c>
      <c r="AW295" s="4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6"/>
      <c r="DM295" s="111">
        <f t="shared" si="171"/>
        <v>0</v>
      </c>
      <c r="DN295" s="4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6"/>
      <c r="GD295" s="111">
        <f t="shared" si="172"/>
        <v>0</v>
      </c>
      <c r="GE295" s="4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6"/>
      <c r="IU295" s="111">
        <f t="shared" si="173"/>
        <v>0</v>
      </c>
      <c r="IV295" s="4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6"/>
      <c r="LL295" s="111">
        <f t="shared" si="174"/>
        <v>0</v>
      </c>
      <c r="LM295" s="4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6"/>
      <c r="OC295" s="111">
        <f t="shared" si="175"/>
        <v>0</v>
      </c>
      <c r="OD295" s="4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6"/>
      <c r="QT295" s="111">
        <f t="shared" si="176"/>
        <v>0</v>
      </c>
      <c r="QU295" s="4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6"/>
      <c r="TK295" s="111">
        <f t="shared" si="177"/>
        <v>0</v>
      </c>
      <c r="TL295" s="4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6"/>
    </row>
    <row r="296" spans="1:599" ht="14.25" customHeight="1" x14ac:dyDescent="0.3">
      <c r="A296" s="41"/>
      <c r="B296" s="39"/>
      <c r="C296" s="40"/>
      <c r="D296" s="40"/>
      <c r="E296" s="81"/>
      <c r="F296" s="81"/>
      <c r="G296" s="81"/>
      <c r="H296" s="81"/>
      <c r="I296" s="81"/>
      <c r="J296" s="81"/>
      <c r="K296" s="81"/>
      <c r="L296" s="81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89" t="str">
        <f t="shared" si="154"/>
        <v/>
      </c>
      <c r="Z296" s="89" t="str">
        <f t="shared" si="155"/>
        <v/>
      </c>
      <c r="AA296" s="89">
        <f t="shared" si="178"/>
        <v>0</v>
      </c>
      <c r="AB296" s="89">
        <f t="shared" si="156"/>
        <v>0</v>
      </c>
      <c r="AC296" s="90">
        <f t="shared" si="157"/>
        <v>0</v>
      </c>
      <c r="AD296" s="91">
        <f t="shared" si="158"/>
        <v>0</v>
      </c>
      <c r="AE296" s="93">
        <f t="shared" si="159"/>
        <v>0</v>
      </c>
      <c r="AF296" s="93">
        <f t="shared" si="160"/>
        <v>0</v>
      </c>
      <c r="AG296" s="93">
        <f t="shared" si="161"/>
        <v>0</v>
      </c>
      <c r="AH296" s="93">
        <f t="shared" si="162"/>
        <v>0</v>
      </c>
      <c r="AI296" s="93">
        <f t="shared" si="163"/>
        <v>0</v>
      </c>
      <c r="AJ296" s="93">
        <f t="shared" si="164"/>
        <v>0</v>
      </c>
      <c r="AK296" s="93">
        <f t="shared" si="165"/>
        <v>0</v>
      </c>
      <c r="AL296" s="93">
        <f t="shared" si="166"/>
        <v>0</v>
      </c>
      <c r="AM296" s="92">
        <f t="shared" si="167"/>
        <v>0</v>
      </c>
      <c r="AN296" s="1" t="str">
        <f t="shared" si="120"/>
        <v xml:space="preserve"> </v>
      </c>
      <c r="AO296" s="1" t="str">
        <f t="shared" si="121"/>
        <v xml:space="preserve"> </v>
      </c>
      <c r="AP296" s="1" t="str">
        <f t="shared" si="122"/>
        <v xml:space="preserve"> </v>
      </c>
      <c r="AQ296" s="1" t="str">
        <f t="shared" si="123"/>
        <v xml:space="preserve"> </v>
      </c>
      <c r="AR296" s="1" t="str">
        <f t="shared" si="124"/>
        <v xml:space="preserve"> </v>
      </c>
      <c r="AS296" s="1" t="str">
        <f t="shared" si="125"/>
        <v xml:space="preserve"> </v>
      </c>
      <c r="AT296" s="1" t="str">
        <f t="shared" si="126"/>
        <v xml:space="preserve"> </v>
      </c>
      <c r="AU296" s="103" t="str">
        <f t="shared" si="127"/>
        <v xml:space="preserve"> </v>
      </c>
      <c r="AV296" s="111">
        <f t="shared" si="170"/>
        <v>0</v>
      </c>
      <c r="AW296" s="4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6"/>
      <c r="DM296" s="111">
        <f t="shared" si="171"/>
        <v>0</v>
      </c>
      <c r="DN296" s="4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6"/>
      <c r="GD296" s="111">
        <f t="shared" si="172"/>
        <v>0</v>
      </c>
      <c r="GE296" s="4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6"/>
      <c r="IU296" s="111">
        <f t="shared" si="173"/>
        <v>0</v>
      </c>
      <c r="IV296" s="4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6"/>
      <c r="LL296" s="111">
        <f t="shared" si="174"/>
        <v>0</v>
      </c>
      <c r="LM296" s="4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6"/>
      <c r="OC296" s="111">
        <f t="shared" si="175"/>
        <v>0</v>
      </c>
      <c r="OD296" s="4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6"/>
      <c r="QT296" s="111">
        <f t="shared" si="176"/>
        <v>0</v>
      </c>
      <c r="QU296" s="4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6"/>
      <c r="TK296" s="111">
        <f t="shared" si="177"/>
        <v>0</v>
      </c>
      <c r="TL296" s="4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6"/>
    </row>
    <row r="297" spans="1:599" ht="14.25" customHeight="1" x14ac:dyDescent="0.3">
      <c r="A297" s="41"/>
      <c r="B297" s="39"/>
      <c r="C297" s="40"/>
      <c r="D297" s="40"/>
      <c r="E297" s="81"/>
      <c r="F297" s="81"/>
      <c r="G297" s="81"/>
      <c r="H297" s="81"/>
      <c r="I297" s="81"/>
      <c r="J297" s="81"/>
      <c r="K297" s="81"/>
      <c r="L297" s="81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89" t="str">
        <f t="shared" si="154"/>
        <v/>
      </c>
      <c r="Z297" s="89" t="str">
        <f t="shared" si="155"/>
        <v/>
      </c>
      <c r="AA297" s="89">
        <f t="shared" si="178"/>
        <v>0</v>
      </c>
      <c r="AB297" s="89">
        <f t="shared" si="156"/>
        <v>0</v>
      </c>
      <c r="AC297" s="90">
        <f t="shared" si="157"/>
        <v>0</v>
      </c>
      <c r="AD297" s="91">
        <f t="shared" si="158"/>
        <v>0</v>
      </c>
      <c r="AE297" s="93">
        <f t="shared" si="159"/>
        <v>0</v>
      </c>
      <c r="AF297" s="93">
        <f t="shared" si="160"/>
        <v>0</v>
      </c>
      <c r="AG297" s="93">
        <f t="shared" si="161"/>
        <v>0</v>
      </c>
      <c r="AH297" s="93">
        <f t="shared" si="162"/>
        <v>0</v>
      </c>
      <c r="AI297" s="93">
        <f t="shared" si="163"/>
        <v>0</v>
      </c>
      <c r="AJ297" s="93">
        <f t="shared" si="164"/>
        <v>0</v>
      </c>
      <c r="AK297" s="93">
        <f t="shared" si="165"/>
        <v>0</v>
      </c>
      <c r="AL297" s="93">
        <f t="shared" si="166"/>
        <v>0</v>
      </c>
      <c r="AM297" s="92">
        <f t="shared" si="167"/>
        <v>0</v>
      </c>
      <c r="AN297" s="1" t="str">
        <f t="shared" si="120"/>
        <v xml:space="preserve"> </v>
      </c>
      <c r="AO297" s="1" t="str">
        <f t="shared" si="121"/>
        <v xml:space="preserve"> </v>
      </c>
      <c r="AP297" s="1" t="str">
        <f t="shared" si="122"/>
        <v xml:space="preserve"> </v>
      </c>
      <c r="AQ297" s="1" t="str">
        <f t="shared" si="123"/>
        <v xml:space="preserve"> </v>
      </c>
      <c r="AR297" s="1" t="str">
        <f t="shared" si="124"/>
        <v xml:space="preserve"> </v>
      </c>
      <c r="AS297" s="1" t="str">
        <f t="shared" si="125"/>
        <v xml:space="preserve"> </v>
      </c>
      <c r="AT297" s="1" t="str">
        <f t="shared" si="126"/>
        <v xml:space="preserve"> </v>
      </c>
      <c r="AU297" s="103" t="str">
        <f t="shared" si="127"/>
        <v xml:space="preserve"> </v>
      </c>
      <c r="AV297" s="111">
        <f t="shared" si="170"/>
        <v>0</v>
      </c>
      <c r="AW297" s="4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6"/>
      <c r="DM297" s="111">
        <f t="shared" si="171"/>
        <v>0</v>
      </c>
      <c r="DN297" s="4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6"/>
      <c r="GD297" s="111">
        <f t="shared" si="172"/>
        <v>0</v>
      </c>
      <c r="GE297" s="4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6"/>
      <c r="IU297" s="111">
        <f t="shared" si="173"/>
        <v>0</v>
      </c>
      <c r="IV297" s="4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6"/>
      <c r="LL297" s="111">
        <f t="shared" si="174"/>
        <v>0</v>
      </c>
      <c r="LM297" s="4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6"/>
      <c r="OC297" s="111">
        <f t="shared" si="175"/>
        <v>0</v>
      </c>
      <c r="OD297" s="4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6"/>
      <c r="QT297" s="111">
        <f t="shared" si="176"/>
        <v>0</v>
      </c>
      <c r="QU297" s="4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6"/>
      <c r="TK297" s="111">
        <f t="shared" si="177"/>
        <v>0</v>
      </c>
      <c r="TL297" s="4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6"/>
    </row>
    <row r="298" spans="1:599" ht="13" x14ac:dyDescent="0.3">
      <c r="A298" s="41"/>
      <c r="B298" s="46"/>
      <c r="C298" s="46"/>
      <c r="D298" s="47"/>
      <c r="E298" s="47"/>
      <c r="F298" s="47"/>
      <c r="G298" s="47"/>
      <c r="H298" s="47"/>
      <c r="I298" s="47"/>
      <c r="J298" s="47"/>
      <c r="K298" s="47"/>
      <c r="L298" s="47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8"/>
      <c r="AD298" s="50"/>
      <c r="AE298" s="50"/>
      <c r="AF298" s="50"/>
      <c r="AG298" s="50"/>
      <c r="AH298" s="50"/>
      <c r="AI298" s="50"/>
      <c r="AJ298" s="50"/>
      <c r="AK298" s="50"/>
      <c r="AL298" s="50"/>
      <c r="AM298" s="48"/>
      <c r="AN298" s="48"/>
      <c r="AO298" s="48"/>
      <c r="AP298" s="48"/>
      <c r="AQ298" s="48"/>
      <c r="AR298" s="48"/>
      <c r="AS298" s="48"/>
      <c r="AT298" s="48"/>
      <c r="AU298" s="48"/>
      <c r="AV298" s="48"/>
      <c r="AW298" s="51"/>
      <c r="AX298" s="51"/>
      <c r="AY298" s="51"/>
      <c r="AZ298" s="51"/>
      <c r="BA298" s="51"/>
      <c r="BB298" s="51"/>
      <c r="BC298" s="51"/>
      <c r="BD298" s="51"/>
      <c r="BE298" s="51"/>
      <c r="BF298" s="51"/>
      <c r="BG298" s="51"/>
      <c r="BH298" s="51"/>
      <c r="BI298" s="51"/>
      <c r="BJ298" s="51"/>
      <c r="BK298" s="51"/>
      <c r="BL298" s="51"/>
      <c r="BM298" s="51"/>
      <c r="BN298" s="51"/>
      <c r="BO298" s="51"/>
      <c r="BP298" s="51"/>
      <c r="BQ298" s="51"/>
      <c r="BR298" s="51"/>
      <c r="BS298" s="51"/>
      <c r="BT298" s="51"/>
      <c r="BU298" s="51"/>
      <c r="BV298" s="51"/>
      <c r="BW298" s="51"/>
      <c r="BX298" s="51"/>
      <c r="BY298" s="51"/>
      <c r="BZ298" s="51"/>
      <c r="CA298" s="51"/>
      <c r="CB298" s="51"/>
      <c r="CC298" s="51"/>
      <c r="CD298" s="51"/>
      <c r="CE298" s="51"/>
      <c r="CF298" s="51"/>
      <c r="CG298" s="51"/>
      <c r="CH298" s="51"/>
      <c r="CI298" s="51"/>
      <c r="CJ298" s="51"/>
      <c r="CK298" s="51"/>
      <c r="CL298" s="51"/>
      <c r="CM298" s="51"/>
      <c r="CN298" s="51"/>
      <c r="CO298" s="51"/>
      <c r="CP298" s="51"/>
      <c r="CQ298" s="51"/>
      <c r="CR298" s="51"/>
      <c r="CS298" s="51"/>
      <c r="CT298" s="51"/>
      <c r="CU298" s="51"/>
      <c r="CV298" s="51"/>
      <c r="CW298" s="51"/>
      <c r="CX298" s="51"/>
      <c r="CY298" s="51"/>
      <c r="CZ298" s="51"/>
      <c r="DA298" s="51"/>
      <c r="DB298" s="51"/>
      <c r="DC298" s="51"/>
      <c r="DD298" s="51"/>
      <c r="DE298" s="51"/>
      <c r="DF298" s="51"/>
      <c r="DG298" s="51"/>
      <c r="DH298" s="51"/>
      <c r="DI298" s="51"/>
      <c r="DJ298" s="51"/>
      <c r="DK298" s="51"/>
      <c r="DL298" s="51"/>
      <c r="DM298" s="48"/>
      <c r="DN298" s="51"/>
      <c r="DO298" s="51"/>
      <c r="DP298" s="51"/>
      <c r="DQ298" s="51"/>
      <c r="DR298" s="51"/>
      <c r="DS298" s="51"/>
      <c r="DT298" s="51"/>
      <c r="DU298" s="51"/>
      <c r="DV298" s="51"/>
      <c r="DW298" s="51"/>
      <c r="DX298" s="51"/>
      <c r="DY298" s="51"/>
      <c r="DZ298" s="51"/>
      <c r="EA298" s="51"/>
      <c r="EB298" s="51"/>
      <c r="EC298" s="51"/>
      <c r="ED298" s="51"/>
      <c r="EE298" s="51"/>
      <c r="EF298" s="51"/>
      <c r="EG298" s="51"/>
      <c r="EH298" s="51"/>
      <c r="EI298" s="51"/>
      <c r="EJ298" s="51"/>
      <c r="EK298" s="51"/>
      <c r="EL298" s="51"/>
      <c r="EM298" s="51"/>
      <c r="EN298" s="51"/>
      <c r="EO298" s="51"/>
      <c r="EP298" s="51"/>
      <c r="EQ298" s="51"/>
      <c r="ER298" s="51"/>
      <c r="ES298" s="51"/>
      <c r="ET298" s="51"/>
      <c r="EU298" s="51"/>
      <c r="EV298" s="51"/>
      <c r="EW298" s="51"/>
      <c r="EX298" s="51"/>
      <c r="EY298" s="51"/>
      <c r="EZ298" s="51"/>
      <c r="FA298" s="51"/>
      <c r="FB298" s="51"/>
      <c r="FC298" s="51"/>
      <c r="FD298" s="51"/>
      <c r="FE298" s="51"/>
      <c r="FF298" s="51"/>
      <c r="FG298" s="51"/>
      <c r="FH298" s="51"/>
      <c r="FI298" s="51"/>
      <c r="FJ298" s="51"/>
      <c r="FK298" s="51"/>
      <c r="FL298" s="51"/>
      <c r="FM298" s="51"/>
      <c r="FN298" s="51"/>
      <c r="FO298" s="51"/>
      <c r="FP298" s="51"/>
      <c r="FQ298" s="51"/>
      <c r="FR298" s="51"/>
      <c r="FS298" s="51"/>
      <c r="FT298" s="51"/>
      <c r="FU298" s="51"/>
      <c r="FV298" s="51"/>
      <c r="FW298" s="51"/>
      <c r="FX298" s="51"/>
      <c r="FY298" s="51"/>
      <c r="FZ298" s="51"/>
      <c r="GA298" s="51"/>
      <c r="GB298" s="51"/>
      <c r="GC298" s="51"/>
      <c r="GD298" s="48"/>
      <c r="GE298" s="51"/>
      <c r="GF298" s="51"/>
      <c r="GG298" s="51"/>
      <c r="GH298" s="51"/>
      <c r="GI298" s="51"/>
      <c r="GJ298" s="51"/>
      <c r="GK298" s="51"/>
      <c r="GL298" s="51"/>
      <c r="GM298" s="51"/>
      <c r="GN298" s="51"/>
      <c r="GO298" s="51"/>
      <c r="GP298" s="51"/>
      <c r="GQ298" s="51"/>
      <c r="GR298" s="51"/>
      <c r="GS298" s="51"/>
      <c r="GT298" s="51"/>
      <c r="GU298" s="51"/>
      <c r="GV298" s="51"/>
      <c r="GW298" s="51"/>
      <c r="GX298" s="51"/>
      <c r="GY298" s="51"/>
      <c r="GZ298" s="51"/>
      <c r="HA298" s="51"/>
      <c r="HB298" s="51"/>
      <c r="HC298" s="51"/>
      <c r="HD298" s="51"/>
      <c r="HE298" s="51"/>
      <c r="HF298" s="51"/>
      <c r="HG298" s="51"/>
      <c r="HH298" s="51"/>
      <c r="HI298" s="51"/>
      <c r="HJ298" s="51"/>
      <c r="HK298" s="51"/>
      <c r="HL298" s="51"/>
      <c r="HM298" s="51"/>
      <c r="HN298" s="51"/>
      <c r="HO298" s="51"/>
      <c r="HP298" s="51"/>
      <c r="HQ298" s="51"/>
      <c r="HR298" s="51"/>
      <c r="HS298" s="51"/>
      <c r="HT298" s="51"/>
      <c r="HU298" s="51"/>
      <c r="HV298" s="51"/>
      <c r="HW298" s="51"/>
      <c r="HX298" s="51"/>
      <c r="HY298" s="51"/>
      <c r="HZ298" s="51"/>
      <c r="IA298" s="51"/>
      <c r="IB298" s="51"/>
      <c r="IC298" s="51"/>
      <c r="ID298" s="51"/>
      <c r="IE298" s="51"/>
      <c r="IF298" s="51"/>
      <c r="IG298" s="51"/>
      <c r="IH298" s="51"/>
      <c r="II298" s="51"/>
      <c r="IJ298" s="51"/>
      <c r="IK298" s="51"/>
      <c r="IL298" s="51"/>
      <c r="IM298" s="51"/>
      <c r="IN298" s="51"/>
      <c r="IO298" s="51"/>
      <c r="IP298" s="51"/>
      <c r="IQ298" s="51"/>
      <c r="IR298" s="51"/>
      <c r="IS298" s="51"/>
      <c r="IT298" s="51"/>
      <c r="IU298" s="48"/>
      <c r="IV298" s="51"/>
      <c r="IW298" s="51"/>
      <c r="IX298" s="51"/>
      <c r="IY298" s="51"/>
      <c r="IZ298" s="51"/>
      <c r="JA298" s="51"/>
      <c r="JB298" s="51"/>
      <c r="JC298" s="51"/>
      <c r="JD298" s="51"/>
      <c r="JE298" s="51"/>
      <c r="JF298" s="51"/>
      <c r="JG298" s="51"/>
      <c r="JH298" s="51"/>
      <c r="JI298" s="51"/>
      <c r="JJ298" s="51"/>
      <c r="JK298" s="51"/>
      <c r="JL298" s="51"/>
      <c r="JM298" s="51"/>
      <c r="JN298" s="51"/>
      <c r="JO298" s="51"/>
      <c r="JP298" s="51"/>
      <c r="JQ298" s="51"/>
      <c r="JR298" s="51"/>
      <c r="JS298" s="51"/>
      <c r="JT298" s="51"/>
      <c r="JU298" s="51"/>
      <c r="JV298" s="51"/>
      <c r="JW298" s="51"/>
      <c r="JX298" s="51"/>
      <c r="JY298" s="51"/>
      <c r="JZ298" s="51"/>
      <c r="KA298" s="51"/>
      <c r="KB298" s="51"/>
      <c r="KC298" s="51"/>
      <c r="KD298" s="51"/>
      <c r="KE298" s="51"/>
      <c r="KF298" s="51"/>
      <c r="KG298" s="51"/>
      <c r="KH298" s="51"/>
      <c r="KI298" s="51"/>
      <c r="KJ298" s="51"/>
      <c r="KK298" s="51"/>
      <c r="KL298" s="51"/>
      <c r="KM298" s="51"/>
      <c r="KN298" s="51"/>
      <c r="KO298" s="51"/>
      <c r="KP298" s="51"/>
      <c r="KQ298" s="51"/>
      <c r="KR298" s="51"/>
      <c r="KS298" s="51"/>
      <c r="KT298" s="51"/>
      <c r="KU298" s="51"/>
      <c r="KV298" s="51"/>
      <c r="KW298" s="51"/>
      <c r="KX298" s="51"/>
      <c r="KY298" s="51"/>
      <c r="KZ298" s="51"/>
      <c r="LA298" s="51"/>
      <c r="LB298" s="51"/>
      <c r="LC298" s="51"/>
      <c r="LD298" s="51"/>
      <c r="LE298" s="51"/>
      <c r="LF298" s="51"/>
      <c r="LG298" s="51"/>
      <c r="LH298" s="51"/>
      <c r="LI298" s="51"/>
      <c r="LJ298" s="51"/>
      <c r="LK298" s="51"/>
      <c r="LL298" s="48"/>
      <c r="LM298" s="51"/>
      <c r="LN298" s="51"/>
      <c r="LO298" s="51"/>
      <c r="LP298" s="51"/>
      <c r="LQ298" s="51"/>
      <c r="LR298" s="51"/>
      <c r="LS298" s="51"/>
      <c r="LT298" s="51"/>
      <c r="LU298" s="51"/>
      <c r="LV298" s="51"/>
      <c r="LW298" s="51"/>
      <c r="LX298" s="51"/>
      <c r="LY298" s="51"/>
      <c r="LZ298" s="51"/>
      <c r="MA298" s="51"/>
      <c r="MB298" s="51"/>
      <c r="MC298" s="51"/>
      <c r="MD298" s="51"/>
      <c r="ME298" s="51"/>
      <c r="MF298" s="51"/>
      <c r="MG298" s="51"/>
      <c r="MH298" s="51"/>
      <c r="MI298" s="51"/>
      <c r="MJ298" s="51"/>
      <c r="MK298" s="51"/>
      <c r="ML298" s="51"/>
      <c r="MM298" s="51"/>
      <c r="MN298" s="51"/>
      <c r="MO298" s="51"/>
      <c r="MP298" s="51"/>
      <c r="MQ298" s="51"/>
      <c r="MR298" s="51"/>
      <c r="MS298" s="51"/>
      <c r="MT298" s="51"/>
      <c r="MU298" s="51"/>
      <c r="MV298" s="51"/>
      <c r="MW298" s="51"/>
      <c r="MX298" s="51"/>
      <c r="MY298" s="51"/>
      <c r="MZ298" s="51"/>
      <c r="NA298" s="51"/>
      <c r="NB298" s="51"/>
      <c r="NC298" s="51"/>
      <c r="ND298" s="51"/>
      <c r="NE298" s="51"/>
      <c r="NF298" s="51"/>
      <c r="NG298" s="51"/>
      <c r="NH298" s="51"/>
      <c r="NI298" s="51"/>
      <c r="NJ298" s="51"/>
      <c r="NK298" s="51"/>
      <c r="NL298" s="51"/>
      <c r="NM298" s="51"/>
      <c r="NN298" s="51"/>
      <c r="NO298" s="51"/>
      <c r="NP298" s="51"/>
      <c r="NQ298" s="51"/>
      <c r="NR298" s="51"/>
      <c r="NS298" s="51"/>
      <c r="NT298" s="51"/>
      <c r="NU298" s="51"/>
      <c r="NV298" s="51"/>
      <c r="NW298" s="51"/>
      <c r="NX298" s="51"/>
      <c r="NY298" s="51"/>
      <c r="NZ298" s="51"/>
      <c r="OA298" s="51"/>
      <c r="OB298" s="51"/>
      <c r="OC298" s="48"/>
      <c r="OD298" s="51"/>
      <c r="OE298" s="51"/>
      <c r="OF298" s="51"/>
      <c r="OG298" s="51"/>
      <c r="OH298" s="51"/>
      <c r="OI298" s="51"/>
      <c r="OJ298" s="51"/>
      <c r="OK298" s="51"/>
      <c r="OL298" s="51"/>
      <c r="OM298" s="51"/>
      <c r="ON298" s="51"/>
      <c r="OO298" s="51"/>
      <c r="OP298" s="51"/>
      <c r="OQ298" s="51"/>
      <c r="OR298" s="51"/>
      <c r="OS298" s="51"/>
      <c r="OT298" s="51"/>
      <c r="OU298" s="51"/>
      <c r="OV298" s="51"/>
      <c r="OW298" s="51"/>
      <c r="OX298" s="51"/>
      <c r="OY298" s="51"/>
      <c r="OZ298" s="51"/>
      <c r="PA298" s="51"/>
      <c r="PB298" s="51"/>
      <c r="PC298" s="51"/>
      <c r="PD298" s="51"/>
      <c r="PE298" s="51"/>
      <c r="PF298" s="51"/>
      <c r="PG298" s="51"/>
      <c r="PH298" s="51"/>
      <c r="PI298" s="51"/>
      <c r="PJ298" s="51"/>
      <c r="PK298" s="51"/>
      <c r="PL298" s="51"/>
      <c r="PM298" s="51"/>
      <c r="PN298" s="51"/>
      <c r="PO298" s="51"/>
      <c r="PP298" s="51"/>
      <c r="PQ298" s="51"/>
      <c r="PR298" s="51"/>
      <c r="PS298" s="51"/>
      <c r="PT298" s="51"/>
      <c r="PU298" s="51"/>
      <c r="PV298" s="51"/>
      <c r="PW298" s="51"/>
      <c r="PX298" s="51"/>
      <c r="PY298" s="51"/>
      <c r="PZ298" s="51"/>
      <c r="QA298" s="51"/>
      <c r="QB298" s="51"/>
      <c r="QC298" s="51"/>
      <c r="QD298" s="51"/>
      <c r="QE298" s="51"/>
      <c r="QF298" s="51"/>
      <c r="QG298" s="51"/>
      <c r="QH298" s="51"/>
      <c r="QI298" s="51"/>
      <c r="QJ298" s="51"/>
      <c r="QK298" s="51"/>
      <c r="QL298" s="51"/>
      <c r="QM298" s="51"/>
      <c r="QN298" s="51"/>
      <c r="QO298" s="51"/>
      <c r="QP298" s="51"/>
      <c r="QQ298" s="51"/>
      <c r="QR298" s="51"/>
      <c r="QS298" s="51"/>
      <c r="QT298" s="48"/>
      <c r="QU298" s="51"/>
      <c r="QV298" s="51"/>
      <c r="QW298" s="51"/>
      <c r="QX298" s="51"/>
      <c r="QY298" s="51"/>
      <c r="QZ298" s="51"/>
      <c r="RA298" s="51"/>
      <c r="RB298" s="51"/>
      <c r="RC298" s="51"/>
      <c r="RD298" s="51"/>
      <c r="RE298" s="51"/>
      <c r="RF298" s="51"/>
      <c r="RG298" s="51"/>
      <c r="RH298" s="51"/>
      <c r="RI298" s="51"/>
      <c r="RJ298" s="51"/>
      <c r="RK298" s="51"/>
      <c r="RL298" s="51"/>
      <c r="RM298" s="51"/>
      <c r="RN298" s="51"/>
      <c r="RO298" s="51"/>
      <c r="RP298" s="51"/>
      <c r="RQ298" s="51"/>
      <c r="RR298" s="51"/>
      <c r="RS298" s="51"/>
      <c r="RT298" s="51"/>
      <c r="RU298" s="51"/>
      <c r="RV298" s="51"/>
      <c r="RW298" s="51"/>
      <c r="RX298" s="51"/>
      <c r="RY298" s="51"/>
      <c r="RZ298" s="51"/>
      <c r="SA298" s="51"/>
      <c r="SB298" s="51"/>
      <c r="SC298" s="51"/>
      <c r="SD298" s="51"/>
      <c r="SE298" s="51"/>
      <c r="SF298" s="51"/>
      <c r="SG298" s="51"/>
      <c r="SH298" s="51"/>
      <c r="SI298" s="51"/>
      <c r="SJ298" s="51"/>
      <c r="SK298" s="51"/>
      <c r="SL298" s="51"/>
      <c r="SM298" s="51"/>
      <c r="SN298" s="51"/>
      <c r="SO298" s="51"/>
      <c r="SP298" s="51"/>
      <c r="SQ298" s="51"/>
      <c r="SR298" s="51"/>
      <c r="SS298" s="51"/>
      <c r="ST298" s="51"/>
      <c r="SU298" s="51"/>
      <c r="SV298" s="51"/>
      <c r="SW298" s="51"/>
      <c r="SX298" s="51"/>
      <c r="SY298" s="51"/>
      <c r="SZ298" s="51"/>
      <c r="TA298" s="51"/>
      <c r="TB298" s="51"/>
      <c r="TC298" s="51"/>
      <c r="TD298" s="51"/>
      <c r="TE298" s="51"/>
      <c r="TF298" s="51"/>
      <c r="TG298" s="51"/>
      <c r="TH298" s="51"/>
      <c r="TI298" s="51"/>
      <c r="TJ298" s="51"/>
      <c r="TK298" s="48"/>
      <c r="TL298" s="51"/>
      <c r="TM298" s="51"/>
      <c r="TN298" s="51"/>
      <c r="TO298" s="51"/>
      <c r="TP298" s="51"/>
      <c r="TQ298" s="51"/>
      <c r="TR298" s="51"/>
      <c r="TS298" s="51"/>
      <c r="TT298" s="51"/>
      <c r="TU298" s="51"/>
      <c r="TV298" s="51"/>
      <c r="TW298" s="51"/>
      <c r="TX298" s="51"/>
      <c r="TY298" s="51"/>
      <c r="TZ298" s="51"/>
      <c r="UA298" s="51"/>
      <c r="UB298" s="51"/>
      <c r="UC298" s="51"/>
      <c r="UD298" s="51"/>
      <c r="UE298" s="51"/>
      <c r="UF298" s="51"/>
      <c r="UG298" s="51"/>
      <c r="UH298" s="51"/>
      <c r="UI298" s="51"/>
      <c r="UJ298" s="51"/>
      <c r="UK298" s="51"/>
      <c r="UL298" s="51"/>
      <c r="UM298" s="51"/>
      <c r="UN298" s="51"/>
      <c r="UO298" s="51"/>
      <c r="UP298" s="51"/>
      <c r="UQ298" s="51"/>
      <c r="UR298" s="51"/>
      <c r="US298" s="51"/>
      <c r="UT298" s="51"/>
      <c r="UU298" s="51"/>
      <c r="UV298" s="51"/>
      <c r="UW298" s="51"/>
      <c r="UX298" s="51"/>
      <c r="UY298" s="51"/>
      <c r="UZ298" s="51"/>
      <c r="VA298" s="51"/>
      <c r="VB298" s="51"/>
      <c r="VC298" s="51"/>
      <c r="VD298" s="51"/>
      <c r="VE298" s="51"/>
      <c r="VF298" s="51"/>
      <c r="VG298" s="51"/>
      <c r="VH298" s="51"/>
      <c r="VI298" s="51"/>
      <c r="VJ298" s="51"/>
      <c r="VK298" s="51"/>
      <c r="VL298" s="51"/>
      <c r="VM298" s="51"/>
      <c r="VN298" s="51"/>
      <c r="VO298" s="51"/>
      <c r="VP298" s="51"/>
      <c r="VQ298" s="51"/>
      <c r="VR298" s="51"/>
      <c r="VS298" s="51"/>
      <c r="VT298" s="51"/>
      <c r="VU298" s="51"/>
      <c r="VV298" s="51"/>
      <c r="VW298" s="51"/>
      <c r="VX298" s="51"/>
      <c r="VY298" s="51"/>
      <c r="VZ298" s="51"/>
      <c r="WA298" s="51"/>
    </row>
    <row r="299" spans="1:599" ht="13" x14ac:dyDescent="0.3">
      <c r="A299" s="41"/>
      <c r="B299" s="46"/>
      <c r="C299" s="46"/>
      <c r="D299" s="47"/>
      <c r="E299" s="47"/>
      <c r="F299" s="47"/>
      <c r="G299" s="47"/>
      <c r="H299" s="47"/>
      <c r="I299" s="47"/>
      <c r="J299" s="47"/>
      <c r="K299" s="47"/>
      <c r="L299" s="47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8">
        <f>SUBTOTAL(9,AC7:AC298)</f>
        <v>0</v>
      </c>
      <c r="AD299" s="50"/>
      <c r="AE299" s="48">
        <f t="shared" ref="AE299:AL299" si="187">SUBTOTAL(9,AE7:AE298)</f>
        <v>0</v>
      </c>
      <c r="AF299" s="48">
        <f t="shared" si="187"/>
        <v>0</v>
      </c>
      <c r="AG299" s="48">
        <f t="shared" si="187"/>
        <v>0</v>
      </c>
      <c r="AH299" s="48">
        <f t="shared" si="187"/>
        <v>0</v>
      </c>
      <c r="AI299" s="48">
        <f t="shared" si="187"/>
        <v>0</v>
      </c>
      <c r="AJ299" s="48">
        <f t="shared" si="187"/>
        <v>0</v>
      </c>
      <c r="AK299" s="48">
        <f t="shared" si="187"/>
        <v>0</v>
      </c>
      <c r="AL299" s="48">
        <f t="shared" si="187"/>
        <v>0</v>
      </c>
      <c r="AM299" s="48">
        <f t="shared" ref="AM299:AV299" si="188">SUBTOTAL(9,AM7:AM298)</f>
        <v>0</v>
      </c>
      <c r="AN299" s="48">
        <f t="shared" si="188"/>
        <v>0</v>
      </c>
      <c r="AO299" s="48">
        <f t="shared" si="188"/>
        <v>0</v>
      </c>
      <c r="AP299" s="48">
        <f t="shared" si="188"/>
        <v>0</v>
      </c>
      <c r="AQ299" s="48">
        <f t="shared" si="188"/>
        <v>0</v>
      </c>
      <c r="AR299" s="48">
        <f t="shared" si="188"/>
        <v>0</v>
      </c>
      <c r="AS299" s="48">
        <f t="shared" si="188"/>
        <v>0</v>
      </c>
      <c r="AT299" s="48">
        <f t="shared" si="188"/>
        <v>0</v>
      </c>
      <c r="AU299" s="48">
        <f t="shared" si="188"/>
        <v>0</v>
      </c>
      <c r="AV299" s="48">
        <f t="shared" si="188"/>
        <v>0</v>
      </c>
      <c r="AW299" s="51"/>
      <c r="AX299" s="51"/>
      <c r="AY299" s="51"/>
      <c r="AZ299" s="51"/>
      <c r="BA299" s="51"/>
      <c r="BB299" s="51"/>
      <c r="BC299" s="51"/>
      <c r="BD299" s="51"/>
      <c r="BE299" s="51"/>
      <c r="BF299" s="51"/>
      <c r="BG299" s="51"/>
      <c r="BH299" s="51"/>
      <c r="BI299" s="51"/>
      <c r="BJ299" s="51"/>
      <c r="BK299" s="51"/>
      <c r="BL299" s="51"/>
      <c r="BM299" s="51"/>
      <c r="BN299" s="51"/>
      <c r="BO299" s="51"/>
      <c r="BP299" s="51"/>
      <c r="BQ299" s="51"/>
      <c r="BR299" s="51"/>
      <c r="BS299" s="51"/>
      <c r="BT299" s="51"/>
      <c r="BU299" s="51"/>
      <c r="BV299" s="51"/>
      <c r="BW299" s="51"/>
      <c r="BX299" s="51"/>
      <c r="BY299" s="51"/>
      <c r="BZ299" s="51"/>
      <c r="CA299" s="51"/>
      <c r="CB299" s="51"/>
      <c r="CC299" s="51"/>
      <c r="CD299" s="51"/>
      <c r="CE299" s="51"/>
      <c r="CF299" s="51"/>
      <c r="CG299" s="51"/>
      <c r="CH299" s="51"/>
      <c r="CI299" s="51"/>
      <c r="CJ299" s="51"/>
      <c r="CK299" s="51"/>
      <c r="CL299" s="51"/>
      <c r="CM299" s="51"/>
      <c r="CN299" s="51"/>
      <c r="CO299" s="51"/>
      <c r="CP299" s="51"/>
      <c r="CQ299" s="51"/>
      <c r="CR299" s="51"/>
      <c r="CS299" s="51"/>
      <c r="CT299" s="51"/>
      <c r="CU299" s="51"/>
      <c r="CV299" s="51"/>
      <c r="CW299" s="51"/>
      <c r="CX299" s="51"/>
      <c r="CY299" s="51"/>
      <c r="CZ299" s="51"/>
      <c r="DA299" s="51"/>
      <c r="DB299" s="51"/>
      <c r="DC299" s="51"/>
      <c r="DD299" s="51"/>
      <c r="DE299" s="51"/>
      <c r="DF299" s="51"/>
      <c r="DG299" s="51"/>
      <c r="DH299" s="51"/>
      <c r="DI299" s="51"/>
      <c r="DJ299" s="51"/>
      <c r="DK299" s="51"/>
      <c r="DL299" s="51"/>
      <c r="DM299" s="48">
        <f t="shared" ref="DM299" si="189">SUBTOTAL(9,DM7:DM298)</f>
        <v>0</v>
      </c>
      <c r="DN299" s="51"/>
      <c r="DO299" s="51"/>
      <c r="DP299" s="51"/>
      <c r="DQ299" s="51"/>
      <c r="DR299" s="51"/>
      <c r="DS299" s="51"/>
      <c r="DT299" s="51"/>
      <c r="DU299" s="51"/>
      <c r="DV299" s="51"/>
      <c r="DW299" s="51"/>
      <c r="DX299" s="51"/>
      <c r="DY299" s="51"/>
      <c r="DZ299" s="51"/>
      <c r="EA299" s="51"/>
      <c r="EB299" s="51"/>
      <c r="EC299" s="51"/>
      <c r="ED299" s="51"/>
      <c r="EE299" s="51"/>
      <c r="EF299" s="51"/>
      <c r="EG299" s="51"/>
      <c r="EH299" s="51"/>
      <c r="EI299" s="51"/>
      <c r="EJ299" s="51"/>
      <c r="EK299" s="51"/>
      <c r="EL299" s="51"/>
      <c r="EM299" s="51"/>
      <c r="EN299" s="51"/>
      <c r="EO299" s="51"/>
      <c r="EP299" s="51"/>
      <c r="EQ299" s="51"/>
      <c r="ER299" s="51"/>
      <c r="ES299" s="51"/>
      <c r="ET299" s="51"/>
      <c r="EU299" s="51"/>
      <c r="EV299" s="51"/>
      <c r="EW299" s="51"/>
      <c r="EX299" s="51"/>
      <c r="EY299" s="51"/>
      <c r="EZ299" s="51"/>
      <c r="FA299" s="51"/>
      <c r="FB299" s="51"/>
      <c r="FC299" s="51"/>
      <c r="FD299" s="51"/>
      <c r="FE299" s="51"/>
      <c r="FF299" s="51"/>
      <c r="FG299" s="51"/>
      <c r="FH299" s="51"/>
      <c r="FI299" s="51"/>
      <c r="FJ299" s="51"/>
      <c r="FK299" s="51"/>
      <c r="FL299" s="51"/>
      <c r="FM299" s="51"/>
      <c r="FN299" s="51"/>
      <c r="FO299" s="51"/>
      <c r="FP299" s="51"/>
      <c r="FQ299" s="51"/>
      <c r="FR299" s="51"/>
      <c r="FS299" s="51"/>
      <c r="FT299" s="51"/>
      <c r="FU299" s="51"/>
      <c r="FV299" s="51"/>
      <c r="FW299" s="51"/>
      <c r="FX299" s="51"/>
      <c r="FY299" s="51"/>
      <c r="FZ299" s="51"/>
      <c r="GA299" s="51"/>
      <c r="GB299" s="51"/>
      <c r="GC299" s="51"/>
      <c r="GD299" s="48">
        <f t="shared" ref="GD299" si="190">SUBTOTAL(9,GD7:GD298)</f>
        <v>0</v>
      </c>
      <c r="GE299" s="51"/>
      <c r="GF299" s="51"/>
      <c r="GG299" s="51"/>
      <c r="GH299" s="51"/>
      <c r="GI299" s="51"/>
      <c r="GJ299" s="51"/>
      <c r="GK299" s="51"/>
      <c r="GL299" s="51"/>
      <c r="GM299" s="51"/>
      <c r="GN299" s="51"/>
      <c r="GO299" s="51"/>
      <c r="GP299" s="51"/>
      <c r="GQ299" s="51"/>
      <c r="GR299" s="51"/>
      <c r="GS299" s="51"/>
      <c r="GT299" s="51"/>
      <c r="GU299" s="51"/>
      <c r="GV299" s="51"/>
      <c r="GW299" s="51"/>
      <c r="GX299" s="51"/>
      <c r="GY299" s="51"/>
      <c r="GZ299" s="51"/>
      <c r="HA299" s="51"/>
      <c r="HB299" s="51"/>
      <c r="HC299" s="51"/>
      <c r="HD299" s="51"/>
      <c r="HE299" s="51"/>
      <c r="HF299" s="51"/>
      <c r="HG299" s="51"/>
      <c r="HH299" s="51"/>
      <c r="HI299" s="51"/>
      <c r="HJ299" s="51"/>
      <c r="HK299" s="51"/>
      <c r="HL299" s="51"/>
      <c r="HM299" s="51"/>
      <c r="HN299" s="51"/>
      <c r="HO299" s="51"/>
      <c r="HP299" s="51"/>
      <c r="HQ299" s="51"/>
      <c r="HR299" s="51"/>
      <c r="HS299" s="51"/>
      <c r="HT299" s="51"/>
      <c r="HU299" s="51"/>
      <c r="HV299" s="51"/>
      <c r="HW299" s="51"/>
      <c r="HX299" s="51"/>
      <c r="HY299" s="51"/>
      <c r="HZ299" s="51"/>
      <c r="IA299" s="51"/>
      <c r="IB299" s="51"/>
      <c r="IC299" s="51"/>
      <c r="ID299" s="51"/>
      <c r="IE299" s="51"/>
      <c r="IF299" s="51"/>
      <c r="IG299" s="51"/>
      <c r="IH299" s="51"/>
      <c r="II299" s="51"/>
      <c r="IJ299" s="51"/>
      <c r="IK299" s="51"/>
      <c r="IL299" s="51"/>
      <c r="IM299" s="51"/>
      <c r="IN299" s="51"/>
      <c r="IO299" s="51"/>
      <c r="IP299" s="51"/>
      <c r="IQ299" s="51"/>
      <c r="IR299" s="51"/>
      <c r="IS299" s="51"/>
      <c r="IT299" s="51"/>
      <c r="IU299" s="48">
        <f t="shared" ref="IU299" si="191">SUBTOTAL(9,IU7:IU298)</f>
        <v>0</v>
      </c>
      <c r="IV299" s="51"/>
      <c r="IW299" s="51"/>
      <c r="IX299" s="51"/>
      <c r="IY299" s="51"/>
      <c r="IZ299" s="51"/>
      <c r="JA299" s="51"/>
      <c r="JB299" s="51"/>
      <c r="JC299" s="51"/>
      <c r="JD299" s="51"/>
      <c r="JE299" s="51"/>
      <c r="JF299" s="51"/>
      <c r="JG299" s="51"/>
      <c r="JH299" s="51"/>
      <c r="JI299" s="51"/>
      <c r="JJ299" s="51"/>
      <c r="JK299" s="51"/>
      <c r="JL299" s="51"/>
      <c r="JM299" s="51"/>
      <c r="JN299" s="51"/>
      <c r="JO299" s="51"/>
      <c r="JP299" s="51"/>
      <c r="JQ299" s="51"/>
      <c r="JR299" s="51"/>
      <c r="JS299" s="51"/>
      <c r="JT299" s="51"/>
      <c r="JU299" s="51"/>
      <c r="JV299" s="51"/>
      <c r="JW299" s="51"/>
      <c r="JX299" s="51"/>
      <c r="JY299" s="51"/>
      <c r="JZ299" s="51"/>
      <c r="KA299" s="51"/>
      <c r="KB299" s="51"/>
      <c r="KC299" s="51"/>
      <c r="KD299" s="51"/>
      <c r="KE299" s="51"/>
      <c r="KF299" s="51"/>
      <c r="KG299" s="51"/>
      <c r="KH299" s="51"/>
      <c r="KI299" s="51"/>
      <c r="KJ299" s="51"/>
      <c r="KK299" s="51"/>
      <c r="KL299" s="51"/>
      <c r="KM299" s="51"/>
      <c r="KN299" s="51"/>
      <c r="KO299" s="51"/>
      <c r="KP299" s="51"/>
      <c r="KQ299" s="51"/>
      <c r="KR299" s="51"/>
      <c r="KS299" s="51"/>
      <c r="KT299" s="51"/>
      <c r="KU299" s="51"/>
      <c r="KV299" s="51"/>
      <c r="KW299" s="51"/>
      <c r="KX299" s="51"/>
      <c r="KY299" s="51"/>
      <c r="KZ299" s="51"/>
      <c r="LA299" s="51"/>
      <c r="LB299" s="51"/>
      <c r="LC299" s="51"/>
      <c r="LD299" s="51"/>
      <c r="LE299" s="51"/>
      <c r="LF299" s="51"/>
      <c r="LG299" s="51"/>
      <c r="LH299" s="51"/>
      <c r="LI299" s="51"/>
      <c r="LJ299" s="51"/>
      <c r="LK299" s="51"/>
      <c r="LL299" s="48">
        <f t="shared" ref="LL299" si="192">SUBTOTAL(9,LL7:LL298)</f>
        <v>0</v>
      </c>
      <c r="LM299" s="51"/>
      <c r="LN299" s="51"/>
      <c r="LO299" s="51"/>
      <c r="LP299" s="51"/>
      <c r="LQ299" s="51"/>
      <c r="LR299" s="51"/>
      <c r="LS299" s="51"/>
      <c r="LT299" s="51"/>
      <c r="LU299" s="51"/>
      <c r="LV299" s="51"/>
      <c r="LW299" s="51"/>
      <c r="LX299" s="51"/>
      <c r="LY299" s="51"/>
      <c r="LZ299" s="51"/>
      <c r="MA299" s="51"/>
      <c r="MB299" s="51"/>
      <c r="MC299" s="51"/>
      <c r="MD299" s="51"/>
      <c r="ME299" s="51"/>
      <c r="MF299" s="51"/>
      <c r="MG299" s="51"/>
      <c r="MH299" s="51"/>
      <c r="MI299" s="51"/>
      <c r="MJ299" s="51"/>
      <c r="MK299" s="51"/>
      <c r="ML299" s="51"/>
      <c r="MM299" s="51"/>
      <c r="MN299" s="51"/>
      <c r="MO299" s="51"/>
      <c r="MP299" s="51"/>
      <c r="MQ299" s="51"/>
      <c r="MR299" s="51"/>
      <c r="MS299" s="51"/>
      <c r="MT299" s="51"/>
      <c r="MU299" s="51"/>
      <c r="MV299" s="51"/>
      <c r="MW299" s="51"/>
      <c r="MX299" s="51"/>
      <c r="MY299" s="51"/>
      <c r="MZ299" s="51"/>
      <c r="NA299" s="51"/>
      <c r="NB299" s="51"/>
      <c r="NC299" s="51"/>
      <c r="ND299" s="51"/>
      <c r="NE299" s="51"/>
      <c r="NF299" s="51"/>
      <c r="NG299" s="51"/>
      <c r="NH299" s="51"/>
      <c r="NI299" s="51"/>
      <c r="NJ299" s="51"/>
      <c r="NK299" s="51"/>
      <c r="NL299" s="51"/>
      <c r="NM299" s="51"/>
      <c r="NN299" s="51"/>
      <c r="NO299" s="51"/>
      <c r="NP299" s="51"/>
      <c r="NQ299" s="51"/>
      <c r="NR299" s="51"/>
      <c r="NS299" s="51"/>
      <c r="NT299" s="51"/>
      <c r="NU299" s="51"/>
      <c r="NV299" s="51"/>
      <c r="NW299" s="51"/>
      <c r="NX299" s="51"/>
      <c r="NY299" s="51"/>
      <c r="NZ299" s="51"/>
      <c r="OA299" s="51"/>
      <c r="OB299" s="51"/>
      <c r="OC299" s="48">
        <f t="shared" ref="OC299" si="193">SUBTOTAL(9,OC7:OC298)</f>
        <v>0</v>
      </c>
      <c r="OD299" s="51"/>
      <c r="OE299" s="51"/>
      <c r="OF299" s="51"/>
      <c r="OG299" s="51"/>
      <c r="OH299" s="51"/>
      <c r="OI299" s="51"/>
      <c r="OJ299" s="51"/>
      <c r="OK299" s="51"/>
      <c r="OL299" s="51"/>
      <c r="OM299" s="51"/>
      <c r="ON299" s="51"/>
      <c r="OO299" s="51"/>
      <c r="OP299" s="51"/>
      <c r="OQ299" s="51"/>
      <c r="OR299" s="51"/>
      <c r="OS299" s="51"/>
      <c r="OT299" s="51"/>
      <c r="OU299" s="51"/>
      <c r="OV299" s="51"/>
      <c r="OW299" s="51"/>
      <c r="OX299" s="51"/>
      <c r="OY299" s="51"/>
      <c r="OZ299" s="51"/>
      <c r="PA299" s="51"/>
      <c r="PB299" s="51"/>
      <c r="PC299" s="51"/>
      <c r="PD299" s="51"/>
      <c r="PE299" s="51"/>
      <c r="PF299" s="51"/>
      <c r="PG299" s="51"/>
      <c r="PH299" s="51"/>
      <c r="PI299" s="51"/>
      <c r="PJ299" s="51"/>
      <c r="PK299" s="51"/>
      <c r="PL299" s="51"/>
      <c r="PM299" s="51"/>
      <c r="PN299" s="51"/>
      <c r="PO299" s="51"/>
      <c r="PP299" s="51"/>
      <c r="PQ299" s="51"/>
      <c r="PR299" s="51"/>
      <c r="PS299" s="51"/>
      <c r="PT299" s="51"/>
      <c r="PU299" s="51"/>
      <c r="PV299" s="51"/>
      <c r="PW299" s="51"/>
      <c r="PX299" s="51"/>
      <c r="PY299" s="51"/>
      <c r="PZ299" s="51"/>
      <c r="QA299" s="51"/>
      <c r="QB299" s="51"/>
      <c r="QC299" s="51"/>
      <c r="QD299" s="51"/>
      <c r="QE299" s="51"/>
      <c r="QF299" s="51"/>
      <c r="QG299" s="51"/>
      <c r="QH299" s="51"/>
      <c r="QI299" s="51"/>
      <c r="QJ299" s="51"/>
      <c r="QK299" s="51"/>
      <c r="QL299" s="51"/>
      <c r="QM299" s="51"/>
      <c r="QN299" s="51"/>
      <c r="QO299" s="51"/>
      <c r="QP299" s="51"/>
      <c r="QQ299" s="51"/>
      <c r="QR299" s="51"/>
      <c r="QS299" s="51"/>
      <c r="QT299" s="48">
        <f t="shared" ref="QT299" si="194">SUBTOTAL(9,QT7:QT298)</f>
        <v>0</v>
      </c>
      <c r="QU299" s="51"/>
      <c r="QV299" s="51"/>
      <c r="QW299" s="51"/>
      <c r="QX299" s="51"/>
      <c r="QY299" s="51"/>
      <c r="QZ299" s="51"/>
      <c r="RA299" s="51"/>
      <c r="RB299" s="51"/>
      <c r="RC299" s="51"/>
      <c r="RD299" s="51"/>
      <c r="RE299" s="51"/>
      <c r="RF299" s="51"/>
      <c r="RG299" s="51"/>
      <c r="RH299" s="51"/>
      <c r="RI299" s="51"/>
      <c r="RJ299" s="51"/>
      <c r="RK299" s="51"/>
      <c r="RL299" s="51"/>
      <c r="RM299" s="51"/>
      <c r="RN299" s="51"/>
      <c r="RO299" s="51"/>
      <c r="RP299" s="51"/>
      <c r="RQ299" s="51"/>
      <c r="RR299" s="51"/>
      <c r="RS299" s="51"/>
      <c r="RT299" s="51"/>
      <c r="RU299" s="51"/>
      <c r="RV299" s="51"/>
      <c r="RW299" s="51"/>
      <c r="RX299" s="51"/>
      <c r="RY299" s="51"/>
      <c r="RZ299" s="51"/>
      <c r="SA299" s="51"/>
      <c r="SB299" s="51"/>
      <c r="SC299" s="51"/>
      <c r="SD299" s="51"/>
      <c r="SE299" s="51"/>
      <c r="SF299" s="51"/>
      <c r="SG299" s="51"/>
      <c r="SH299" s="51"/>
      <c r="SI299" s="51"/>
      <c r="SJ299" s="51"/>
      <c r="SK299" s="51"/>
      <c r="SL299" s="51"/>
      <c r="SM299" s="51"/>
      <c r="SN299" s="51"/>
      <c r="SO299" s="51"/>
      <c r="SP299" s="51"/>
      <c r="SQ299" s="51"/>
      <c r="SR299" s="51"/>
      <c r="SS299" s="51"/>
      <c r="ST299" s="51"/>
      <c r="SU299" s="51"/>
      <c r="SV299" s="51"/>
      <c r="SW299" s="51"/>
      <c r="SX299" s="51"/>
      <c r="SY299" s="51"/>
      <c r="SZ299" s="51"/>
      <c r="TA299" s="51"/>
      <c r="TB299" s="51"/>
      <c r="TC299" s="51"/>
      <c r="TD299" s="51"/>
      <c r="TE299" s="51"/>
      <c r="TF299" s="51"/>
      <c r="TG299" s="51"/>
      <c r="TH299" s="51"/>
      <c r="TI299" s="51"/>
      <c r="TJ299" s="51"/>
      <c r="TK299" s="48">
        <f t="shared" ref="TK299" si="195">SUBTOTAL(9,TK7:TK298)</f>
        <v>0</v>
      </c>
      <c r="TL299" s="51"/>
      <c r="TM299" s="51"/>
      <c r="TN299" s="51"/>
      <c r="TO299" s="51"/>
      <c r="TP299" s="51"/>
      <c r="TQ299" s="51"/>
      <c r="TR299" s="51"/>
      <c r="TS299" s="51"/>
      <c r="TT299" s="51"/>
      <c r="TU299" s="51"/>
      <c r="TV299" s="51"/>
      <c r="TW299" s="51"/>
      <c r="TX299" s="51"/>
      <c r="TY299" s="51"/>
      <c r="TZ299" s="51"/>
      <c r="UA299" s="51"/>
      <c r="UB299" s="51"/>
      <c r="UC299" s="51"/>
      <c r="UD299" s="51"/>
      <c r="UE299" s="51"/>
      <c r="UF299" s="51"/>
      <c r="UG299" s="51"/>
      <c r="UH299" s="51"/>
      <c r="UI299" s="51"/>
      <c r="UJ299" s="51"/>
      <c r="UK299" s="51"/>
      <c r="UL299" s="51"/>
      <c r="UM299" s="51"/>
      <c r="UN299" s="51"/>
      <c r="UO299" s="51"/>
      <c r="UP299" s="51"/>
      <c r="UQ299" s="51"/>
      <c r="UR299" s="51"/>
      <c r="US299" s="51"/>
      <c r="UT299" s="51"/>
      <c r="UU299" s="51"/>
      <c r="UV299" s="51"/>
      <c r="UW299" s="51"/>
      <c r="UX299" s="51"/>
      <c r="UY299" s="51"/>
      <c r="UZ299" s="51"/>
      <c r="VA299" s="51"/>
      <c r="VB299" s="51"/>
      <c r="VC299" s="51"/>
      <c r="VD299" s="51"/>
      <c r="VE299" s="51"/>
      <c r="VF299" s="51"/>
      <c r="VG299" s="51"/>
      <c r="VH299" s="51"/>
      <c r="VI299" s="51"/>
      <c r="VJ299" s="51"/>
      <c r="VK299" s="51"/>
      <c r="VL299" s="51"/>
      <c r="VM299" s="51"/>
      <c r="VN299" s="51"/>
      <c r="VO299" s="51"/>
      <c r="VP299" s="51"/>
      <c r="VQ299" s="51"/>
      <c r="VR299" s="51"/>
      <c r="VS299" s="51"/>
      <c r="VT299" s="51"/>
      <c r="VU299" s="51"/>
      <c r="VV299" s="51"/>
      <c r="VW299" s="51"/>
      <c r="VX299" s="51"/>
      <c r="VY299" s="51"/>
      <c r="VZ299" s="51"/>
      <c r="WA299" s="51"/>
    </row>
  </sheetData>
  <sheetProtection sheet="1" objects="1" scenarios="1"/>
  <dataConsolidate/>
  <mergeCells count="22">
    <mergeCell ref="AC1:AD1"/>
    <mergeCell ref="E6:L6"/>
    <mergeCell ref="AN3:AU4"/>
    <mergeCell ref="AW3:DL3"/>
    <mergeCell ref="AW4:DL4"/>
    <mergeCell ref="AC2:AD2"/>
    <mergeCell ref="D3:AM4"/>
    <mergeCell ref="AA1:AB1"/>
    <mergeCell ref="DN3:GC3"/>
    <mergeCell ref="DN4:GC4"/>
    <mergeCell ref="GE3:IT3"/>
    <mergeCell ref="GE4:IT4"/>
    <mergeCell ref="IV3:LK3"/>
    <mergeCell ref="IV4:LK4"/>
    <mergeCell ref="TL3:WA3"/>
    <mergeCell ref="TL4:WA4"/>
    <mergeCell ref="LM3:OB3"/>
    <mergeCell ref="LM4:OB4"/>
    <mergeCell ref="OD3:QS3"/>
    <mergeCell ref="OD4:QS4"/>
    <mergeCell ref="QU3:TJ3"/>
    <mergeCell ref="QU4:TJ4"/>
  </mergeCells>
  <phoneticPr fontId="0" type="noConversion"/>
  <dataValidations count="3">
    <dataValidation type="whole" allowBlank="1" showInputMessage="1" showErrorMessage="1" errorTitle="Focchi Advice." error="Sorry ! One or Two are the accepted numbers. Please retry." sqref="E7:L7 E64:J65 E16:L20 K21:L21 K13:L13 J44:J46 J53:J54 E52:I54 E48:I50 J49:J50 E28:I46 E55:J56 J59:J60 J63 E62:I63 E58:I60 K28:L65 E129:L129 E113:L113 E117:L117 E120:L120 E126:L126 E9:L10 E66:L81 E133:L147">
      <formula1>1</formula1>
      <formula2>2</formula2>
    </dataValidation>
    <dataValidation type="whole" allowBlank="1" showInputMessage="1" showErrorMessage="1" errorTitle="Focchi Advice." error="Sono consentiti valori compresi tra 0 e 9_x000a_" sqref="E8:L8 E148:L297 E61:J61 J48 E22:L27 E13:J13 E21:J21 E14:L15 E47:J47 E11:L12 E127:L128 J52 E51:J51 J28:J43 J58 E57:J57 J62 E82:L112 E118:L119 E114:L116 E121:L125 E130:L132">
      <formula1>0</formula1>
      <formula2>9</formula2>
    </dataValidation>
    <dataValidation type="decimal" allowBlank="1" showInputMessage="1" showErrorMessage="1" errorTitle="Focchi Advice." error="Sorry.  Only  numbers are accepted in this cell." sqref="TL7:WA297 DN7:GC297 GE7:IT297 IV7:LK297 LM7:OB297 OD7:QS297 QU7:TJ297 AW7:DL297">
      <formula1>-999999999</formula1>
      <formula2>999999999</formula2>
    </dataValidation>
  </dataValidations>
  <printOptions horizontalCentered="1"/>
  <pageMargins left="0" right="0" top="0" bottom="0" header="0" footer="0"/>
  <pageSetup paperSize="8" scale="80" orientation="portrait" r:id="rId1"/>
  <headerFooter alignWithMargins="0"/>
  <ignoredErrors>
    <ignoredError sqref="AQ296:AQ297 AQ65:AQ100 AQ142:AQ184 AQ64 AQ10:AQ11 AQ7:AQ9 AQ12:AQ63 AQ101:AQ141 AQ248:AQ295 AQ209:AQ247 AQ185:AQ208" formula="1"/>
    <ignoredError sqref="Z7 Y7" unlockedFormula="1"/>
  </ignoredErrors>
  <drawing r:id="rId2"/>
  <legacyDrawing r:id="rId3"/>
  <controls>
    <mc:AlternateContent xmlns:mc="http://schemas.openxmlformats.org/markup-compatibility/2006">
      <mc:Choice Requires="x14">
        <control shapeId="17673" r:id="rId4" name="CmdExplode">
          <controlPr print="0" autoLine="0" r:id="rId5">
            <anchor moveWithCells="1">
              <from>
                <xdr:col>0</xdr:col>
                <xdr:colOff>69850</xdr:colOff>
                <xdr:row>2</xdr:row>
                <xdr:rowOff>50800</xdr:rowOff>
              </from>
              <to>
                <xdr:col>1</xdr:col>
                <xdr:colOff>1231900</xdr:colOff>
                <xdr:row>3</xdr:row>
                <xdr:rowOff>127000</xdr:rowOff>
              </to>
            </anchor>
          </controlPr>
        </control>
      </mc:Choice>
      <mc:Fallback>
        <control shapeId="17673" r:id="rId4" name="CmdExplode"/>
      </mc:Fallback>
    </mc:AlternateContent>
    <mc:AlternateContent xmlns:mc="http://schemas.openxmlformats.org/markup-compatibility/2006">
      <mc:Choice Requires="x14">
        <control shapeId="17672" r:id="rId6" name="CmdCoverHiddenColumns">
          <controlPr print="0" autoLine="0" r:id="rId7">
            <anchor moveWithCells="1">
              <from>
                <xdr:col>1</xdr:col>
                <xdr:colOff>1276350</xdr:colOff>
                <xdr:row>2</xdr:row>
                <xdr:rowOff>50800</xdr:rowOff>
              </from>
              <to>
                <xdr:col>3</xdr:col>
                <xdr:colOff>25400</xdr:colOff>
                <xdr:row>3</xdr:row>
                <xdr:rowOff>139700</xdr:rowOff>
              </to>
            </anchor>
          </controlPr>
        </control>
      </mc:Choice>
      <mc:Fallback>
        <control shapeId="17672" r:id="rId6" name="CmdCoverHiddenColumns"/>
      </mc:Fallback>
    </mc:AlternateContent>
    <mc:AlternateContent xmlns:mc="http://schemas.openxmlformats.org/markup-compatibility/2006">
      <mc:Choice Requires="x14">
        <control shapeId="17670" r:id="rId8" name="DeleteRow">
          <controlPr print="0" autoLine="0" r:id="rId9">
            <anchor moveWithCells="1">
              <from>
                <xdr:col>12</xdr:col>
                <xdr:colOff>222250</xdr:colOff>
                <xdr:row>0</xdr:row>
                <xdr:rowOff>76200</xdr:rowOff>
              </from>
              <to>
                <xdr:col>18</xdr:col>
                <xdr:colOff>146050</xdr:colOff>
                <xdr:row>1</xdr:row>
                <xdr:rowOff>0</xdr:rowOff>
              </to>
            </anchor>
          </controlPr>
        </control>
      </mc:Choice>
      <mc:Fallback>
        <control shapeId="17670" r:id="rId8" name="DeleteRow"/>
      </mc:Fallback>
    </mc:AlternateContent>
    <mc:AlternateContent xmlns:mc="http://schemas.openxmlformats.org/markup-compatibility/2006">
      <mc:Choice Requires="x14">
        <control shapeId="17669" r:id="rId10" name="InsertRow">
          <controlPr print="0" autoLine="0" autoPict="0" r:id="rId11">
            <anchor moveWithCells="1">
              <from>
                <xdr:col>4</xdr:col>
                <xdr:colOff>222250</xdr:colOff>
                <xdr:row>0</xdr:row>
                <xdr:rowOff>57150</xdr:rowOff>
              </from>
              <to>
                <xdr:col>12</xdr:col>
                <xdr:colOff>152400</xdr:colOff>
                <xdr:row>0</xdr:row>
                <xdr:rowOff>412750</xdr:rowOff>
              </to>
            </anchor>
          </controlPr>
        </control>
      </mc:Choice>
      <mc:Fallback>
        <control shapeId="17669" r:id="rId10" name="InsertRow"/>
      </mc:Fallback>
    </mc:AlternateContent>
    <mc:AlternateContent xmlns:mc="http://schemas.openxmlformats.org/markup-compatibility/2006">
      <mc:Choice Requires="x14">
        <control shapeId="17674" r:id="rId12" name="Button 3338">
          <controlPr defaultSize="0" print="0" autoFill="0" autoPict="0" macro="[0]!Inserisci5righe">
            <anchor moveWithCells="1" sizeWithCells="1">
              <from>
                <xdr:col>4</xdr:col>
                <xdr:colOff>222250</xdr:colOff>
                <xdr:row>1</xdr:row>
                <xdr:rowOff>31750</xdr:rowOff>
              </from>
              <to>
                <xdr:col>8</xdr:col>
                <xdr:colOff>127000</xdr:colOff>
                <xdr:row>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75" r:id="rId13" name="Button 3339">
          <controlPr defaultSize="0" print="0" autoFill="0" autoPict="0" macro="[0]!Inserisci10righe">
            <anchor moveWithCells="1" sizeWithCells="1">
              <from>
                <xdr:col>9</xdr:col>
                <xdr:colOff>0</xdr:colOff>
                <xdr:row>1</xdr:row>
                <xdr:rowOff>31750</xdr:rowOff>
              </from>
              <to>
                <xdr:col>12</xdr:col>
                <xdr:colOff>127000</xdr:colOff>
                <xdr:row>1</xdr:row>
                <xdr:rowOff>342900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AC647"/>
  <sheetViews>
    <sheetView showGridLines="0" zoomScaleNormal="100" workbookViewId="0">
      <pane ySplit="4" topLeftCell="A92" activePane="bottomLeft" state="frozen"/>
      <selection pane="bottomLeft" activeCell="F108" sqref="F108"/>
    </sheetView>
  </sheetViews>
  <sheetFormatPr defaultRowHeight="12.5" x14ac:dyDescent="0.25"/>
  <cols>
    <col min="1" max="1" width="13.81640625" customWidth="1"/>
    <col min="2" max="2" width="15.54296875" customWidth="1"/>
    <col min="3" max="3" width="14.1796875" style="16" customWidth="1"/>
    <col min="4" max="4" width="10.81640625" style="16" bestFit="1" customWidth="1"/>
    <col min="5" max="5" width="10.453125" style="88" bestFit="1" customWidth="1"/>
    <col min="6" max="6" width="12.7265625" style="16" customWidth="1"/>
    <col min="7" max="7" width="12.7265625" style="18" customWidth="1"/>
    <col min="8" max="8" width="7.7265625" style="18" customWidth="1"/>
    <col min="9" max="10" width="4.81640625" style="165" customWidth="1"/>
    <col min="11" max="11" width="4.81640625" style="166" customWidth="1"/>
    <col min="12" max="14" width="4.81640625" style="165" customWidth="1"/>
    <col min="15" max="18" width="4.81640625" style="167" customWidth="1"/>
    <col min="19" max="25" width="4.81640625" style="17" customWidth="1"/>
    <col min="26" max="26" width="4.81640625" style="44" customWidth="1"/>
    <col min="27" max="29" width="4.81640625" customWidth="1"/>
  </cols>
  <sheetData>
    <row r="1" spans="1:29" ht="35.25" customHeight="1" x14ac:dyDescent="0.35">
      <c r="B1" s="22" t="str">
        <f>CELLS!A1</f>
        <v>Job :</v>
      </c>
      <c r="C1" s="31">
        <f>CELLS!B1</f>
        <v>0</v>
      </c>
      <c r="D1" s="20"/>
      <c r="E1" s="161" t="str">
        <f>CELLS!C1</f>
        <v>Rev :</v>
      </c>
      <c r="F1" s="164" t="str">
        <f>CELLS!D1</f>
        <v>0</v>
      </c>
      <c r="G1" s="32"/>
      <c r="V1" s="212"/>
      <c r="W1" s="213"/>
      <c r="X1" s="213"/>
      <c r="Y1" s="213"/>
      <c r="Z1" s="213"/>
      <c r="AA1" s="213"/>
    </row>
    <row r="2" spans="1:29" ht="31.5" customHeight="1" x14ac:dyDescent="0.25">
      <c r="B2" s="23" t="str">
        <f>CELLS!A2</f>
        <v>Client :</v>
      </c>
      <c r="C2" s="33">
        <f>CELLS!B2</f>
        <v>0</v>
      </c>
      <c r="E2" s="162" t="str">
        <f>CELLS!C2</f>
        <v>Location :</v>
      </c>
      <c r="F2" s="33">
        <f>CELLS!D2</f>
        <v>0</v>
      </c>
      <c r="G2" s="21"/>
      <c r="L2" s="168"/>
      <c r="M2" s="169"/>
      <c r="V2" s="213"/>
      <c r="W2" s="213"/>
      <c r="X2" s="213"/>
      <c r="Y2" s="213"/>
      <c r="Z2" s="213"/>
      <c r="AA2" s="213"/>
    </row>
    <row r="3" spans="1:29" ht="62.5" customHeight="1" x14ac:dyDescent="0.25">
      <c r="A3" s="160" t="s">
        <v>27</v>
      </c>
      <c r="B3" s="160" t="s">
        <v>11</v>
      </c>
      <c r="C3" s="160" t="s">
        <v>12</v>
      </c>
      <c r="D3" s="160" t="s">
        <v>55</v>
      </c>
      <c r="E3" s="160" t="s">
        <v>56</v>
      </c>
      <c r="F3" s="160" t="s">
        <v>79</v>
      </c>
      <c r="G3" s="160" t="s">
        <v>80</v>
      </c>
      <c r="H3" s="160" t="s">
        <v>13</v>
      </c>
      <c r="I3" s="170" t="s">
        <v>9</v>
      </c>
      <c r="J3" s="170" t="s">
        <v>0</v>
      </c>
      <c r="K3" s="170" t="s">
        <v>4</v>
      </c>
      <c r="L3" s="170" t="s">
        <v>5</v>
      </c>
      <c r="M3" s="170" t="s">
        <v>6</v>
      </c>
      <c r="N3" s="170" t="s">
        <v>2</v>
      </c>
      <c r="O3" s="170" t="s">
        <v>3</v>
      </c>
      <c r="P3" s="170" t="s">
        <v>7</v>
      </c>
      <c r="Q3" s="170" t="s">
        <v>10</v>
      </c>
      <c r="R3" s="170" t="s">
        <v>15</v>
      </c>
      <c r="S3"/>
      <c r="T3"/>
      <c r="U3"/>
      <c r="V3"/>
      <c r="W3"/>
      <c r="X3"/>
      <c r="Y3"/>
      <c r="Z3"/>
    </row>
    <row r="4" spans="1:29" s="158" customFormat="1" ht="13" hidden="1" x14ac:dyDescent="0.25">
      <c r="A4" s="157" t="s">
        <v>27</v>
      </c>
      <c r="B4" s="157" t="s">
        <v>11</v>
      </c>
      <c r="C4" s="157" t="s">
        <v>12</v>
      </c>
      <c r="D4" s="163" t="s">
        <v>55</v>
      </c>
      <c r="E4" s="163" t="s">
        <v>56</v>
      </c>
      <c r="F4" s="163" t="s">
        <v>78</v>
      </c>
      <c r="G4" s="163" t="s">
        <v>35</v>
      </c>
      <c r="H4" s="157" t="s">
        <v>13</v>
      </c>
      <c r="I4" s="167" t="s">
        <v>71</v>
      </c>
      <c r="J4" s="167" t="s">
        <v>68</v>
      </c>
      <c r="K4" s="167" t="s">
        <v>69</v>
      </c>
      <c r="L4" s="167" t="s">
        <v>70</v>
      </c>
      <c r="M4" s="167" t="s">
        <v>72</v>
      </c>
      <c r="N4" s="167" t="s">
        <v>73</v>
      </c>
      <c r="O4" s="167" t="s">
        <v>74</v>
      </c>
      <c r="P4" s="167" t="s">
        <v>75</v>
      </c>
      <c r="Q4" s="167" t="s">
        <v>67</v>
      </c>
      <c r="R4" s="167" t="s">
        <v>76</v>
      </c>
      <c r="S4"/>
      <c r="T4"/>
      <c r="U4"/>
      <c r="V4"/>
      <c r="W4"/>
      <c r="X4"/>
      <c r="Y4"/>
      <c r="Z4"/>
      <c r="AA4"/>
      <c r="AB4"/>
      <c r="AC4"/>
    </row>
    <row r="5" spans="1:29" x14ac:dyDescent="0.25">
      <c r="A5" t="s">
        <v>14</v>
      </c>
      <c r="C5"/>
      <c r="D5"/>
      <c r="E5"/>
      <c r="F5"/>
      <c r="G5"/>
      <c r="H5"/>
      <c r="I5" s="167">
        <v>0</v>
      </c>
      <c r="J5" s="167">
        <v>0</v>
      </c>
      <c r="K5" s="167">
        <v>0</v>
      </c>
      <c r="L5" s="167">
        <v>0</v>
      </c>
      <c r="M5" s="167">
        <v>0</v>
      </c>
      <c r="N5" s="167">
        <v>0</v>
      </c>
      <c r="O5" s="167">
        <v>0</v>
      </c>
      <c r="P5" s="167">
        <v>0</v>
      </c>
      <c r="Q5" s="167">
        <v>0</v>
      </c>
      <c r="R5" s="167">
        <v>0</v>
      </c>
      <c r="S5"/>
      <c r="T5"/>
      <c r="U5"/>
      <c r="V5"/>
      <c r="W5"/>
      <c r="X5"/>
      <c r="Y5"/>
      <c r="Z5"/>
    </row>
    <row r="6" spans="1:29" x14ac:dyDescent="0.25">
      <c r="C6"/>
      <c r="D6"/>
      <c r="E6"/>
      <c r="F6"/>
      <c r="G6"/>
      <c r="H6"/>
      <c r="I6" s="167"/>
      <c r="J6" s="167"/>
      <c r="K6" s="167"/>
      <c r="L6" s="167"/>
      <c r="M6" s="167"/>
      <c r="N6" s="167"/>
      <c r="S6"/>
      <c r="T6"/>
      <c r="U6"/>
      <c r="V6"/>
      <c r="W6"/>
      <c r="X6"/>
      <c r="Y6"/>
      <c r="Z6"/>
    </row>
    <row r="7" spans="1:29" s="43" customFormat="1" x14ac:dyDescent="0.25">
      <c r="A7"/>
      <c r="B7"/>
      <c r="C7"/>
      <c r="D7"/>
      <c r="E7"/>
      <c r="F7"/>
      <c r="G7"/>
      <c r="H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/>
      <c r="T7"/>
      <c r="U7"/>
      <c r="V7"/>
      <c r="W7"/>
      <c r="X7"/>
      <c r="Y7"/>
      <c r="Z7"/>
      <c r="AA7"/>
      <c r="AB7"/>
      <c r="AC7"/>
    </row>
    <row r="8" spans="1:29" s="159" customFormat="1" x14ac:dyDescent="0.25">
      <c r="A8"/>
      <c r="B8"/>
      <c r="C8"/>
      <c r="D8"/>
      <c r="E8"/>
      <c r="F8"/>
      <c r="G8"/>
      <c r="H8"/>
      <c r="I8" s="167"/>
      <c r="J8" s="167"/>
      <c r="K8" s="167"/>
      <c r="L8" s="167"/>
      <c r="M8" s="167"/>
      <c r="N8" s="167"/>
      <c r="O8" s="167"/>
      <c r="P8" s="167"/>
      <c r="Q8" s="167"/>
      <c r="R8" s="167"/>
      <c r="S8"/>
      <c r="T8"/>
      <c r="U8"/>
      <c r="V8"/>
      <c r="W8"/>
      <c r="X8"/>
      <c r="Y8"/>
      <c r="Z8"/>
      <c r="AA8"/>
      <c r="AB8"/>
      <c r="AC8"/>
    </row>
    <row r="9" spans="1:29" s="159" customFormat="1" x14ac:dyDescent="0.25">
      <c r="A9"/>
      <c r="B9"/>
      <c r="C9"/>
      <c r="D9"/>
      <c r="E9"/>
      <c r="F9"/>
      <c r="G9"/>
      <c r="H9"/>
      <c r="I9" s="167"/>
      <c r="J9" s="167"/>
      <c r="K9" s="167"/>
      <c r="L9" s="167"/>
      <c r="M9" s="167"/>
      <c r="N9" s="167"/>
      <c r="O9" s="167"/>
      <c r="P9" s="167"/>
      <c r="Q9" s="167"/>
      <c r="R9" s="167"/>
      <c r="S9"/>
      <c r="T9"/>
      <c r="U9"/>
      <c r="V9"/>
      <c r="W9"/>
      <c r="X9"/>
      <c r="Y9"/>
      <c r="Z9"/>
      <c r="AA9"/>
      <c r="AB9"/>
      <c r="AC9"/>
    </row>
    <row r="10" spans="1:29" x14ac:dyDescent="0.25">
      <c r="C10"/>
      <c r="D10"/>
      <c r="E10"/>
      <c r="F10"/>
      <c r="G10"/>
      <c r="H10"/>
      <c r="I10" s="167"/>
      <c r="J10" s="167"/>
      <c r="K10" s="167"/>
      <c r="L10" s="167"/>
      <c r="M10" s="167"/>
      <c r="N10" s="167"/>
      <c r="S10"/>
      <c r="T10"/>
      <c r="U10"/>
      <c r="V10"/>
      <c r="W10"/>
      <c r="X10"/>
      <c r="Y10"/>
      <c r="Z10"/>
    </row>
    <row r="11" spans="1:29" x14ac:dyDescent="0.25">
      <c r="C11"/>
      <c r="D11"/>
      <c r="E11"/>
      <c r="F11"/>
      <c r="G11"/>
      <c r="H11"/>
      <c r="I11" s="167"/>
      <c r="J11" s="167"/>
      <c r="K11" s="167"/>
      <c r="L11" s="167"/>
      <c r="M11" s="167"/>
      <c r="N11" s="167"/>
      <c r="S11"/>
      <c r="T11"/>
      <c r="U11"/>
      <c r="V11"/>
      <c r="W11"/>
      <c r="X11"/>
      <c r="Y11"/>
      <c r="Z11"/>
    </row>
    <row r="12" spans="1:29" x14ac:dyDescent="0.25">
      <c r="C12"/>
      <c r="D12"/>
      <c r="E12"/>
      <c r="F12"/>
      <c r="G12"/>
      <c r="H12"/>
      <c r="I12" s="167"/>
      <c r="J12" s="167"/>
      <c r="K12" s="167"/>
      <c r="L12" s="167"/>
      <c r="M12" s="167"/>
      <c r="N12" s="167"/>
      <c r="S12"/>
      <c r="T12"/>
      <c r="U12"/>
      <c r="V12"/>
      <c r="W12"/>
      <c r="X12"/>
      <c r="Y12"/>
      <c r="Z12"/>
    </row>
    <row r="13" spans="1:29" x14ac:dyDescent="0.25">
      <c r="C13"/>
      <c r="D13"/>
      <c r="E13"/>
      <c r="F13"/>
      <c r="G13"/>
      <c r="H13"/>
      <c r="I13" s="167"/>
      <c r="J13" s="167"/>
      <c r="K13" s="167"/>
      <c r="L13" s="167"/>
      <c r="M13" s="167"/>
      <c r="N13" s="167"/>
      <c r="S13"/>
      <c r="T13"/>
      <c r="U13"/>
      <c r="V13"/>
      <c r="W13"/>
      <c r="X13"/>
      <c r="Y13"/>
      <c r="Z13"/>
    </row>
    <row r="14" spans="1:29" x14ac:dyDescent="0.25">
      <c r="C14"/>
      <c r="D14"/>
      <c r="E14"/>
      <c r="F14"/>
      <c r="G14"/>
      <c r="H14"/>
      <c r="I14" s="167"/>
      <c r="J14" s="167"/>
      <c r="K14" s="167"/>
      <c r="L14" s="167"/>
      <c r="M14" s="167"/>
      <c r="N14" s="167"/>
      <c r="S14"/>
      <c r="T14"/>
      <c r="U14"/>
      <c r="V14"/>
      <c r="W14"/>
      <c r="X14"/>
      <c r="Y14"/>
      <c r="Z14"/>
    </row>
    <row r="15" spans="1:29" x14ac:dyDescent="0.25">
      <c r="C15"/>
      <c r="D15"/>
      <c r="E15"/>
      <c r="F15"/>
      <c r="G15"/>
      <c r="H15"/>
      <c r="I15" s="167"/>
      <c r="J15" s="167"/>
      <c r="K15" s="167"/>
      <c r="L15" s="167"/>
      <c r="M15" s="167"/>
      <c r="N15" s="167"/>
      <c r="S15"/>
      <c r="T15"/>
      <c r="U15"/>
      <c r="V15"/>
      <c r="W15"/>
      <c r="X15"/>
      <c r="Y15"/>
      <c r="Z15"/>
    </row>
    <row r="16" spans="1:29" x14ac:dyDescent="0.25">
      <c r="C16"/>
      <c r="D16"/>
      <c r="E16"/>
      <c r="F16"/>
      <c r="G16"/>
      <c r="H16"/>
      <c r="I16" s="167"/>
      <c r="J16" s="167"/>
      <c r="K16" s="167"/>
      <c r="L16" s="167"/>
      <c r="M16" s="167"/>
      <c r="N16" s="167"/>
      <c r="S16"/>
      <c r="T16"/>
      <c r="U16"/>
      <c r="V16"/>
      <c r="W16"/>
      <c r="X16"/>
      <c r="Y16"/>
      <c r="Z16"/>
    </row>
    <row r="17" spans="3:26" x14ac:dyDescent="0.25">
      <c r="C17"/>
      <c r="D17"/>
      <c r="E17"/>
      <c r="F17"/>
      <c r="G17"/>
      <c r="H17"/>
      <c r="I17" s="167"/>
      <c r="J17" s="167"/>
      <c r="K17" s="167"/>
      <c r="L17" s="167"/>
      <c r="M17" s="167"/>
      <c r="N17" s="167"/>
      <c r="S17"/>
      <c r="T17"/>
      <c r="U17"/>
      <c r="V17"/>
      <c r="W17"/>
      <c r="X17"/>
      <c r="Y17"/>
      <c r="Z17"/>
    </row>
    <row r="18" spans="3:26" x14ac:dyDescent="0.25">
      <c r="C18"/>
      <c r="D18"/>
      <c r="E18"/>
      <c r="F18"/>
      <c r="G18"/>
      <c r="H18"/>
      <c r="I18" s="167"/>
      <c r="J18" s="167"/>
      <c r="K18" s="167"/>
      <c r="L18" s="167"/>
      <c r="M18" s="167"/>
      <c r="N18" s="167"/>
      <c r="S18"/>
      <c r="T18"/>
      <c r="U18"/>
      <c r="V18"/>
      <c r="W18"/>
      <c r="X18"/>
      <c r="Y18"/>
      <c r="Z18"/>
    </row>
    <row r="19" spans="3:26" x14ac:dyDescent="0.25">
      <c r="C19"/>
      <c r="D19"/>
      <c r="E19"/>
      <c r="F19"/>
      <c r="G19"/>
      <c r="H19"/>
      <c r="I19" s="167"/>
      <c r="J19" s="167"/>
      <c r="K19" s="167"/>
      <c r="L19" s="167"/>
      <c r="M19" s="167"/>
      <c r="N19" s="167"/>
      <c r="S19"/>
      <c r="T19"/>
      <c r="U19"/>
      <c r="V19"/>
      <c r="W19"/>
      <c r="X19"/>
      <c r="Y19"/>
      <c r="Z19"/>
    </row>
    <row r="20" spans="3:26" x14ac:dyDescent="0.25">
      <c r="C20"/>
      <c r="D20"/>
      <c r="E20"/>
      <c r="F20"/>
      <c r="G20"/>
      <c r="H20"/>
      <c r="I20" s="167"/>
      <c r="J20" s="167"/>
      <c r="K20" s="167"/>
      <c r="L20" s="167"/>
      <c r="M20" s="167"/>
      <c r="N20" s="167"/>
      <c r="S20"/>
      <c r="T20"/>
      <c r="U20"/>
      <c r="V20"/>
      <c r="W20"/>
      <c r="X20"/>
      <c r="Y20"/>
      <c r="Z20"/>
    </row>
    <row r="21" spans="3:26" x14ac:dyDescent="0.25">
      <c r="C21"/>
      <c r="D21"/>
      <c r="E21"/>
      <c r="F21"/>
      <c r="G21"/>
      <c r="H21"/>
      <c r="I21" s="167"/>
      <c r="J21" s="167"/>
      <c r="K21" s="167"/>
      <c r="L21" s="167"/>
      <c r="M21" s="167"/>
      <c r="N21" s="167"/>
      <c r="S21"/>
      <c r="T21"/>
      <c r="U21"/>
      <c r="V21"/>
      <c r="W21"/>
      <c r="X21"/>
      <c r="Y21"/>
      <c r="Z21"/>
    </row>
    <row r="22" spans="3:26" x14ac:dyDescent="0.25">
      <c r="C22"/>
      <c r="D22"/>
      <c r="E22"/>
      <c r="F22"/>
      <c r="G22"/>
      <c r="H22"/>
      <c r="I22" s="167"/>
      <c r="J22" s="167"/>
      <c r="K22" s="167"/>
      <c r="L22" s="167"/>
      <c r="M22" s="167"/>
      <c r="N22" s="167"/>
      <c r="S22"/>
      <c r="T22"/>
      <c r="U22"/>
      <c r="V22"/>
      <c r="W22"/>
      <c r="X22"/>
      <c r="Y22"/>
      <c r="Z22"/>
    </row>
    <row r="23" spans="3:26" x14ac:dyDescent="0.25">
      <c r="C23"/>
      <c r="D23"/>
      <c r="E23"/>
      <c r="F23"/>
      <c r="G23"/>
      <c r="H23"/>
      <c r="I23" s="167"/>
      <c r="J23" s="167"/>
      <c r="K23" s="167"/>
      <c r="L23" s="167"/>
      <c r="M23" s="167"/>
      <c r="N23" s="167"/>
      <c r="S23"/>
      <c r="T23"/>
      <c r="U23"/>
      <c r="V23"/>
      <c r="W23"/>
      <c r="X23"/>
      <c r="Y23"/>
      <c r="Z23"/>
    </row>
    <row r="24" spans="3:26" x14ac:dyDescent="0.25">
      <c r="C24"/>
      <c r="D24"/>
      <c r="E24"/>
      <c r="F24"/>
      <c r="G24"/>
      <c r="H24"/>
      <c r="I24" s="167"/>
      <c r="J24" s="167"/>
      <c r="K24" s="167"/>
      <c r="L24" s="167"/>
      <c r="M24" s="167"/>
      <c r="N24" s="167"/>
      <c r="S24"/>
      <c r="T24"/>
      <c r="U24"/>
      <c r="V24"/>
      <c r="W24"/>
      <c r="X24"/>
      <c r="Y24"/>
      <c r="Z24"/>
    </row>
    <row r="25" spans="3:26" x14ac:dyDescent="0.25">
      <c r="C25"/>
      <c r="D25"/>
      <c r="E25"/>
      <c r="F25"/>
      <c r="G25"/>
      <c r="H25"/>
      <c r="I25" s="167"/>
      <c r="J25" s="167"/>
      <c r="K25" s="167"/>
      <c r="L25" s="167"/>
      <c r="M25" s="167"/>
      <c r="N25" s="167"/>
      <c r="S25"/>
      <c r="T25"/>
      <c r="U25"/>
      <c r="V25"/>
      <c r="W25"/>
      <c r="X25"/>
      <c r="Y25"/>
      <c r="Z25"/>
    </row>
    <row r="26" spans="3:26" x14ac:dyDescent="0.25">
      <c r="C26"/>
      <c r="D26"/>
      <c r="E26"/>
      <c r="F26"/>
      <c r="G26"/>
      <c r="H26"/>
      <c r="I26" s="167"/>
      <c r="J26" s="167"/>
      <c r="K26" s="167"/>
      <c r="L26" s="167"/>
      <c r="M26" s="167"/>
      <c r="N26" s="167"/>
      <c r="S26"/>
      <c r="T26"/>
      <c r="U26"/>
      <c r="V26"/>
      <c r="W26"/>
      <c r="X26"/>
      <c r="Y26"/>
      <c r="Z26"/>
    </row>
    <row r="27" spans="3:26" x14ac:dyDescent="0.25">
      <c r="C27"/>
      <c r="D27"/>
      <c r="E27"/>
      <c r="F27"/>
      <c r="G27"/>
      <c r="H27"/>
      <c r="I27" s="167"/>
      <c r="J27" s="167"/>
      <c r="K27" s="167"/>
      <c r="L27" s="167"/>
      <c r="M27" s="167"/>
      <c r="N27" s="167"/>
      <c r="S27"/>
      <c r="T27"/>
      <c r="U27"/>
      <c r="V27"/>
      <c r="W27"/>
      <c r="X27"/>
      <c r="Y27"/>
      <c r="Z27"/>
    </row>
    <row r="28" spans="3:26" x14ac:dyDescent="0.25">
      <c r="C28"/>
      <c r="D28"/>
      <c r="E28"/>
      <c r="F28"/>
      <c r="G28"/>
      <c r="H28"/>
      <c r="I28" s="167"/>
      <c r="J28" s="167"/>
      <c r="K28" s="167"/>
      <c r="L28" s="167"/>
      <c r="M28" s="167"/>
      <c r="N28" s="167"/>
      <c r="S28"/>
      <c r="T28"/>
      <c r="U28"/>
      <c r="V28"/>
      <c r="W28"/>
      <c r="X28"/>
      <c r="Y28"/>
      <c r="Z28"/>
    </row>
    <row r="29" spans="3:26" x14ac:dyDescent="0.25">
      <c r="C29"/>
      <c r="D29"/>
      <c r="E29"/>
      <c r="F29"/>
      <c r="G29"/>
      <c r="H29"/>
      <c r="I29" s="167"/>
      <c r="J29" s="167"/>
      <c r="K29" s="167"/>
      <c r="L29" s="167"/>
      <c r="M29" s="167"/>
      <c r="N29" s="167"/>
      <c r="S29"/>
      <c r="T29"/>
      <c r="U29"/>
      <c r="V29"/>
      <c r="W29"/>
      <c r="X29"/>
      <c r="Y29"/>
      <c r="Z29"/>
    </row>
    <row r="30" spans="3:26" x14ac:dyDescent="0.25">
      <c r="C30"/>
      <c r="D30"/>
      <c r="E30"/>
      <c r="F30"/>
      <c r="G30"/>
      <c r="H30"/>
      <c r="I30" s="167"/>
      <c r="J30" s="167"/>
      <c r="K30" s="167"/>
      <c r="L30" s="167"/>
      <c r="M30" s="167"/>
      <c r="N30" s="167"/>
      <c r="S30"/>
      <c r="T30"/>
      <c r="U30"/>
      <c r="V30"/>
      <c r="W30"/>
      <c r="X30"/>
      <c r="Y30"/>
      <c r="Z30"/>
    </row>
    <row r="31" spans="3:26" x14ac:dyDescent="0.25">
      <c r="C31"/>
      <c r="D31"/>
      <c r="E31"/>
      <c r="F31"/>
      <c r="G31"/>
      <c r="H31"/>
      <c r="I31" s="167"/>
      <c r="J31" s="167"/>
      <c r="K31" s="167"/>
      <c r="L31" s="167"/>
      <c r="M31" s="167"/>
      <c r="N31" s="167"/>
      <c r="S31"/>
      <c r="T31"/>
      <c r="U31"/>
      <c r="V31"/>
      <c r="W31"/>
      <c r="X31"/>
      <c r="Y31"/>
      <c r="Z31"/>
    </row>
    <row r="32" spans="3:26" x14ac:dyDescent="0.25">
      <c r="C32"/>
      <c r="D32"/>
      <c r="E32"/>
      <c r="F32"/>
      <c r="G32"/>
      <c r="H32"/>
      <c r="I32" s="167"/>
      <c r="J32" s="167"/>
      <c r="K32" s="167"/>
      <c r="L32" s="167"/>
      <c r="M32" s="167"/>
      <c r="N32" s="167"/>
      <c r="S32"/>
      <c r="T32"/>
      <c r="U32"/>
      <c r="V32"/>
      <c r="W32"/>
      <c r="X32"/>
      <c r="Y32"/>
      <c r="Z32"/>
    </row>
    <row r="33" spans="3:26" x14ac:dyDescent="0.25">
      <c r="C33"/>
      <c r="D33"/>
      <c r="E33"/>
      <c r="F33"/>
      <c r="G33"/>
      <c r="H33"/>
      <c r="I33" s="167"/>
      <c r="J33" s="167"/>
      <c r="K33" s="167"/>
      <c r="L33" s="167"/>
      <c r="M33" s="167"/>
      <c r="N33" s="167"/>
      <c r="S33"/>
      <c r="T33"/>
      <c r="U33"/>
      <c r="V33"/>
      <c r="W33"/>
      <c r="X33"/>
      <c r="Y33"/>
      <c r="Z33"/>
    </row>
    <row r="34" spans="3:26" x14ac:dyDescent="0.25">
      <c r="C34"/>
      <c r="D34"/>
      <c r="E34"/>
      <c r="F34"/>
      <c r="G34"/>
      <c r="H34"/>
      <c r="I34" s="167"/>
      <c r="J34" s="167"/>
      <c r="K34" s="167"/>
      <c r="L34" s="167"/>
      <c r="M34" s="167"/>
      <c r="N34" s="167"/>
      <c r="S34"/>
      <c r="T34"/>
      <c r="U34"/>
      <c r="V34"/>
      <c r="W34"/>
      <c r="X34"/>
      <c r="Y34"/>
      <c r="Z34"/>
    </row>
    <row r="35" spans="3:26" x14ac:dyDescent="0.25">
      <c r="C35"/>
      <c r="D35"/>
      <c r="E35"/>
      <c r="F35"/>
      <c r="G35"/>
      <c r="H35"/>
      <c r="I35" s="167"/>
      <c r="J35" s="167"/>
      <c r="K35" s="167"/>
      <c r="L35" s="167"/>
      <c r="M35" s="167"/>
      <c r="N35" s="167"/>
      <c r="S35"/>
      <c r="T35"/>
      <c r="U35"/>
      <c r="V35"/>
      <c r="W35"/>
      <c r="X35"/>
      <c r="Y35"/>
      <c r="Z35"/>
    </row>
    <row r="36" spans="3:26" x14ac:dyDescent="0.25">
      <c r="C36"/>
      <c r="D36"/>
      <c r="E36"/>
      <c r="F36"/>
      <c r="G36"/>
      <c r="H36"/>
      <c r="I36" s="167"/>
      <c r="J36" s="167"/>
      <c r="K36" s="167"/>
      <c r="L36" s="167"/>
      <c r="M36" s="167"/>
      <c r="N36" s="167"/>
      <c r="S36"/>
      <c r="T36"/>
      <c r="U36"/>
      <c r="V36"/>
      <c r="W36"/>
      <c r="X36"/>
      <c r="Y36"/>
      <c r="Z36"/>
    </row>
    <row r="37" spans="3:26" x14ac:dyDescent="0.25">
      <c r="C37"/>
      <c r="D37"/>
      <c r="E37"/>
      <c r="F37"/>
      <c r="G37"/>
      <c r="H37"/>
      <c r="I37" s="167"/>
      <c r="J37" s="167"/>
      <c r="K37" s="167"/>
      <c r="L37" s="167"/>
      <c r="M37" s="167"/>
      <c r="N37" s="167"/>
      <c r="S37"/>
      <c r="T37"/>
      <c r="U37"/>
      <c r="V37"/>
      <c r="W37"/>
      <c r="X37"/>
      <c r="Y37"/>
      <c r="Z37"/>
    </row>
    <row r="38" spans="3:26" x14ac:dyDescent="0.25">
      <c r="C38"/>
      <c r="D38"/>
      <c r="E38"/>
      <c r="F38"/>
      <c r="G38"/>
      <c r="H38"/>
      <c r="I38" s="167"/>
      <c r="J38" s="167"/>
      <c r="K38" s="167"/>
      <c r="L38" s="167"/>
      <c r="M38" s="167"/>
      <c r="N38" s="167"/>
      <c r="S38"/>
      <c r="T38"/>
      <c r="U38"/>
      <c r="V38"/>
      <c r="W38"/>
      <c r="X38"/>
      <c r="Y38"/>
      <c r="Z38"/>
    </row>
    <row r="39" spans="3:26" x14ac:dyDescent="0.25">
      <c r="C39"/>
      <c r="D39"/>
      <c r="E39"/>
      <c r="F39"/>
      <c r="G39"/>
      <c r="H39"/>
      <c r="I39" s="167"/>
      <c r="J39" s="167"/>
      <c r="K39" s="167"/>
      <c r="L39" s="167"/>
      <c r="M39" s="167"/>
      <c r="N39" s="167"/>
      <c r="S39"/>
      <c r="T39"/>
      <c r="U39"/>
      <c r="V39"/>
      <c r="W39"/>
      <c r="X39"/>
      <c r="Y39"/>
      <c r="Z39"/>
    </row>
    <row r="40" spans="3:26" x14ac:dyDescent="0.25">
      <c r="C40"/>
      <c r="D40"/>
      <c r="E40"/>
      <c r="F40"/>
      <c r="G40"/>
      <c r="H40"/>
      <c r="I40" s="167"/>
      <c r="J40" s="167"/>
      <c r="K40" s="167"/>
      <c r="L40" s="167"/>
      <c r="M40" s="167"/>
      <c r="N40" s="167"/>
      <c r="S40"/>
      <c r="T40"/>
      <c r="U40"/>
      <c r="V40"/>
      <c r="W40"/>
      <c r="X40"/>
      <c r="Y40"/>
      <c r="Z40"/>
    </row>
    <row r="41" spans="3:26" x14ac:dyDescent="0.25">
      <c r="C41"/>
      <c r="D41"/>
      <c r="E41"/>
      <c r="F41"/>
      <c r="G41"/>
      <c r="H41"/>
      <c r="I41" s="167"/>
      <c r="J41" s="167"/>
      <c r="K41" s="167"/>
      <c r="L41" s="167"/>
      <c r="M41" s="167"/>
      <c r="N41" s="167"/>
      <c r="S41"/>
      <c r="T41"/>
      <c r="U41"/>
      <c r="V41"/>
      <c r="W41"/>
      <c r="X41"/>
      <c r="Y41"/>
      <c r="Z41"/>
    </row>
    <row r="42" spans="3:26" x14ac:dyDescent="0.25">
      <c r="C42"/>
      <c r="D42"/>
      <c r="E42"/>
      <c r="F42"/>
      <c r="G42"/>
      <c r="H42"/>
      <c r="I42" s="167"/>
      <c r="J42" s="167"/>
      <c r="K42" s="167"/>
      <c r="L42" s="167"/>
      <c r="M42" s="167"/>
      <c r="N42" s="167"/>
      <c r="S42"/>
      <c r="T42"/>
      <c r="U42"/>
      <c r="V42"/>
      <c r="W42"/>
      <c r="X42"/>
      <c r="Y42"/>
      <c r="Z42"/>
    </row>
    <row r="43" spans="3:26" x14ac:dyDescent="0.25">
      <c r="C43"/>
      <c r="D43"/>
      <c r="E43"/>
      <c r="F43"/>
      <c r="G43"/>
      <c r="H43"/>
      <c r="I43" s="167"/>
      <c r="J43" s="167"/>
      <c r="K43" s="167"/>
      <c r="L43" s="167"/>
      <c r="M43" s="167"/>
      <c r="N43" s="167"/>
      <c r="S43"/>
      <c r="T43"/>
      <c r="U43"/>
      <c r="V43"/>
      <c r="W43"/>
      <c r="X43"/>
      <c r="Y43"/>
      <c r="Z43"/>
    </row>
    <row r="44" spans="3:26" x14ac:dyDescent="0.25">
      <c r="C44"/>
      <c r="D44"/>
      <c r="E44"/>
      <c r="F44"/>
      <c r="G44"/>
      <c r="H44"/>
      <c r="I44" s="167"/>
      <c r="J44" s="167"/>
      <c r="K44" s="167"/>
      <c r="L44" s="167"/>
      <c r="M44" s="167"/>
      <c r="N44" s="167"/>
      <c r="S44"/>
      <c r="T44"/>
      <c r="U44"/>
      <c r="V44"/>
      <c r="W44"/>
      <c r="X44"/>
      <c r="Y44"/>
      <c r="Z44"/>
    </row>
    <row r="45" spans="3:26" x14ac:dyDescent="0.25">
      <c r="C45"/>
      <c r="D45"/>
      <c r="E45"/>
      <c r="F45"/>
      <c r="G45"/>
      <c r="H45"/>
      <c r="I45" s="167"/>
      <c r="J45" s="167"/>
      <c r="K45" s="167"/>
      <c r="L45" s="167"/>
      <c r="M45" s="167"/>
      <c r="N45" s="167"/>
      <c r="S45"/>
      <c r="T45"/>
      <c r="U45"/>
      <c r="V45"/>
      <c r="W45"/>
      <c r="X45"/>
      <c r="Y45"/>
      <c r="Z45"/>
    </row>
    <row r="46" spans="3:26" x14ac:dyDescent="0.25">
      <c r="C46"/>
      <c r="D46"/>
      <c r="E46"/>
      <c r="F46"/>
      <c r="G46"/>
      <c r="H46"/>
      <c r="I46" s="167"/>
      <c r="J46" s="167"/>
      <c r="K46" s="167"/>
      <c r="L46" s="167"/>
      <c r="M46" s="167"/>
      <c r="N46" s="167"/>
      <c r="S46"/>
      <c r="T46"/>
      <c r="U46"/>
      <c r="V46"/>
      <c r="W46"/>
      <c r="X46"/>
      <c r="Y46"/>
      <c r="Z46"/>
    </row>
    <row r="47" spans="3:26" x14ac:dyDescent="0.25">
      <c r="C47"/>
      <c r="D47"/>
      <c r="E47"/>
      <c r="F47"/>
      <c r="G47"/>
      <c r="H47"/>
      <c r="I47" s="167"/>
      <c r="J47" s="167"/>
      <c r="K47" s="167"/>
      <c r="L47" s="167"/>
      <c r="M47" s="167"/>
      <c r="N47" s="167"/>
      <c r="S47"/>
      <c r="T47"/>
      <c r="U47"/>
      <c r="V47"/>
      <c r="W47"/>
      <c r="X47"/>
      <c r="Y47"/>
      <c r="Z47"/>
    </row>
    <row r="48" spans="3:26" x14ac:dyDescent="0.25">
      <c r="C48"/>
      <c r="D48"/>
      <c r="E48"/>
      <c r="F48"/>
      <c r="G48"/>
      <c r="H48"/>
      <c r="I48" s="167"/>
      <c r="J48" s="167"/>
      <c r="K48" s="167"/>
      <c r="L48" s="167"/>
      <c r="M48" s="167"/>
      <c r="N48" s="167"/>
      <c r="S48"/>
      <c r="T48"/>
      <c r="U48"/>
      <c r="V48"/>
      <c r="W48"/>
      <c r="X48"/>
      <c r="Y48"/>
    </row>
    <row r="49" spans="3:25" x14ac:dyDescent="0.25">
      <c r="C49"/>
      <c r="D49"/>
      <c r="E49"/>
      <c r="F49"/>
      <c r="G49"/>
      <c r="H49"/>
      <c r="I49" s="167"/>
      <c r="J49" s="167"/>
      <c r="K49" s="167"/>
      <c r="L49" s="167"/>
      <c r="M49" s="167"/>
      <c r="N49" s="167"/>
      <c r="S49"/>
      <c r="T49"/>
      <c r="U49"/>
      <c r="V49"/>
      <c r="W49"/>
      <c r="X49"/>
      <c r="Y49"/>
    </row>
    <row r="50" spans="3:25" x14ac:dyDescent="0.25">
      <c r="C50"/>
      <c r="D50"/>
      <c r="E50"/>
      <c r="F50"/>
      <c r="G50"/>
      <c r="H50"/>
      <c r="I50" s="167"/>
      <c r="J50" s="167"/>
      <c r="K50" s="167"/>
      <c r="L50" s="167"/>
      <c r="M50" s="167"/>
      <c r="N50" s="167"/>
      <c r="S50"/>
      <c r="T50"/>
      <c r="U50"/>
      <c r="V50"/>
      <c r="W50"/>
      <c r="X50"/>
      <c r="Y50"/>
    </row>
    <row r="51" spans="3:25" x14ac:dyDescent="0.25">
      <c r="C51"/>
      <c r="D51"/>
      <c r="E51"/>
      <c r="F51"/>
      <c r="G51"/>
      <c r="H51"/>
      <c r="I51" s="167"/>
      <c r="J51" s="167"/>
      <c r="K51" s="167"/>
      <c r="L51" s="167"/>
      <c r="M51" s="167"/>
      <c r="N51" s="167"/>
      <c r="S51"/>
      <c r="T51"/>
      <c r="U51"/>
      <c r="V51"/>
      <c r="W51"/>
      <c r="X51"/>
      <c r="Y51"/>
    </row>
    <row r="52" spans="3:25" x14ac:dyDescent="0.25">
      <c r="C52"/>
      <c r="D52"/>
      <c r="E52"/>
      <c r="F52"/>
      <c r="G52"/>
      <c r="H52"/>
      <c r="I52" s="167"/>
      <c r="J52" s="167"/>
      <c r="K52" s="167"/>
      <c r="L52" s="167"/>
      <c r="M52" s="167"/>
      <c r="N52" s="167"/>
      <c r="S52"/>
      <c r="T52"/>
      <c r="U52"/>
      <c r="V52"/>
      <c r="W52"/>
      <c r="X52"/>
      <c r="Y52"/>
    </row>
    <row r="53" spans="3:25" x14ac:dyDescent="0.25">
      <c r="C53"/>
      <c r="D53"/>
      <c r="E53"/>
      <c r="F53"/>
      <c r="G53"/>
      <c r="H53"/>
      <c r="I53" s="167"/>
      <c r="J53" s="167"/>
      <c r="K53" s="167"/>
      <c r="L53" s="167"/>
      <c r="M53" s="167"/>
      <c r="N53" s="167"/>
      <c r="S53"/>
      <c r="T53"/>
      <c r="U53"/>
      <c r="V53"/>
      <c r="W53"/>
      <c r="X53"/>
      <c r="Y53"/>
    </row>
    <row r="54" spans="3:25" x14ac:dyDescent="0.25">
      <c r="C54"/>
      <c r="D54"/>
      <c r="E54"/>
      <c r="F54"/>
      <c r="G54"/>
      <c r="H54"/>
      <c r="I54" s="167"/>
      <c r="J54" s="167"/>
      <c r="K54" s="167"/>
      <c r="L54" s="167"/>
      <c r="M54" s="167"/>
      <c r="N54" s="167"/>
      <c r="S54"/>
      <c r="T54"/>
      <c r="U54"/>
      <c r="V54"/>
      <c r="W54"/>
      <c r="X54"/>
      <c r="Y54"/>
    </row>
    <row r="55" spans="3:25" x14ac:dyDescent="0.25">
      <c r="C55"/>
      <c r="D55"/>
      <c r="E55"/>
      <c r="F55"/>
      <c r="G55"/>
      <c r="H55"/>
      <c r="I55" s="167"/>
      <c r="J55" s="167"/>
      <c r="K55" s="167"/>
      <c r="L55" s="167"/>
      <c r="M55" s="167"/>
      <c r="N55" s="167"/>
      <c r="S55"/>
      <c r="T55"/>
      <c r="U55"/>
      <c r="V55"/>
      <c r="W55"/>
      <c r="X55"/>
      <c r="Y55"/>
    </row>
    <row r="56" spans="3:25" x14ac:dyDescent="0.25">
      <c r="C56"/>
      <c r="D56"/>
      <c r="E56"/>
      <c r="F56"/>
      <c r="G56"/>
      <c r="H56"/>
      <c r="I56" s="167"/>
      <c r="J56" s="167"/>
      <c r="K56" s="167"/>
      <c r="L56" s="167"/>
      <c r="M56" s="167"/>
      <c r="N56" s="167"/>
      <c r="S56"/>
      <c r="T56"/>
      <c r="U56"/>
      <c r="V56"/>
      <c r="W56"/>
      <c r="X56"/>
      <c r="Y56"/>
    </row>
    <row r="57" spans="3:25" x14ac:dyDescent="0.25">
      <c r="C57"/>
      <c r="D57"/>
      <c r="E57"/>
      <c r="F57"/>
      <c r="G57"/>
      <c r="H57"/>
      <c r="I57" s="167"/>
      <c r="J57" s="167"/>
      <c r="K57" s="167"/>
      <c r="L57" s="167"/>
      <c r="M57" s="167"/>
      <c r="N57" s="167"/>
      <c r="S57"/>
      <c r="T57"/>
      <c r="U57"/>
      <c r="V57"/>
      <c r="W57"/>
      <c r="X57"/>
      <c r="Y57"/>
    </row>
    <row r="58" spans="3:25" x14ac:dyDescent="0.25">
      <c r="C58"/>
      <c r="D58"/>
      <c r="E58"/>
      <c r="F58"/>
      <c r="G58"/>
      <c r="H58"/>
      <c r="I58" s="167"/>
      <c r="J58" s="167"/>
      <c r="K58" s="167"/>
      <c r="L58" s="167"/>
      <c r="M58" s="167"/>
      <c r="N58" s="167"/>
      <c r="S58"/>
      <c r="T58"/>
      <c r="U58"/>
      <c r="V58"/>
      <c r="W58"/>
      <c r="X58"/>
      <c r="Y58"/>
    </row>
    <row r="59" spans="3:25" x14ac:dyDescent="0.25">
      <c r="C59"/>
      <c r="D59"/>
      <c r="E59"/>
      <c r="F59"/>
      <c r="G59"/>
      <c r="H59"/>
      <c r="I59" s="167"/>
      <c r="J59" s="167"/>
      <c r="K59" s="167"/>
      <c r="L59" s="167"/>
      <c r="M59" s="167"/>
      <c r="N59" s="167"/>
      <c r="S59"/>
      <c r="T59"/>
      <c r="U59"/>
      <c r="V59"/>
      <c r="W59"/>
      <c r="X59"/>
      <c r="Y59"/>
    </row>
    <row r="60" spans="3:25" x14ac:dyDescent="0.25">
      <c r="C60"/>
      <c r="D60"/>
      <c r="E60"/>
      <c r="F60"/>
      <c r="G60"/>
      <c r="H60"/>
      <c r="I60" s="167"/>
      <c r="J60" s="167"/>
      <c r="K60" s="167"/>
      <c r="L60" s="167"/>
      <c r="M60" s="167"/>
      <c r="N60" s="167"/>
      <c r="S60"/>
      <c r="T60"/>
      <c r="U60"/>
      <c r="V60"/>
      <c r="W60"/>
      <c r="X60"/>
      <c r="Y60"/>
    </row>
    <row r="61" spans="3:25" x14ac:dyDescent="0.25">
      <c r="C61"/>
      <c r="D61"/>
      <c r="E61"/>
      <c r="F61"/>
      <c r="G61"/>
      <c r="H61"/>
      <c r="I61" s="167"/>
      <c r="J61" s="167"/>
      <c r="K61" s="167"/>
      <c r="L61" s="167"/>
      <c r="M61" s="167"/>
      <c r="N61" s="167"/>
      <c r="S61"/>
      <c r="T61"/>
      <c r="U61"/>
      <c r="V61"/>
      <c r="W61"/>
      <c r="X61"/>
      <c r="Y61"/>
    </row>
    <row r="62" spans="3:25" x14ac:dyDescent="0.25">
      <c r="C62"/>
      <c r="D62"/>
      <c r="E62"/>
      <c r="F62"/>
      <c r="G62"/>
      <c r="H62"/>
      <c r="I62" s="167"/>
      <c r="J62" s="167"/>
      <c r="K62" s="167"/>
      <c r="L62" s="167"/>
      <c r="M62" s="167"/>
      <c r="N62" s="167"/>
      <c r="S62"/>
      <c r="T62"/>
      <c r="U62"/>
      <c r="V62"/>
      <c r="W62"/>
      <c r="X62"/>
      <c r="Y62"/>
    </row>
    <row r="63" spans="3:25" x14ac:dyDescent="0.25">
      <c r="C63"/>
      <c r="D63"/>
      <c r="E63"/>
      <c r="F63"/>
      <c r="G63"/>
      <c r="H63"/>
      <c r="I63" s="167"/>
      <c r="J63" s="167"/>
      <c r="K63" s="167"/>
      <c r="L63" s="167"/>
      <c r="M63" s="167"/>
      <c r="N63" s="167"/>
      <c r="S63"/>
      <c r="T63"/>
      <c r="U63"/>
      <c r="V63"/>
      <c r="W63"/>
      <c r="X63"/>
      <c r="Y63"/>
    </row>
    <row r="64" spans="3:25" x14ac:dyDescent="0.25">
      <c r="C64"/>
      <c r="D64"/>
      <c r="E64"/>
      <c r="F64"/>
      <c r="G64"/>
      <c r="H64"/>
      <c r="I64" s="167"/>
      <c r="J64" s="167"/>
      <c r="K64" s="167"/>
      <c r="L64" s="167"/>
      <c r="M64" s="167"/>
      <c r="N64" s="167"/>
      <c r="S64"/>
      <c r="T64"/>
      <c r="U64"/>
      <c r="V64"/>
      <c r="W64"/>
      <c r="X64"/>
      <c r="Y64"/>
    </row>
    <row r="65" spans="3:25" x14ac:dyDescent="0.25">
      <c r="C65"/>
      <c r="D65"/>
      <c r="E65"/>
      <c r="F65"/>
      <c r="G65"/>
      <c r="H65"/>
      <c r="I65" s="167"/>
      <c r="J65" s="167"/>
      <c r="K65" s="167"/>
      <c r="L65" s="167"/>
      <c r="M65" s="167"/>
      <c r="N65" s="167"/>
      <c r="S65"/>
      <c r="T65"/>
      <c r="U65"/>
      <c r="V65"/>
      <c r="W65"/>
      <c r="X65"/>
      <c r="Y65"/>
    </row>
    <row r="66" spans="3:25" x14ac:dyDescent="0.25">
      <c r="C66"/>
      <c r="D66"/>
      <c r="E66"/>
      <c r="F66"/>
      <c r="G66"/>
      <c r="H66"/>
      <c r="I66" s="167"/>
      <c r="J66" s="167"/>
      <c r="K66" s="167"/>
      <c r="L66" s="167"/>
      <c r="M66" s="167"/>
      <c r="N66" s="167"/>
      <c r="S66"/>
      <c r="T66"/>
      <c r="U66"/>
      <c r="V66"/>
      <c r="W66"/>
      <c r="X66"/>
      <c r="Y66"/>
    </row>
    <row r="67" spans="3:25" x14ac:dyDescent="0.25">
      <c r="C67"/>
      <c r="D67"/>
      <c r="E67"/>
      <c r="F67"/>
      <c r="G67"/>
      <c r="H67"/>
      <c r="I67" s="167"/>
      <c r="J67" s="167"/>
      <c r="K67" s="167"/>
      <c r="L67" s="167"/>
      <c r="M67" s="167"/>
      <c r="N67" s="167"/>
      <c r="S67"/>
      <c r="T67"/>
      <c r="U67"/>
      <c r="V67"/>
      <c r="W67"/>
      <c r="X67"/>
      <c r="Y67"/>
    </row>
    <row r="68" spans="3:25" x14ac:dyDescent="0.25">
      <c r="C68"/>
      <c r="D68"/>
      <c r="E68"/>
      <c r="F68"/>
      <c r="G68"/>
      <c r="H68"/>
      <c r="I68" s="167"/>
      <c r="J68" s="167"/>
      <c r="K68" s="167"/>
      <c r="L68" s="167"/>
      <c r="M68" s="167"/>
      <c r="N68" s="167"/>
      <c r="S68"/>
      <c r="T68"/>
      <c r="U68"/>
      <c r="V68"/>
      <c r="W68"/>
      <c r="X68"/>
      <c r="Y68"/>
    </row>
    <row r="69" spans="3:25" x14ac:dyDescent="0.25">
      <c r="C69"/>
      <c r="D69"/>
      <c r="E69"/>
      <c r="F69"/>
      <c r="G69"/>
      <c r="H69"/>
      <c r="I69" s="167"/>
      <c r="J69" s="167"/>
      <c r="K69" s="167"/>
      <c r="L69" s="167"/>
      <c r="M69" s="167"/>
      <c r="N69" s="167"/>
      <c r="S69"/>
      <c r="T69"/>
      <c r="U69"/>
      <c r="V69"/>
      <c r="W69"/>
      <c r="X69"/>
      <c r="Y69"/>
    </row>
    <row r="70" spans="3:25" x14ac:dyDescent="0.25">
      <c r="C70"/>
      <c r="D70"/>
      <c r="E70"/>
      <c r="F70"/>
      <c r="G70"/>
      <c r="H70"/>
      <c r="I70" s="167"/>
      <c r="J70" s="167"/>
      <c r="K70" s="167"/>
      <c r="L70" s="167"/>
      <c r="M70" s="167"/>
      <c r="N70" s="167"/>
      <c r="S70"/>
      <c r="T70"/>
      <c r="U70"/>
      <c r="V70"/>
      <c r="W70"/>
      <c r="X70"/>
      <c r="Y70"/>
    </row>
    <row r="71" spans="3:25" x14ac:dyDescent="0.25">
      <c r="C71"/>
      <c r="D71"/>
      <c r="E71"/>
      <c r="F71"/>
      <c r="G71"/>
      <c r="H71"/>
      <c r="I71" s="167"/>
      <c r="J71" s="167"/>
      <c r="K71" s="167"/>
      <c r="L71" s="167"/>
      <c r="M71" s="167"/>
      <c r="N71" s="167"/>
      <c r="S71"/>
      <c r="T71"/>
      <c r="U71"/>
      <c r="V71"/>
      <c r="W71"/>
      <c r="X71"/>
      <c r="Y71"/>
    </row>
    <row r="72" spans="3:25" x14ac:dyDescent="0.25">
      <c r="C72"/>
      <c r="D72"/>
      <c r="E72"/>
      <c r="F72"/>
      <c r="G72"/>
      <c r="H72"/>
      <c r="I72" s="167"/>
      <c r="J72" s="167"/>
      <c r="K72" s="167"/>
      <c r="L72" s="167"/>
      <c r="M72" s="167"/>
      <c r="N72" s="167"/>
      <c r="S72"/>
      <c r="T72"/>
      <c r="U72"/>
      <c r="V72"/>
      <c r="W72"/>
      <c r="X72"/>
      <c r="Y72"/>
    </row>
    <row r="73" spans="3:25" x14ac:dyDescent="0.25">
      <c r="C73"/>
      <c r="D73"/>
      <c r="E73"/>
      <c r="F73"/>
      <c r="G73"/>
      <c r="H73"/>
      <c r="I73" s="167"/>
      <c r="J73" s="167"/>
      <c r="K73" s="167"/>
      <c r="L73" s="167"/>
      <c r="M73" s="167"/>
      <c r="N73" s="167"/>
      <c r="S73"/>
      <c r="T73"/>
      <c r="U73"/>
      <c r="V73"/>
      <c r="W73"/>
      <c r="X73"/>
      <c r="Y73"/>
    </row>
    <row r="74" spans="3:25" x14ac:dyDescent="0.25">
      <c r="C74"/>
      <c r="D74"/>
      <c r="E74"/>
      <c r="F74"/>
      <c r="G74"/>
      <c r="H74"/>
      <c r="I74" s="167"/>
      <c r="J74" s="167"/>
      <c r="K74" s="167"/>
      <c r="L74" s="167"/>
      <c r="M74" s="167"/>
      <c r="N74" s="167"/>
      <c r="S74"/>
      <c r="T74"/>
      <c r="U74"/>
      <c r="V74"/>
      <c r="W74"/>
      <c r="X74"/>
      <c r="Y74"/>
    </row>
    <row r="75" spans="3:25" x14ac:dyDescent="0.25">
      <c r="C75"/>
      <c r="D75"/>
      <c r="E75"/>
      <c r="F75"/>
      <c r="G75"/>
      <c r="H75"/>
      <c r="I75" s="167"/>
      <c r="J75" s="167"/>
      <c r="K75" s="167"/>
      <c r="L75" s="167"/>
      <c r="M75" s="167"/>
      <c r="N75" s="167"/>
      <c r="S75"/>
      <c r="T75"/>
      <c r="U75"/>
      <c r="V75"/>
      <c r="W75"/>
      <c r="X75"/>
      <c r="Y75"/>
    </row>
    <row r="76" spans="3:25" x14ac:dyDescent="0.25">
      <c r="C76"/>
      <c r="D76"/>
      <c r="E76"/>
      <c r="F76"/>
      <c r="G76"/>
      <c r="H76"/>
      <c r="I76" s="167"/>
      <c r="J76" s="167"/>
      <c r="K76" s="167"/>
      <c r="L76" s="167"/>
      <c r="M76" s="167"/>
      <c r="N76" s="167"/>
      <c r="S76"/>
      <c r="T76"/>
      <c r="U76"/>
      <c r="V76"/>
      <c r="W76"/>
      <c r="X76"/>
      <c r="Y76"/>
    </row>
    <row r="77" spans="3:25" x14ac:dyDescent="0.25">
      <c r="C77"/>
      <c r="D77"/>
      <c r="E77"/>
      <c r="F77"/>
      <c r="G77"/>
      <c r="H77"/>
      <c r="I77" s="167"/>
      <c r="J77" s="167"/>
      <c r="K77" s="167"/>
      <c r="L77" s="167"/>
      <c r="M77" s="167"/>
      <c r="N77" s="167"/>
      <c r="S77"/>
      <c r="T77"/>
      <c r="U77"/>
      <c r="V77"/>
      <c r="W77"/>
      <c r="X77"/>
      <c r="Y77"/>
    </row>
    <row r="78" spans="3:25" x14ac:dyDescent="0.25">
      <c r="C78"/>
      <c r="D78"/>
      <c r="E78"/>
      <c r="F78"/>
      <c r="G78"/>
      <c r="H78"/>
      <c r="I78" s="167"/>
      <c r="J78" s="167"/>
      <c r="K78" s="167"/>
      <c r="L78" s="167"/>
      <c r="M78" s="167"/>
      <c r="N78" s="167"/>
      <c r="S78"/>
      <c r="T78"/>
      <c r="U78"/>
      <c r="V78"/>
      <c r="W78"/>
      <c r="X78"/>
      <c r="Y78"/>
    </row>
    <row r="79" spans="3:25" x14ac:dyDescent="0.25">
      <c r="C79"/>
      <c r="D79"/>
      <c r="E79"/>
      <c r="F79"/>
      <c r="G79"/>
      <c r="H79"/>
      <c r="I79" s="167"/>
      <c r="J79" s="167"/>
      <c r="K79" s="167"/>
      <c r="L79" s="167"/>
      <c r="M79" s="167"/>
      <c r="N79" s="167"/>
      <c r="S79"/>
      <c r="T79"/>
      <c r="U79"/>
      <c r="V79"/>
      <c r="W79"/>
      <c r="X79"/>
      <c r="Y79"/>
    </row>
    <row r="80" spans="3:25" x14ac:dyDescent="0.25">
      <c r="C80"/>
      <c r="D80"/>
      <c r="E80"/>
      <c r="F80"/>
      <c r="G80"/>
      <c r="H80"/>
      <c r="I80" s="167"/>
      <c r="J80" s="167"/>
      <c r="K80" s="167"/>
      <c r="L80" s="167"/>
      <c r="M80" s="167"/>
      <c r="N80" s="167"/>
      <c r="S80"/>
      <c r="T80"/>
      <c r="U80"/>
      <c r="V80"/>
      <c r="W80"/>
      <c r="X80"/>
      <c r="Y80"/>
    </row>
    <row r="81" spans="3:25" x14ac:dyDescent="0.25">
      <c r="C81"/>
      <c r="D81"/>
      <c r="E81"/>
      <c r="F81"/>
      <c r="G81"/>
      <c r="H81"/>
      <c r="I81" s="167"/>
      <c r="J81" s="167"/>
      <c r="K81" s="167"/>
      <c r="L81" s="167"/>
      <c r="M81" s="167"/>
      <c r="N81" s="167"/>
      <c r="S81"/>
      <c r="T81"/>
      <c r="U81"/>
      <c r="V81"/>
      <c r="W81"/>
      <c r="X81"/>
      <c r="Y81"/>
    </row>
    <row r="82" spans="3:25" x14ac:dyDescent="0.25">
      <c r="C82"/>
      <c r="D82"/>
      <c r="E82"/>
      <c r="F82"/>
      <c r="G82"/>
      <c r="H82"/>
      <c r="I82" s="167"/>
      <c r="J82" s="167"/>
      <c r="K82" s="167"/>
      <c r="L82" s="167"/>
      <c r="M82" s="167"/>
      <c r="N82" s="167"/>
      <c r="S82"/>
      <c r="T82"/>
      <c r="U82"/>
      <c r="V82"/>
      <c r="W82"/>
      <c r="X82"/>
      <c r="Y82"/>
    </row>
    <row r="83" spans="3:25" x14ac:dyDescent="0.25">
      <c r="C83"/>
      <c r="D83"/>
      <c r="E83"/>
      <c r="F83"/>
      <c r="G83"/>
      <c r="H83"/>
      <c r="I83" s="167"/>
      <c r="J83" s="167"/>
      <c r="K83" s="167"/>
      <c r="L83" s="167"/>
      <c r="M83" s="167"/>
      <c r="N83" s="167"/>
      <c r="S83"/>
      <c r="T83"/>
      <c r="U83"/>
      <c r="V83"/>
      <c r="W83"/>
      <c r="X83"/>
      <c r="Y83"/>
    </row>
    <row r="84" spans="3:25" x14ac:dyDescent="0.25">
      <c r="C84"/>
      <c r="D84"/>
      <c r="E84"/>
      <c r="F84"/>
      <c r="G84"/>
      <c r="H84"/>
      <c r="I84" s="167"/>
      <c r="J84" s="167"/>
      <c r="K84" s="167"/>
      <c r="L84" s="167"/>
      <c r="M84" s="167"/>
      <c r="N84" s="167"/>
      <c r="S84"/>
      <c r="T84"/>
      <c r="U84"/>
      <c r="V84"/>
      <c r="W84"/>
      <c r="X84"/>
      <c r="Y84"/>
    </row>
    <row r="85" spans="3:25" x14ac:dyDescent="0.25">
      <c r="C85"/>
      <c r="D85"/>
      <c r="E85"/>
      <c r="F85"/>
      <c r="G85"/>
      <c r="H85"/>
      <c r="I85" s="167"/>
      <c r="J85" s="167"/>
      <c r="K85" s="167"/>
      <c r="L85" s="167"/>
      <c r="M85" s="167"/>
      <c r="N85" s="167"/>
      <c r="S85"/>
      <c r="T85"/>
      <c r="U85"/>
      <c r="V85"/>
      <c r="W85"/>
      <c r="X85"/>
      <c r="Y85"/>
    </row>
    <row r="86" spans="3:25" x14ac:dyDescent="0.25">
      <c r="C86"/>
      <c r="D86"/>
      <c r="E86"/>
      <c r="F86"/>
      <c r="G86"/>
      <c r="H86"/>
      <c r="I86" s="167"/>
      <c r="J86" s="167"/>
      <c r="K86" s="167"/>
      <c r="L86" s="167"/>
      <c r="M86" s="167"/>
      <c r="N86" s="167"/>
      <c r="S86"/>
      <c r="T86"/>
      <c r="U86"/>
      <c r="V86"/>
      <c r="W86"/>
      <c r="X86"/>
      <c r="Y86"/>
    </row>
    <row r="87" spans="3:25" x14ac:dyDescent="0.25">
      <c r="C87"/>
      <c r="D87"/>
      <c r="E87"/>
      <c r="F87"/>
      <c r="G87"/>
      <c r="H87"/>
      <c r="I87" s="167"/>
      <c r="J87" s="167"/>
      <c r="K87" s="167"/>
      <c r="L87" s="167"/>
      <c r="M87" s="167"/>
      <c r="N87" s="167"/>
      <c r="S87"/>
      <c r="T87"/>
      <c r="U87"/>
      <c r="V87"/>
      <c r="W87"/>
      <c r="X87"/>
      <c r="Y87"/>
    </row>
    <row r="88" spans="3:25" x14ac:dyDescent="0.25">
      <c r="C88"/>
      <c r="D88"/>
      <c r="E88"/>
      <c r="F88"/>
      <c r="G88"/>
      <c r="H88"/>
      <c r="I88" s="167"/>
      <c r="J88" s="167"/>
      <c r="K88" s="167"/>
      <c r="L88" s="167"/>
      <c r="M88" s="167"/>
      <c r="N88" s="167"/>
      <c r="S88"/>
      <c r="T88"/>
      <c r="U88"/>
      <c r="V88"/>
      <c r="W88"/>
      <c r="X88"/>
      <c r="Y88"/>
    </row>
    <row r="89" spans="3:25" x14ac:dyDescent="0.25">
      <c r="C89"/>
      <c r="D89"/>
      <c r="E89"/>
      <c r="F89"/>
      <c r="G89"/>
      <c r="H89"/>
      <c r="I89" s="167"/>
      <c r="J89" s="167"/>
      <c r="K89" s="167"/>
      <c r="L89" s="167"/>
      <c r="M89" s="167"/>
      <c r="N89" s="167"/>
      <c r="S89"/>
      <c r="T89"/>
      <c r="U89"/>
      <c r="V89"/>
      <c r="W89"/>
      <c r="X89"/>
      <c r="Y89"/>
    </row>
    <row r="90" spans="3:25" x14ac:dyDescent="0.25">
      <c r="C90"/>
      <c r="D90"/>
      <c r="E90"/>
      <c r="F90"/>
      <c r="G90"/>
      <c r="H90"/>
      <c r="I90" s="167"/>
      <c r="J90" s="167"/>
      <c r="K90" s="167"/>
      <c r="L90" s="167"/>
      <c r="M90" s="167"/>
      <c r="N90" s="167"/>
      <c r="S90"/>
      <c r="T90"/>
      <c r="U90"/>
      <c r="V90"/>
      <c r="W90"/>
      <c r="X90"/>
      <c r="Y90"/>
    </row>
    <row r="91" spans="3:25" x14ac:dyDescent="0.25">
      <c r="C91"/>
      <c r="D91"/>
      <c r="E91"/>
      <c r="F91"/>
      <c r="G91"/>
      <c r="H91"/>
      <c r="I91" s="167"/>
      <c r="J91" s="167"/>
      <c r="K91" s="167"/>
      <c r="L91" s="167"/>
      <c r="M91" s="167"/>
      <c r="N91" s="167"/>
      <c r="S91"/>
      <c r="T91"/>
      <c r="U91"/>
      <c r="V91"/>
      <c r="W91"/>
      <c r="X91"/>
      <c r="Y91"/>
    </row>
    <row r="92" spans="3:25" x14ac:dyDescent="0.25">
      <c r="C92"/>
      <c r="D92"/>
      <c r="E92"/>
      <c r="F92"/>
      <c r="G92"/>
      <c r="H92"/>
      <c r="I92" s="167"/>
      <c r="J92" s="167"/>
      <c r="K92" s="167"/>
      <c r="L92" s="167"/>
      <c r="M92" s="167"/>
      <c r="N92" s="167"/>
      <c r="S92"/>
      <c r="T92"/>
      <c r="U92"/>
      <c r="V92"/>
      <c r="W92"/>
      <c r="X92"/>
      <c r="Y92"/>
    </row>
    <row r="93" spans="3:25" x14ac:dyDescent="0.25">
      <c r="C93"/>
      <c r="D93"/>
      <c r="E93"/>
      <c r="F93"/>
      <c r="G93"/>
      <c r="H93"/>
      <c r="I93" s="167"/>
      <c r="J93" s="167"/>
      <c r="K93" s="167"/>
      <c r="L93" s="167"/>
      <c r="M93" s="167"/>
      <c r="N93" s="167"/>
      <c r="S93"/>
      <c r="T93"/>
      <c r="U93"/>
      <c r="V93"/>
      <c r="W93"/>
      <c r="X93"/>
      <c r="Y93"/>
    </row>
    <row r="94" spans="3:25" x14ac:dyDescent="0.25">
      <c r="C94"/>
      <c r="D94"/>
      <c r="E94"/>
      <c r="F94"/>
      <c r="G94"/>
      <c r="H94"/>
      <c r="I94" s="167"/>
      <c r="J94" s="167"/>
      <c r="K94" s="167"/>
      <c r="L94" s="167"/>
      <c r="M94" s="167"/>
      <c r="N94" s="167"/>
      <c r="S94"/>
      <c r="T94"/>
      <c r="U94"/>
      <c r="V94"/>
      <c r="W94"/>
      <c r="X94"/>
      <c r="Y94"/>
    </row>
    <row r="95" spans="3:25" x14ac:dyDescent="0.25">
      <c r="C95"/>
      <c r="D95"/>
      <c r="E95"/>
      <c r="F95"/>
      <c r="G95"/>
      <c r="H95"/>
      <c r="I95" s="167"/>
      <c r="J95" s="167"/>
      <c r="K95" s="167"/>
      <c r="L95" s="167"/>
      <c r="M95" s="167"/>
      <c r="N95" s="167"/>
      <c r="S95"/>
      <c r="T95"/>
      <c r="U95"/>
      <c r="V95"/>
      <c r="W95"/>
      <c r="X95"/>
      <c r="Y95"/>
    </row>
    <row r="96" spans="3:25" x14ac:dyDescent="0.25">
      <c r="C96"/>
      <c r="D96"/>
      <c r="E96"/>
      <c r="F96"/>
      <c r="G96"/>
      <c r="H96"/>
      <c r="I96" s="167"/>
      <c r="J96" s="167"/>
      <c r="K96" s="167"/>
      <c r="L96" s="167"/>
      <c r="M96" s="167"/>
      <c r="N96" s="167"/>
      <c r="S96"/>
      <c r="T96"/>
      <c r="U96"/>
      <c r="V96"/>
      <c r="W96"/>
      <c r="X96"/>
      <c r="Y96"/>
    </row>
    <row r="97" spans="3:25" x14ac:dyDescent="0.25">
      <c r="C97"/>
      <c r="D97"/>
      <c r="E97"/>
      <c r="F97"/>
      <c r="G97"/>
      <c r="H97"/>
      <c r="I97" s="167"/>
      <c r="J97" s="167"/>
      <c r="K97" s="167"/>
      <c r="L97" s="167"/>
      <c r="M97" s="167"/>
      <c r="N97" s="167"/>
      <c r="S97"/>
      <c r="T97"/>
      <c r="U97"/>
      <c r="V97"/>
      <c r="W97"/>
      <c r="X97"/>
      <c r="Y97"/>
    </row>
    <row r="98" spans="3:25" x14ac:dyDescent="0.25">
      <c r="C98"/>
      <c r="D98"/>
      <c r="E98"/>
      <c r="F98"/>
      <c r="G98"/>
      <c r="H98"/>
      <c r="I98" s="167"/>
      <c r="J98" s="167"/>
      <c r="K98" s="167"/>
      <c r="L98" s="167"/>
      <c r="M98" s="167"/>
      <c r="N98" s="167"/>
      <c r="S98"/>
      <c r="T98"/>
      <c r="U98"/>
      <c r="V98"/>
      <c r="W98"/>
      <c r="X98"/>
      <c r="Y98"/>
    </row>
    <row r="99" spans="3:25" x14ac:dyDescent="0.25">
      <c r="C99"/>
      <c r="D99"/>
      <c r="E99"/>
      <c r="F99"/>
      <c r="G99"/>
      <c r="H99"/>
      <c r="I99" s="167"/>
      <c r="J99" s="167"/>
      <c r="K99" s="167"/>
      <c r="L99" s="167"/>
      <c r="M99" s="167"/>
      <c r="N99" s="167"/>
      <c r="S99"/>
      <c r="T99"/>
      <c r="U99"/>
      <c r="V99"/>
      <c r="W99"/>
      <c r="X99"/>
      <c r="Y99"/>
    </row>
    <row r="100" spans="3:25" x14ac:dyDescent="0.25">
      <c r="C100"/>
      <c r="D100"/>
      <c r="E100"/>
      <c r="F100"/>
      <c r="G100"/>
      <c r="H100"/>
      <c r="I100" s="167"/>
      <c r="J100" s="167"/>
      <c r="K100" s="167"/>
      <c r="L100" s="167"/>
      <c r="M100" s="167"/>
      <c r="N100" s="167"/>
      <c r="S100"/>
      <c r="T100"/>
      <c r="U100"/>
      <c r="V100"/>
      <c r="W100"/>
      <c r="X100"/>
      <c r="Y100"/>
    </row>
    <row r="101" spans="3:25" x14ac:dyDescent="0.25">
      <c r="C101"/>
      <c r="D101"/>
      <c r="E101"/>
      <c r="F101"/>
      <c r="G101"/>
      <c r="H101"/>
      <c r="I101" s="167"/>
      <c r="J101" s="167"/>
      <c r="K101" s="167"/>
      <c r="L101" s="167"/>
      <c r="M101" s="167"/>
      <c r="N101" s="167"/>
      <c r="S101"/>
      <c r="T101"/>
      <c r="U101"/>
      <c r="V101"/>
      <c r="W101"/>
      <c r="X101"/>
      <c r="Y101"/>
    </row>
    <row r="102" spans="3:25" x14ac:dyDescent="0.25">
      <c r="C102"/>
      <c r="D102"/>
      <c r="E102"/>
      <c r="F102"/>
      <c r="G102"/>
      <c r="H102"/>
      <c r="I102" s="167"/>
      <c r="J102" s="167"/>
      <c r="K102" s="167"/>
      <c r="L102" s="167"/>
      <c r="M102" s="167"/>
      <c r="N102" s="167"/>
      <c r="S102"/>
      <c r="T102"/>
      <c r="U102"/>
      <c r="V102"/>
      <c r="W102"/>
      <c r="X102"/>
      <c r="Y102"/>
    </row>
    <row r="103" spans="3:25" x14ac:dyDescent="0.25">
      <c r="C103"/>
      <c r="D103"/>
      <c r="E103"/>
      <c r="F103"/>
      <c r="G103"/>
      <c r="H103"/>
      <c r="I103" s="167"/>
      <c r="J103" s="167"/>
      <c r="K103" s="167"/>
      <c r="L103" s="167"/>
      <c r="M103" s="167"/>
      <c r="N103" s="167"/>
      <c r="S103"/>
      <c r="T103"/>
      <c r="U103"/>
      <c r="V103"/>
      <c r="W103"/>
      <c r="X103"/>
      <c r="Y103"/>
    </row>
    <row r="104" spans="3:25" x14ac:dyDescent="0.25">
      <c r="C104"/>
      <c r="D104"/>
      <c r="E104"/>
      <c r="F104"/>
      <c r="G104"/>
      <c r="H104"/>
      <c r="I104" s="167"/>
      <c r="J104" s="167"/>
      <c r="K104" s="167"/>
      <c r="L104" s="167"/>
      <c r="M104" s="167"/>
      <c r="N104" s="167"/>
      <c r="S104"/>
      <c r="T104"/>
      <c r="U104"/>
      <c r="V104"/>
      <c r="W104"/>
      <c r="X104"/>
      <c r="Y104"/>
    </row>
    <row r="105" spans="3:25" x14ac:dyDescent="0.25">
      <c r="C105"/>
      <c r="D105"/>
      <c r="E105"/>
      <c r="F105"/>
      <c r="G105"/>
      <c r="H105"/>
      <c r="I105" s="167"/>
      <c r="J105" s="167"/>
      <c r="K105" s="167"/>
      <c r="L105" s="167"/>
      <c r="M105" s="167"/>
      <c r="N105" s="167"/>
      <c r="S105"/>
      <c r="T105"/>
      <c r="U105"/>
      <c r="V105"/>
      <c r="W105"/>
      <c r="X105"/>
      <c r="Y105"/>
    </row>
    <row r="106" spans="3:25" x14ac:dyDescent="0.25">
      <c r="C106"/>
      <c r="D106"/>
      <c r="E106"/>
      <c r="F106"/>
      <c r="G106"/>
      <c r="H106"/>
      <c r="I106" s="167"/>
      <c r="J106" s="167"/>
      <c r="K106" s="167"/>
      <c r="L106" s="167"/>
      <c r="M106" s="167"/>
      <c r="N106" s="167"/>
      <c r="S106"/>
      <c r="T106"/>
      <c r="U106"/>
      <c r="V106"/>
      <c r="W106"/>
      <c r="X106"/>
      <c r="Y106"/>
    </row>
    <row r="107" spans="3:25" x14ac:dyDescent="0.25">
      <c r="C107"/>
      <c r="D107"/>
      <c r="E107"/>
      <c r="F107"/>
      <c r="G107"/>
      <c r="H107"/>
      <c r="I107" s="167"/>
      <c r="J107" s="167"/>
      <c r="K107" s="167"/>
      <c r="L107" s="167"/>
      <c r="M107" s="167"/>
      <c r="N107" s="167"/>
      <c r="S107"/>
      <c r="T107"/>
      <c r="U107"/>
      <c r="V107"/>
      <c r="W107"/>
      <c r="X107"/>
      <c r="Y107"/>
    </row>
    <row r="108" spans="3:25" x14ac:dyDescent="0.25">
      <c r="C108"/>
      <c r="D108"/>
      <c r="E108"/>
      <c r="F108"/>
      <c r="G108"/>
      <c r="H108"/>
      <c r="I108" s="167"/>
      <c r="J108" s="167"/>
      <c r="K108" s="167"/>
      <c r="L108" s="167"/>
      <c r="M108" s="167"/>
      <c r="N108" s="167"/>
      <c r="S108"/>
      <c r="T108"/>
      <c r="U108"/>
      <c r="V108"/>
      <c r="W108"/>
      <c r="X108"/>
      <c r="Y108"/>
    </row>
    <row r="109" spans="3:25" x14ac:dyDescent="0.25">
      <c r="C109"/>
      <c r="D109"/>
      <c r="E109"/>
      <c r="F109"/>
      <c r="G109"/>
      <c r="H109"/>
      <c r="I109" s="167"/>
      <c r="J109" s="167"/>
      <c r="K109" s="167"/>
      <c r="L109" s="167"/>
      <c r="M109" s="167"/>
      <c r="N109" s="167"/>
      <c r="S109"/>
      <c r="T109"/>
      <c r="U109"/>
      <c r="V109"/>
      <c r="W109"/>
      <c r="X109"/>
      <c r="Y109"/>
    </row>
    <row r="110" spans="3:25" x14ac:dyDescent="0.25">
      <c r="C110"/>
      <c r="D110"/>
      <c r="E110"/>
      <c r="F110"/>
      <c r="G110"/>
      <c r="H110"/>
      <c r="I110" s="167"/>
      <c r="J110" s="167"/>
      <c r="K110" s="167"/>
      <c r="L110" s="167"/>
      <c r="M110" s="167"/>
      <c r="N110" s="167"/>
      <c r="S110"/>
      <c r="T110"/>
      <c r="U110"/>
      <c r="V110"/>
      <c r="W110"/>
      <c r="X110"/>
      <c r="Y110"/>
    </row>
    <row r="111" spans="3:25" x14ac:dyDescent="0.25">
      <c r="C111"/>
      <c r="D111"/>
      <c r="E111"/>
      <c r="F111"/>
      <c r="G111"/>
      <c r="H111"/>
      <c r="I111" s="167"/>
      <c r="J111" s="167"/>
      <c r="K111" s="167"/>
      <c r="L111" s="167"/>
      <c r="M111" s="167"/>
      <c r="N111" s="167"/>
      <c r="S111"/>
      <c r="T111"/>
      <c r="U111"/>
      <c r="V111"/>
      <c r="W111"/>
      <c r="X111"/>
      <c r="Y111"/>
    </row>
    <row r="112" spans="3:25" x14ac:dyDescent="0.25">
      <c r="C112"/>
      <c r="D112"/>
      <c r="E112"/>
      <c r="F112"/>
      <c r="G112"/>
      <c r="H112"/>
      <c r="I112" s="167"/>
      <c r="J112" s="167"/>
      <c r="K112" s="167"/>
      <c r="L112" s="167"/>
      <c r="M112" s="167"/>
      <c r="N112" s="167"/>
      <c r="S112"/>
      <c r="T112"/>
      <c r="U112"/>
      <c r="V112"/>
      <c r="W112"/>
      <c r="X112"/>
      <c r="Y112"/>
    </row>
    <row r="113" spans="3:25" x14ac:dyDescent="0.25">
      <c r="C113"/>
      <c r="D113"/>
      <c r="E113"/>
      <c r="F113"/>
      <c r="G113"/>
      <c r="H113"/>
      <c r="I113" s="167"/>
      <c r="J113" s="167"/>
      <c r="K113" s="167"/>
      <c r="L113" s="167"/>
      <c r="M113" s="167"/>
      <c r="N113" s="167"/>
      <c r="S113"/>
      <c r="T113"/>
      <c r="U113"/>
      <c r="V113"/>
      <c r="W113"/>
      <c r="X113"/>
      <c r="Y113"/>
    </row>
    <row r="114" spans="3:25" x14ac:dyDescent="0.25">
      <c r="C114"/>
      <c r="D114"/>
      <c r="E114"/>
      <c r="F114"/>
      <c r="G114"/>
      <c r="H114"/>
      <c r="I114" s="167"/>
      <c r="J114" s="167"/>
      <c r="K114" s="167"/>
      <c r="L114" s="167"/>
      <c r="M114" s="167"/>
      <c r="N114" s="167"/>
      <c r="S114"/>
      <c r="T114"/>
      <c r="U114"/>
      <c r="V114"/>
      <c r="W114"/>
      <c r="X114"/>
      <c r="Y114"/>
    </row>
    <row r="115" spans="3:25" x14ac:dyDescent="0.25">
      <c r="C115"/>
      <c r="D115"/>
      <c r="E115"/>
      <c r="F115"/>
      <c r="G115"/>
      <c r="H115"/>
      <c r="I115" s="167"/>
      <c r="J115" s="167"/>
      <c r="K115" s="167"/>
      <c r="L115" s="167"/>
      <c r="M115" s="167"/>
      <c r="N115" s="167"/>
      <c r="S115"/>
      <c r="T115"/>
      <c r="U115"/>
      <c r="V115"/>
      <c r="W115"/>
      <c r="X115"/>
      <c r="Y115"/>
    </row>
    <row r="116" spans="3:25" x14ac:dyDescent="0.25">
      <c r="C116"/>
      <c r="D116"/>
      <c r="E116"/>
      <c r="F116"/>
      <c r="G116"/>
      <c r="H116"/>
      <c r="I116" s="167"/>
      <c r="J116" s="167"/>
      <c r="K116" s="167"/>
      <c r="L116" s="167"/>
      <c r="M116" s="167"/>
      <c r="N116" s="167"/>
      <c r="S116"/>
      <c r="T116"/>
      <c r="U116"/>
      <c r="V116"/>
      <c r="W116"/>
      <c r="X116"/>
      <c r="Y116"/>
    </row>
    <row r="117" spans="3:25" x14ac:dyDescent="0.25">
      <c r="C117"/>
      <c r="D117"/>
      <c r="E117"/>
      <c r="F117"/>
      <c r="G117"/>
      <c r="H117"/>
      <c r="I117" s="167"/>
      <c r="J117" s="167"/>
      <c r="K117" s="167"/>
      <c r="L117" s="167"/>
      <c r="M117" s="167"/>
      <c r="N117" s="167"/>
      <c r="S117"/>
      <c r="T117"/>
      <c r="U117"/>
      <c r="V117"/>
      <c r="W117"/>
      <c r="X117"/>
      <c r="Y117"/>
    </row>
    <row r="118" spans="3:25" x14ac:dyDescent="0.25">
      <c r="C118"/>
      <c r="D118"/>
      <c r="E118"/>
      <c r="F118"/>
      <c r="G118"/>
      <c r="H118"/>
      <c r="I118" s="167"/>
      <c r="J118" s="167"/>
      <c r="K118" s="167"/>
      <c r="L118" s="167"/>
      <c r="M118" s="167"/>
      <c r="N118" s="167"/>
      <c r="S118"/>
      <c r="T118"/>
      <c r="U118"/>
      <c r="V118"/>
      <c r="W118"/>
      <c r="X118"/>
      <c r="Y118"/>
    </row>
    <row r="119" spans="3:25" x14ac:dyDescent="0.25">
      <c r="C119"/>
      <c r="D119"/>
      <c r="E119"/>
      <c r="F119"/>
      <c r="G119"/>
      <c r="H119"/>
      <c r="I119" s="167"/>
      <c r="J119" s="167"/>
      <c r="K119" s="167"/>
      <c r="L119" s="167"/>
      <c r="M119" s="167"/>
      <c r="N119" s="167"/>
      <c r="S119"/>
      <c r="T119"/>
      <c r="U119"/>
      <c r="V119"/>
      <c r="W119"/>
      <c r="X119"/>
      <c r="Y119"/>
    </row>
    <row r="120" spans="3:25" x14ac:dyDescent="0.25">
      <c r="C120"/>
      <c r="D120"/>
      <c r="E120"/>
      <c r="F120"/>
      <c r="G120"/>
      <c r="H120"/>
      <c r="I120" s="167"/>
      <c r="J120" s="167"/>
      <c r="K120" s="167"/>
      <c r="L120" s="167"/>
      <c r="M120" s="167"/>
      <c r="N120" s="167"/>
      <c r="S120"/>
      <c r="T120"/>
      <c r="U120"/>
      <c r="V120"/>
      <c r="W120"/>
      <c r="X120"/>
      <c r="Y120"/>
    </row>
    <row r="121" spans="3:25" x14ac:dyDescent="0.25">
      <c r="C121"/>
      <c r="D121"/>
      <c r="E121"/>
      <c r="F121"/>
      <c r="G121"/>
      <c r="H121"/>
      <c r="I121" s="167"/>
      <c r="J121" s="167"/>
      <c r="K121" s="167"/>
      <c r="L121" s="167"/>
      <c r="M121" s="167"/>
      <c r="N121" s="167"/>
      <c r="S121"/>
      <c r="T121"/>
      <c r="U121"/>
      <c r="V121"/>
      <c r="W121"/>
      <c r="X121"/>
      <c r="Y121"/>
    </row>
    <row r="122" spans="3:25" x14ac:dyDescent="0.25">
      <c r="C122"/>
      <c r="D122"/>
      <c r="E122"/>
      <c r="F122"/>
      <c r="G122"/>
      <c r="H122"/>
      <c r="I122" s="167"/>
      <c r="J122" s="167"/>
      <c r="K122" s="167"/>
      <c r="L122" s="167"/>
      <c r="M122" s="167"/>
      <c r="N122" s="167"/>
      <c r="S122"/>
      <c r="T122"/>
      <c r="U122"/>
      <c r="V122"/>
      <c r="W122"/>
      <c r="X122"/>
      <c r="Y122"/>
    </row>
    <row r="123" spans="3:25" x14ac:dyDescent="0.25">
      <c r="C123"/>
      <c r="D123"/>
      <c r="E123"/>
      <c r="F123"/>
      <c r="G123"/>
      <c r="H123"/>
      <c r="I123" s="167"/>
      <c r="J123" s="167"/>
      <c r="K123" s="167"/>
      <c r="L123" s="167"/>
      <c r="M123" s="167"/>
      <c r="N123" s="167"/>
      <c r="S123"/>
      <c r="T123"/>
      <c r="U123"/>
      <c r="V123"/>
      <c r="W123"/>
      <c r="X123"/>
      <c r="Y123"/>
    </row>
    <row r="124" spans="3:25" x14ac:dyDescent="0.25">
      <c r="C124"/>
      <c r="D124"/>
      <c r="E124"/>
      <c r="F124"/>
      <c r="G124"/>
      <c r="H124"/>
      <c r="I124" s="167"/>
      <c r="J124" s="167"/>
      <c r="K124" s="167"/>
      <c r="L124" s="167"/>
      <c r="M124" s="167"/>
      <c r="N124" s="167"/>
      <c r="S124"/>
      <c r="T124"/>
      <c r="U124"/>
      <c r="V124"/>
      <c r="W124"/>
      <c r="X124"/>
      <c r="Y124"/>
    </row>
    <row r="125" spans="3:25" x14ac:dyDescent="0.25">
      <c r="C125"/>
      <c r="D125"/>
      <c r="E125"/>
      <c r="F125"/>
      <c r="G125"/>
      <c r="H125"/>
      <c r="I125" s="167"/>
      <c r="J125" s="167"/>
      <c r="K125" s="167"/>
      <c r="L125" s="167"/>
      <c r="M125" s="167"/>
      <c r="N125" s="167"/>
      <c r="S125"/>
      <c r="T125"/>
      <c r="U125"/>
      <c r="V125"/>
      <c r="W125"/>
      <c r="X125"/>
      <c r="Y125"/>
    </row>
    <row r="126" spans="3:25" x14ac:dyDescent="0.25">
      <c r="C126"/>
      <c r="D126"/>
      <c r="E126"/>
      <c r="F126"/>
      <c r="G126"/>
      <c r="H126"/>
      <c r="I126" s="167"/>
      <c r="J126" s="167"/>
      <c r="K126" s="167"/>
      <c r="L126" s="167"/>
      <c r="M126" s="167"/>
      <c r="N126" s="167"/>
      <c r="S126"/>
      <c r="T126"/>
      <c r="U126"/>
      <c r="V126"/>
      <c r="W126"/>
      <c r="X126"/>
      <c r="Y126"/>
    </row>
    <row r="127" spans="3:25" x14ac:dyDescent="0.25">
      <c r="C127"/>
      <c r="D127"/>
      <c r="E127"/>
      <c r="F127"/>
      <c r="G127"/>
      <c r="H127"/>
      <c r="I127" s="167"/>
      <c r="J127" s="167"/>
      <c r="K127" s="167"/>
      <c r="L127" s="167"/>
      <c r="M127" s="167"/>
      <c r="N127" s="167"/>
      <c r="S127"/>
      <c r="T127"/>
      <c r="U127"/>
      <c r="V127"/>
      <c r="W127"/>
      <c r="X127"/>
      <c r="Y127"/>
    </row>
    <row r="128" spans="3:25" x14ac:dyDescent="0.25">
      <c r="C128"/>
      <c r="D128"/>
      <c r="E128"/>
      <c r="F128"/>
      <c r="G128"/>
      <c r="H128"/>
      <c r="I128" s="167"/>
      <c r="J128" s="167"/>
      <c r="K128" s="167"/>
      <c r="L128" s="167"/>
      <c r="M128" s="167"/>
      <c r="N128" s="167"/>
      <c r="S128"/>
      <c r="T128"/>
      <c r="U128"/>
      <c r="V128"/>
      <c r="W128"/>
      <c r="X128"/>
      <c r="Y128"/>
    </row>
    <row r="129" spans="3:25" x14ac:dyDescent="0.25">
      <c r="C129"/>
      <c r="D129"/>
      <c r="E129"/>
      <c r="F129"/>
      <c r="G129"/>
      <c r="H129"/>
      <c r="I129" s="167"/>
      <c r="J129" s="167"/>
      <c r="K129" s="167"/>
      <c r="L129" s="167"/>
      <c r="M129" s="167"/>
      <c r="N129" s="167"/>
      <c r="S129"/>
      <c r="T129"/>
      <c r="U129"/>
      <c r="V129"/>
      <c r="W129"/>
      <c r="X129"/>
      <c r="Y129"/>
    </row>
    <row r="130" spans="3:25" x14ac:dyDescent="0.25">
      <c r="C130"/>
      <c r="D130"/>
      <c r="E130"/>
      <c r="F130"/>
      <c r="G130"/>
      <c r="H130"/>
      <c r="I130" s="167"/>
      <c r="J130" s="167"/>
      <c r="K130" s="167"/>
      <c r="L130" s="167"/>
      <c r="M130" s="167"/>
      <c r="N130" s="167"/>
      <c r="S130"/>
      <c r="T130"/>
      <c r="U130"/>
      <c r="V130"/>
      <c r="W130"/>
      <c r="X130"/>
      <c r="Y130"/>
    </row>
    <row r="131" spans="3:25" x14ac:dyDescent="0.25">
      <c r="C131"/>
      <c r="D131"/>
      <c r="E131"/>
      <c r="F131"/>
      <c r="G131"/>
      <c r="H131"/>
      <c r="I131" s="167"/>
      <c r="J131" s="167"/>
      <c r="K131" s="167"/>
      <c r="L131" s="167"/>
      <c r="M131" s="167"/>
      <c r="N131" s="167"/>
      <c r="S131"/>
      <c r="T131"/>
      <c r="U131"/>
      <c r="V131"/>
      <c r="W131"/>
      <c r="X131"/>
      <c r="Y131"/>
    </row>
    <row r="132" spans="3:25" x14ac:dyDescent="0.25">
      <c r="C132"/>
      <c r="D132"/>
      <c r="E132"/>
      <c r="F132"/>
      <c r="G132"/>
      <c r="H132"/>
      <c r="I132" s="167"/>
      <c r="J132" s="167"/>
      <c r="K132" s="167"/>
      <c r="L132" s="167"/>
      <c r="M132" s="167"/>
      <c r="N132" s="167"/>
      <c r="S132"/>
      <c r="T132"/>
      <c r="U132"/>
      <c r="V132"/>
      <c r="W132"/>
      <c r="X132"/>
      <c r="Y132"/>
    </row>
    <row r="133" spans="3:25" x14ac:dyDescent="0.25">
      <c r="C133"/>
      <c r="D133"/>
      <c r="E133"/>
      <c r="F133"/>
      <c r="G133"/>
      <c r="H133"/>
      <c r="I133" s="167"/>
      <c r="J133" s="167"/>
      <c r="K133" s="167"/>
      <c r="L133" s="167"/>
      <c r="M133" s="167"/>
      <c r="N133" s="167"/>
      <c r="S133"/>
      <c r="T133"/>
      <c r="U133"/>
      <c r="V133"/>
      <c r="W133"/>
      <c r="X133"/>
      <c r="Y133"/>
    </row>
    <row r="134" spans="3:25" x14ac:dyDescent="0.25">
      <c r="C134"/>
      <c r="D134"/>
      <c r="E134"/>
      <c r="F134"/>
      <c r="G134"/>
      <c r="H134"/>
      <c r="I134" s="167"/>
      <c r="J134" s="167"/>
      <c r="K134" s="167"/>
      <c r="L134" s="167"/>
      <c r="M134" s="167"/>
      <c r="N134" s="167"/>
      <c r="S134"/>
      <c r="T134"/>
      <c r="U134"/>
      <c r="V134"/>
      <c r="W134"/>
      <c r="X134"/>
      <c r="Y134"/>
    </row>
    <row r="135" spans="3:25" x14ac:dyDescent="0.25">
      <c r="C135"/>
      <c r="D135"/>
      <c r="E135"/>
      <c r="F135"/>
      <c r="G135"/>
      <c r="H135"/>
      <c r="I135" s="167"/>
      <c r="J135" s="167"/>
      <c r="K135" s="167"/>
      <c r="L135" s="167"/>
      <c r="M135" s="167"/>
      <c r="N135" s="167"/>
      <c r="S135"/>
      <c r="T135"/>
      <c r="U135"/>
      <c r="V135"/>
      <c r="W135"/>
      <c r="X135"/>
      <c r="Y135"/>
    </row>
    <row r="136" spans="3:25" x14ac:dyDescent="0.25">
      <c r="C136"/>
      <c r="D136"/>
      <c r="E136"/>
      <c r="F136"/>
      <c r="G136"/>
      <c r="H136"/>
      <c r="I136" s="167"/>
      <c r="J136" s="167"/>
      <c r="K136" s="167"/>
      <c r="L136" s="167"/>
      <c r="M136" s="167"/>
      <c r="N136" s="167"/>
      <c r="S136"/>
      <c r="T136"/>
      <c r="U136"/>
      <c r="V136"/>
      <c r="W136"/>
      <c r="X136"/>
      <c r="Y136"/>
    </row>
    <row r="137" spans="3:25" x14ac:dyDescent="0.25">
      <c r="C137"/>
      <c r="D137"/>
      <c r="E137"/>
      <c r="F137"/>
      <c r="G137"/>
      <c r="H137"/>
      <c r="I137" s="167"/>
      <c r="J137" s="167"/>
      <c r="K137" s="167"/>
      <c r="L137" s="167"/>
      <c r="M137" s="167"/>
      <c r="N137" s="167"/>
      <c r="S137"/>
      <c r="T137"/>
      <c r="U137"/>
      <c r="V137"/>
      <c r="W137"/>
      <c r="X137"/>
      <c r="Y137"/>
    </row>
    <row r="138" spans="3:25" x14ac:dyDescent="0.25">
      <c r="C138"/>
      <c r="D138"/>
      <c r="E138"/>
      <c r="F138"/>
      <c r="G138"/>
      <c r="H138"/>
      <c r="I138" s="167"/>
      <c r="J138" s="167"/>
      <c r="K138" s="167"/>
      <c r="L138" s="167"/>
      <c r="M138" s="167"/>
      <c r="N138" s="167"/>
      <c r="S138"/>
      <c r="T138"/>
      <c r="U138"/>
      <c r="V138"/>
      <c r="W138"/>
      <c r="X138"/>
      <c r="Y138"/>
    </row>
    <row r="139" spans="3:25" x14ac:dyDescent="0.25">
      <c r="C139"/>
      <c r="D139"/>
      <c r="E139"/>
      <c r="F139"/>
      <c r="G139"/>
      <c r="H139"/>
      <c r="I139" s="167"/>
      <c r="J139" s="167"/>
      <c r="K139" s="167"/>
      <c r="L139" s="167"/>
      <c r="M139" s="167"/>
      <c r="N139" s="167"/>
      <c r="S139"/>
      <c r="T139"/>
      <c r="U139"/>
      <c r="V139"/>
      <c r="W139"/>
      <c r="X139"/>
      <c r="Y139"/>
    </row>
    <row r="140" spans="3:25" x14ac:dyDescent="0.25">
      <c r="C140"/>
      <c r="D140"/>
      <c r="E140"/>
      <c r="F140"/>
      <c r="G140"/>
      <c r="H140"/>
      <c r="I140" s="167"/>
      <c r="J140" s="167"/>
      <c r="K140" s="167"/>
      <c r="L140" s="167"/>
      <c r="M140" s="167"/>
      <c r="N140" s="167"/>
      <c r="S140"/>
      <c r="T140"/>
      <c r="U140"/>
      <c r="V140"/>
      <c r="W140"/>
      <c r="X140"/>
      <c r="Y140"/>
    </row>
    <row r="141" spans="3:25" x14ac:dyDescent="0.25">
      <c r="C141"/>
      <c r="D141"/>
      <c r="E141"/>
      <c r="F141"/>
      <c r="G141"/>
      <c r="H141"/>
      <c r="I141" s="167"/>
      <c r="J141" s="167"/>
      <c r="K141" s="167"/>
      <c r="L141" s="167"/>
      <c r="M141" s="167"/>
      <c r="N141" s="167"/>
      <c r="S141"/>
      <c r="T141"/>
      <c r="U141"/>
      <c r="V141"/>
      <c r="W141"/>
      <c r="X141"/>
      <c r="Y141"/>
    </row>
    <row r="142" spans="3:25" x14ac:dyDescent="0.25">
      <c r="C142"/>
      <c r="D142"/>
      <c r="E142"/>
      <c r="F142"/>
      <c r="G142"/>
      <c r="H142"/>
      <c r="I142" s="167"/>
      <c r="J142" s="167"/>
      <c r="K142" s="167"/>
      <c r="L142" s="167"/>
      <c r="M142" s="167"/>
      <c r="N142" s="167"/>
      <c r="S142"/>
      <c r="T142"/>
      <c r="U142"/>
      <c r="V142"/>
      <c r="W142"/>
      <c r="X142"/>
      <c r="Y142"/>
    </row>
    <row r="143" spans="3:25" x14ac:dyDescent="0.25">
      <c r="C143"/>
      <c r="D143"/>
      <c r="E143"/>
      <c r="F143"/>
      <c r="G143"/>
      <c r="H143"/>
      <c r="I143" s="167"/>
      <c r="J143" s="167"/>
      <c r="K143" s="167"/>
      <c r="L143" s="167"/>
      <c r="M143" s="167"/>
      <c r="N143" s="167"/>
      <c r="S143"/>
      <c r="T143"/>
      <c r="U143"/>
      <c r="V143"/>
      <c r="W143"/>
      <c r="X143"/>
      <c r="Y143"/>
    </row>
    <row r="144" spans="3:25" x14ac:dyDescent="0.25">
      <c r="C144"/>
      <c r="D144"/>
      <c r="E144"/>
      <c r="F144"/>
      <c r="G144"/>
      <c r="H144"/>
      <c r="I144" s="167"/>
      <c r="J144" s="167"/>
      <c r="K144" s="167"/>
      <c r="L144" s="167"/>
      <c r="M144" s="167"/>
      <c r="N144" s="167"/>
      <c r="S144"/>
      <c r="T144"/>
      <c r="U144"/>
      <c r="V144"/>
      <c r="W144"/>
      <c r="X144"/>
      <c r="Y144"/>
    </row>
    <row r="145" spans="3:25" x14ac:dyDescent="0.25">
      <c r="C145"/>
      <c r="D145"/>
      <c r="E145"/>
      <c r="F145"/>
      <c r="G145"/>
      <c r="H145"/>
      <c r="I145" s="167"/>
      <c r="J145" s="167"/>
      <c r="K145" s="167"/>
      <c r="L145" s="167"/>
      <c r="M145" s="167"/>
      <c r="N145" s="167"/>
      <c r="S145"/>
      <c r="T145"/>
      <c r="U145"/>
      <c r="V145"/>
      <c r="W145"/>
      <c r="X145"/>
      <c r="Y145"/>
    </row>
    <row r="146" spans="3:25" x14ac:dyDescent="0.25">
      <c r="C146"/>
      <c r="D146"/>
      <c r="E146"/>
      <c r="F146"/>
      <c r="G146"/>
      <c r="H146"/>
      <c r="I146" s="167"/>
      <c r="J146" s="167"/>
      <c r="K146" s="167"/>
      <c r="L146" s="167"/>
      <c r="M146" s="167"/>
      <c r="N146" s="167"/>
      <c r="S146"/>
      <c r="T146"/>
      <c r="U146"/>
      <c r="V146"/>
      <c r="W146"/>
      <c r="X146"/>
      <c r="Y146"/>
    </row>
    <row r="147" spans="3:25" x14ac:dyDescent="0.25">
      <c r="C147"/>
      <c r="D147"/>
      <c r="E147"/>
      <c r="F147"/>
      <c r="G147"/>
      <c r="H147"/>
      <c r="I147" s="167"/>
      <c r="J147" s="167"/>
      <c r="K147" s="167"/>
      <c r="L147" s="167"/>
      <c r="M147" s="167"/>
      <c r="N147" s="167"/>
      <c r="S147"/>
      <c r="T147"/>
      <c r="U147"/>
      <c r="V147"/>
      <c r="W147"/>
      <c r="X147"/>
      <c r="Y147"/>
    </row>
    <row r="148" spans="3:25" x14ac:dyDescent="0.25">
      <c r="C148"/>
      <c r="D148"/>
      <c r="E148"/>
      <c r="F148"/>
      <c r="G148"/>
      <c r="H148"/>
      <c r="I148" s="167"/>
      <c r="J148" s="167"/>
      <c r="K148" s="167"/>
      <c r="L148" s="167"/>
      <c r="M148" s="167"/>
      <c r="N148" s="167"/>
      <c r="S148"/>
      <c r="T148"/>
      <c r="U148"/>
      <c r="V148"/>
      <c r="W148"/>
      <c r="X148"/>
      <c r="Y148"/>
    </row>
    <row r="149" spans="3:25" x14ac:dyDescent="0.25">
      <c r="C149"/>
      <c r="D149"/>
      <c r="E149"/>
      <c r="F149"/>
      <c r="G149"/>
      <c r="H149"/>
      <c r="I149" s="167"/>
      <c r="J149" s="167"/>
      <c r="K149" s="167"/>
      <c r="L149" s="167"/>
      <c r="M149" s="167"/>
      <c r="N149" s="167"/>
      <c r="S149"/>
      <c r="T149"/>
      <c r="U149"/>
      <c r="V149"/>
      <c r="W149"/>
      <c r="X149"/>
      <c r="Y149"/>
    </row>
    <row r="150" spans="3:25" x14ac:dyDescent="0.25">
      <c r="C150"/>
      <c r="D150"/>
      <c r="E150"/>
      <c r="F150"/>
      <c r="G150"/>
      <c r="H150"/>
      <c r="I150" s="167"/>
      <c r="J150" s="167"/>
      <c r="K150" s="167"/>
      <c r="L150" s="167"/>
      <c r="M150" s="167"/>
      <c r="N150" s="167"/>
      <c r="S150"/>
      <c r="T150"/>
      <c r="U150"/>
      <c r="V150"/>
      <c r="W150"/>
      <c r="X150"/>
      <c r="Y150"/>
    </row>
    <row r="151" spans="3:25" x14ac:dyDescent="0.25">
      <c r="C151"/>
      <c r="D151"/>
      <c r="E151"/>
      <c r="F151"/>
      <c r="G151"/>
      <c r="H151"/>
      <c r="I151" s="167"/>
      <c r="J151" s="167"/>
      <c r="K151" s="167"/>
      <c r="L151" s="167"/>
      <c r="M151" s="167"/>
      <c r="N151" s="167"/>
      <c r="S151"/>
      <c r="T151"/>
      <c r="U151"/>
      <c r="V151"/>
      <c r="W151"/>
      <c r="X151"/>
      <c r="Y151"/>
    </row>
    <row r="152" spans="3:25" x14ac:dyDescent="0.25">
      <c r="C152"/>
      <c r="D152"/>
      <c r="E152"/>
      <c r="F152"/>
      <c r="G152"/>
      <c r="H152"/>
      <c r="I152" s="167"/>
      <c r="J152" s="167"/>
      <c r="K152" s="167"/>
      <c r="L152" s="167"/>
      <c r="M152" s="167"/>
      <c r="N152" s="167"/>
      <c r="S152"/>
      <c r="T152"/>
      <c r="U152"/>
      <c r="V152"/>
      <c r="W152"/>
      <c r="X152"/>
      <c r="Y152"/>
    </row>
    <row r="153" spans="3:25" x14ac:dyDescent="0.25">
      <c r="C153"/>
      <c r="D153"/>
      <c r="E153"/>
      <c r="F153"/>
      <c r="G153"/>
      <c r="H153"/>
      <c r="I153" s="167"/>
      <c r="J153" s="167"/>
      <c r="K153" s="167"/>
      <c r="L153" s="167"/>
      <c r="M153" s="167"/>
      <c r="N153" s="167"/>
      <c r="S153"/>
      <c r="T153"/>
      <c r="U153"/>
      <c r="V153"/>
      <c r="W153"/>
      <c r="X153"/>
      <c r="Y153"/>
    </row>
    <row r="154" spans="3:25" x14ac:dyDescent="0.25">
      <c r="C154"/>
      <c r="D154"/>
      <c r="E154"/>
      <c r="F154"/>
      <c r="G154"/>
      <c r="H154"/>
      <c r="I154" s="167"/>
      <c r="J154" s="167"/>
      <c r="K154" s="167"/>
      <c r="L154" s="167"/>
      <c r="M154" s="167"/>
      <c r="N154" s="167"/>
      <c r="S154"/>
      <c r="T154"/>
      <c r="U154"/>
      <c r="V154"/>
      <c r="W154"/>
      <c r="X154"/>
      <c r="Y154"/>
    </row>
    <row r="155" spans="3:25" x14ac:dyDescent="0.25">
      <c r="C155"/>
      <c r="D155"/>
      <c r="E155"/>
      <c r="F155"/>
      <c r="G155"/>
      <c r="H155"/>
      <c r="I155" s="167"/>
      <c r="J155" s="167"/>
      <c r="K155" s="167"/>
      <c r="L155" s="167"/>
      <c r="M155" s="167"/>
      <c r="N155" s="167"/>
      <c r="S155"/>
      <c r="T155"/>
      <c r="U155"/>
      <c r="V155"/>
      <c r="W155"/>
      <c r="X155"/>
      <c r="Y155"/>
    </row>
    <row r="156" spans="3:25" x14ac:dyDescent="0.25">
      <c r="C156"/>
      <c r="D156"/>
      <c r="E156"/>
      <c r="F156"/>
      <c r="G156"/>
      <c r="H156"/>
      <c r="I156" s="167"/>
      <c r="J156" s="167"/>
      <c r="K156" s="167"/>
      <c r="L156" s="167"/>
      <c r="M156" s="167"/>
      <c r="N156" s="167"/>
      <c r="S156"/>
      <c r="T156"/>
      <c r="U156"/>
      <c r="V156"/>
      <c r="W156"/>
      <c r="X156"/>
      <c r="Y156"/>
    </row>
    <row r="157" spans="3:25" x14ac:dyDescent="0.25">
      <c r="C157"/>
      <c r="D157"/>
      <c r="E157"/>
      <c r="F157"/>
      <c r="G157"/>
      <c r="H157"/>
      <c r="I157" s="167"/>
      <c r="J157" s="167"/>
      <c r="K157" s="167"/>
      <c r="L157" s="167"/>
      <c r="M157" s="167"/>
      <c r="N157" s="167"/>
      <c r="S157"/>
      <c r="T157"/>
      <c r="U157"/>
      <c r="V157"/>
      <c r="W157"/>
      <c r="X157"/>
      <c r="Y157"/>
    </row>
    <row r="158" spans="3:25" x14ac:dyDescent="0.25">
      <c r="C158"/>
      <c r="D158"/>
      <c r="E158"/>
      <c r="F158"/>
      <c r="G158"/>
      <c r="H158"/>
      <c r="I158" s="167"/>
      <c r="J158" s="167"/>
      <c r="K158" s="167"/>
      <c r="L158" s="167"/>
      <c r="M158" s="167"/>
      <c r="N158" s="167"/>
      <c r="S158"/>
      <c r="T158"/>
      <c r="U158"/>
      <c r="V158"/>
      <c r="W158"/>
      <c r="X158"/>
      <c r="Y158"/>
    </row>
    <row r="159" spans="3:25" x14ac:dyDescent="0.25">
      <c r="C159"/>
      <c r="D159"/>
      <c r="E159"/>
      <c r="F159"/>
      <c r="G159"/>
      <c r="H159"/>
      <c r="I159" s="167"/>
      <c r="J159" s="167"/>
      <c r="K159" s="167"/>
      <c r="L159" s="167"/>
      <c r="M159" s="167"/>
      <c r="N159" s="167"/>
      <c r="S159"/>
      <c r="T159"/>
      <c r="U159"/>
      <c r="V159"/>
      <c r="W159"/>
      <c r="X159"/>
      <c r="Y159"/>
    </row>
    <row r="160" spans="3:25" x14ac:dyDescent="0.25">
      <c r="C160"/>
      <c r="D160"/>
      <c r="E160"/>
      <c r="F160"/>
      <c r="G160"/>
      <c r="H160"/>
      <c r="I160" s="167"/>
      <c r="J160" s="167"/>
      <c r="K160" s="167"/>
      <c r="L160" s="167"/>
      <c r="M160" s="167"/>
      <c r="N160" s="167"/>
      <c r="S160"/>
      <c r="T160"/>
      <c r="U160"/>
      <c r="V160"/>
      <c r="W160"/>
      <c r="X160"/>
      <c r="Y160"/>
    </row>
    <row r="161" spans="3:25" x14ac:dyDescent="0.25">
      <c r="C161"/>
      <c r="D161"/>
      <c r="E161"/>
      <c r="F161"/>
      <c r="G161"/>
      <c r="H161"/>
      <c r="I161" s="167"/>
      <c r="J161" s="167"/>
      <c r="K161" s="167"/>
      <c r="L161" s="167"/>
      <c r="M161" s="167"/>
      <c r="N161" s="167"/>
      <c r="S161"/>
      <c r="T161"/>
      <c r="U161"/>
      <c r="V161"/>
      <c r="W161"/>
      <c r="X161"/>
      <c r="Y161"/>
    </row>
    <row r="162" spans="3:25" x14ac:dyDescent="0.25">
      <c r="C162"/>
      <c r="D162"/>
      <c r="E162"/>
      <c r="F162"/>
      <c r="G162"/>
      <c r="H162"/>
      <c r="I162" s="167"/>
      <c r="J162" s="167"/>
      <c r="K162" s="167"/>
      <c r="L162" s="167"/>
      <c r="M162" s="167"/>
      <c r="N162" s="167"/>
      <c r="S162"/>
      <c r="T162"/>
      <c r="U162"/>
      <c r="V162"/>
      <c r="W162"/>
      <c r="X162"/>
      <c r="Y162"/>
    </row>
    <row r="163" spans="3:25" x14ac:dyDescent="0.25">
      <c r="C163"/>
      <c r="D163"/>
      <c r="E163"/>
      <c r="F163"/>
      <c r="G163"/>
      <c r="H163"/>
      <c r="I163" s="167"/>
      <c r="J163" s="167"/>
      <c r="K163" s="167"/>
      <c r="L163" s="167"/>
      <c r="M163" s="167"/>
      <c r="N163" s="167"/>
      <c r="S163"/>
      <c r="T163"/>
      <c r="U163"/>
      <c r="V163"/>
      <c r="W163"/>
      <c r="X163"/>
      <c r="Y163"/>
    </row>
    <row r="164" spans="3:25" x14ac:dyDescent="0.25">
      <c r="C164"/>
      <c r="D164"/>
      <c r="E164"/>
      <c r="F164"/>
      <c r="G164"/>
      <c r="H164"/>
      <c r="I164" s="167"/>
      <c r="J164" s="167"/>
      <c r="K164" s="167"/>
      <c r="L164" s="167"/>
      <c r="M164" s="167"/>
      <c r="N164" s="167"/>
      <c r="S164"/>
      <c r="T164"/>
      <c r="U164"/>
      <c r="V164"/>
      <c r="W164"/>
      <c r="X164"/>
      <c r="Y164"/>
    </row>
    <row r="165" spans="3:25" x14ac:dyDescent="0.25">
      <c r="C165"/>
      <c r="D165"/>
      <c r="E165"/>
      <c r="F165"/>
      <c r="G165"/>
      <c r="H165"/>
      <c r="I165" s="167"/>
      <c r="J165" s="167"/>
      <c r="K165" s="167"/>
      <c r="L165" s="167"/>
      <c r="M165" s="167"/>
      <c r="N165" s="167"/>
      <c r="S165"/>
      <c r="T165"/>
      <c r="U165"/>
      <c r="V165"/>
      <c r="W165"/>
      <c r="X165"/>
      <c r="Y165"/>
    </row>
    <row r="166" spans="3:25" x14ac:dyDescent="0.25">
      <c r="C166"/>
      <c r="D166"/>
      <c r="E166"/>
      <c r="F166"/>
      <c r="G166"/>
      <c r="H166"/>
      <c r="I166" s="167"/>
      <c r="J166" s="167"/>
      <c r="K166" s="167"/>
      <c r="L166" s="167"/>
      <c r="M166" s="167"/>
      <c r="N166" s="167"/>
      <c r="S166"/>
      <c r="T166"/>
      <c r="U166"/>
      <c r="V166"/>
      <c r="W166"/>
      <c r="X166"/>
      <c r="Y166"/>
    </row>
    <row r="167" spans="3:25" x14ac:dyDescent="0.25">
      <c r="C167"/>
      <c r="D167"/>
      <c r="E167"/>
      <c r="F167"/>
      <c r="G167"/>
      <c r="H167"/>
      <c r="I167" s="167"/>
      <c r="J167" s="167"/>
      <c r="K167" s="167"/>
      <c r="L167" s="167"/>
      <c r="M167" s="167"/>
      <c r="N167" s="167"/>
      <c r="S167"/>
      <c r="T167"/>
      <c r="U167"/>
      <c r="V167"/>
      <c r="W167"/>
      <c r="X167"/>
      <c r="Y167"/>
    </row>
    <row r="168" spans="3:25" x14ac:dyDescent="0.25">
      <c r="C168"/>
      <c r="D168"/>
      <c r="E168"/>
      <c r="F168"/>
      <c r="G168"/>
      <c r="H168"/>
      <c r="I168" s="167"/>
      <c r="J168" s="167"/>
      <c r="K168" s="167"/>
      <c r="L168" s="167"/>
      <c r="M168" s="167"/>
      <c r="N168" s="167"/>
      <c r="S168"/>
      <c r="T168"/>
      <c r="U168"/>
      <c r="V168"/>
      <c r="W168"/>
      <c r="X168"/>
      <c r="Y168"/>
    </row>
    <row r="169" spans="3:25" x14ac:dyDescent="0.25">
      <c r="C169"/>
      <c r="D169"/>
      <c r="E169"/>
      <c r="F169"/>
      <c r="G169"/>
      <c r="H169"/>
      <c r="I169" s="167"/>
      <c r="J169" s="167"/>
      <c r="K169" s="167"/>
      <c r="L169" s="167"/>
      <c r="M169" s="167"/>
      <c r="N169" s="167"/>
      <c r="S169"/>
      <c r="T169"/>
      <c r="U169"/>
      <c r="V169"/>
      <c r="W169"/>
      <c r="X169"/>
      <c r="Y169"/>
    </row>
    <row r="170" spans="3:25" x14ac:dyDescent="0.25">
      <c r="C170"/>
      <c r="D170"/>
      <c r="E170"/>
      <c r="F170"/>
      <c r="G170"/>
      <c r="H170"/>
      <c r="I170" s="167"/>
      <c r="J170" s="167"/>
      <c r="K170" s="167"/>
      <c r="L170" s="167"/>
      <c r="M170" s="167"/>
      <c r="N170" s="167"/>
      <c r="S170"/>
      <c r="T170"/>
      <c r="U170"/>
      <c r="V170"/>
      <c r="W170"/>
      <c r="X170"/>
      <c r="Y170"/>
    </row>
    <row r="171" spans="3:25" x14ac:dyDescent="0.25">
      <c r="C171"/>
      <c r="D171"/>
      <c r="E171"/>
      <c r="F171"/>
      <c r="G171"/>
      <c r="H171"/>
      <c r="I171" s="167"/>
      <c r="J171" s="167"/>
      <c r="K171" s="167"/>
      <c r="L171" s="167"/>
      <c r="M171" s="167"/>
      <c r="N171" s="167"/>
      <c r="S171"/>
      <c r="T171"/>
      <c r="U171"/>
      <c r="V171"/>
      <c r="W171"/>
      <c r="X171"/>
      <c r="Y171"/>
    </row>
    <row r="172" spans="3:25" x14ac:dyDescent="0.25">
      <c r="C172"/>
      <c r="D172"/>
      <c r="E172"/>
      <c r="F172"/>
      <c r="G172"/>
      <c r="H172"/>
      <c r="I172" s="167"/>
      <c r="J172" s="167"/>
      <c r="K172" s="167"/>
      <c r="L172" s="167"/>
      <c r="M172" s="167"/>
      <c r="N172" s="167"/>
      <c r="S172"/>
      <c r="T172"/>
      <c r="U172"/>
      <c r="V172"/>
      <c r="W172"/>
      <c r="X172"/>
      <c r="Y172"/>
    </row>
    <row r="173" spans="3:25" x14ac:dyDescent="0.25">
      <c r="C173"/>
      <c r="D173"/>
      <c r="E173"/>
      <c r="F173"/>
      <c r="G173"/>
      <c r="H173"/>
      <c r="I173" s="167"/>
      <c r="J173" s="167"/>
      <c r="K173" s="167"/>
      <c r="L173" s="167"/>
      <c r="M173" s="167"/>
      <c r="N173" s="167"/>
      <c r="S173"/>
      <c r="T173"/>
      <c r="U173"/>
      <c r="V173"/>
      <c r="W173"/>
      <c r="X173"/>
      <c r="Y173"/>
    </row>
    <row r="174" spans="3:25" x14ac:dyDescent="0.25">
      <c r="C174"/>
      <c r="D174"/>
      <c r="E174"/>
      <c r="F174"/>
      <c r="G174"/>
      <c r="H174"/>
      <c r="I174" s="167"/>
      <c r="J174" s="167"/>
      <c r="K174" s="167"/>
      <c r="L174" s="167"/>
      <c r="M174" s="167"/>
      <c r="N174" s="167"/>
      <c r="S174"/>
      <c r="T174"/>
      <c r="U174"/>
      <c r="V174"/>
      <c r="W174"/>
      <c r="X174"/>
      <c r="Y174"/>
    </row>
    <row r="175" spans="3:25" x14ac:dyDescent="0.25">
      <c r="C175"/>
      <c r="D175"/>
      <c r="E175"/>
      <c r="F175"/>
      <c r="G175"/>
      <c r="H175"/>
      <c r="I175" s="167"/>
      <c r="J175" s="167"/>
      <c r="K175" s="167"/>
      <c r="L175" s="167"/>
      <c r="M175" s="167"/>
      <c r="N175" s="167"/>
      <c r="S175"/>
      <c r="T175"/>
      <c r="U175"/>
      <c r="V175"/>
      <c r="W175"/>
      <c r="X175"/>
      <c r="Y175"/>
    </row>
    <row r="176" spans="3:25" x14ac:dyDescent="0.25">
      <c r="C176"/>
      <c r="D176"/>
      <c r="E176"/>
      <c r="F176"/>
      <c r="G176"/>
      <c r="H176"/>
      <c r="I176" s="167"/>
      <c r="J176" s="167"/>
      <c r="K176" s="167"/>
      <c r="L176" s="167"/>
      <c r="M176" s="167"/>
      <c r="N176" s="167"/>
      <c r="S176"/>
      <c r="T176"/>
      <c r="U176"/>
      <c r="V176"/>
      <c r="W176"/>
      <c r="X176"/>
      <c r="Y176"/>
    </row>
    <row r="177" spans="3:25" x14ac:dyDescent="0.25">
      <c r="C177"/>
      <c r="D177"/>
      <c r="E177"/>
      <c r="F177"/>
      <c r="G177"/>
      <c r="H177"/>
      <c r="I177" s="167"/>
      <c r="J177" s="167"/>
      <c r="K177" s="167"/>
      <c r="L177" s="167"/>
      <c r="M177" s="167"/>
      <c r="N177" s="167"/>
      <c r="S177"/>
      <c r="T177"/>
      <c r="U177"/>
      <c r="V177"/>
      <c r="W177"/>
      <c r="X177"/>
      <c r="Y177"/>
    </row>
    <row r="178" spans="3:25" x14ac:dyDescent="0.25">
      <c r="C178"/>
      <c r="D178"/>
      <c r="E178"/>
      <c r="F178"/>
      <c r="G178"/>
      <c r="H178"/>
      <c r="I178" s="167"/>
      <c r="J178" s="167"/>
      <c r="K178" s="167"/>
      <c r="L178" s="167"/>
      <c r="M178" s="167"/>
      <c r="N178" s="167"/>
      <c r="S178"/>
      <c r="T178"/>
      <c r="U178"/>
      <c r="V178"/>
      <c r="W178"/>
      <c r="X178"/>
      <c r="Y178"/>
    </row>
    <row r="179" spans="3:25" x14ac:dyDescent="0.25">
      <c r="C179"/>
      <c r="D179"/>
      <c r="E179"/>
      <c r="F179"/>
      <c r="G179"/>
      <c r="H179"/>
      <c r="I179" s="167"/>
      <c r="J179" s="167"/>
      <c r="K179" s="167"/>
      <c r="L179" s="167"/>
      <c r="M179" s="167"/>
      <c r="N179" s="167"/>
      <c r="S179"/>
      <c r="T179"/>
      <c r="U179"/>
      <c r="V179"/>
      <c r="W179"/>
      <c r="X179"/>
      <c r="Y179"/>
    </row>
    <row r="180" spans="3:25" x14ac:dyDescent="0.25">
      <c r="C180"/>
      <c r="D180"/>
      <c r="E180"/>
      <c r="F180"/>
      <c r="G180"/>
      <c r="H180"/>
      <c r="I180" s="167"/>
      <c r="J180" s="167"/>
      <c r="K180" s="167"/>
      <c r="L180" s="167"/>
      <c r="M180" s="167"/>
      <c r="N180" s="167"/>
      <c r="S180"/>
      <c r="T180"/>
      <c r="U180"/>
      <c r="V180"/>
      <c r="W180"/>
      <c r="X180"/>
      <c r="Y180"/>
    </row>
    <row r="181" spans="3:25" x14ac:dyDescent="0.25">
      <c r="C181"/>
      <c r="D181"/>
      <c r="E181"/>
      <c r="F181"/>
      <c r="G181"/>
      <c r="H181"/>
      <c r="I181" s="167"/>
      <c r="J181" s="167"/>
      <c r="K181" s="167"/>
      <c r="L181" s="167"/>
      <c r="M181" s="167"/>
      <c r="N181" s="167"/>
      <c r="S181"/>
      <c r="T181"/>
      <c r="U181"/>
      <c r="V181"/>
      <c r="W181"/>
      <c r="X181"/>
      <c r="Y181"/>
    </row>
    <row r="182" spans="3:25" x14ac:dyDescent="0.25">
      <c r="C182"/>
      <c r="D182"/>
      <c r="E182"/>
      <c r="F182"/>
      <c r="G182"/>
      <c r="H182"/>
      <c r="I182" s="167"/>
      <c r="J182" s="167"/>
      <c r="K182" s="167"/>
      <c r="L182" s="167"/>
      <c r="M182" s="167"/>
      <c r="N182" s="167"/>
      <c r="S182"/>
      <c r="T182"/>
      <c r="U182"/>
      <c r="V182"/>
      <c r="W182"/>
      <c r="X182"/>
      <c r="Y182"/>
    </row>
    <row r="183" spans="3:25" x14ac:dyDescent="0.25">
      <c r="C183"/>
      <c r="D183"/>
      <c r="E183"/>
      <c r="F183"/>
      <c r="G183"/>
      <c r="H183"/>
      <c r="I183" s="167"/>
      <c r="J183" s="167"/>
      <c r="K183" s="167"/>
      <c r="L183" s="167"/>
      <c r="M183" s="167"/>
      <c r="N183" s="167"/>
      <c r="S183"/>
      <c r="T183"/>
      <c r="U183"/>
      <c r="V183"/>
      <c r="W183"/>
      <c r="X183"/>
      <c r="Y183"/>
    </row>
    <row r="184" spans="3:25" x14ac:dyDescent="0.25">
      <c r="C184"/>
      <c r="D184"/>
      <c r="E184"/>
      <c r="F184"/>
      <c r="G184"/>
      <c r="H184"/>
      <c r="I184" s="167"/>
      <c r="J184" s="167"/>
      <c r="K184" s="167"/>
      <c r="L184" s="167"/>
      <c r="M184" s="167"/>
      <c r="N184" s="167"/>
      <c r="S184"/>
      <c r="T184"/>
      <c r="U184"/>
      <c r="V184"/>
      <c r="W184"/>
      <c r="X184"/>
      <c r="Y184"/>
    </row>
    <row r="185" spans="3:25" x14ac:dyDescent="0.25">
      <c r="C185"/>
      <c r="D185"/>
      <c r="E185"/>
      <c r="F185"/>
      <c r="G185"/>
      <c r="H185"/>
      <c r="I185" s="167"/>
      <c r="J185" s="167"/>
      <c r="K185" s="167"/>
      <c r="L185" s="167"/>
      <c r="M185" s="167"/>
      <c r="N185" s="167"/>
      <c r="S185"/>
      <c r="T185"/>
      <c r="U185"/>
      <c r="V185"/>
      <c r="W185"/>
      <c r="X185"/>
      <c r="Y185"/>
    </row>
    <row r="186" spans="3:25" x14ac:dyDescent="0.25">
      <c r="C186"/>
      <c r="D186"/>
      <c r="E186"/>
      <c r="F186"/>
      <c r="G186"/>
      <c r="H186"/>
      <c r="I186" s="167"/>
      <c r="J186" s="167"/>
      <c r="K186" s="167"/>
      <c r="L186" s="167"/>
      <c r="M186" s="167"/>
      <c r="N186" s="167"/>
      <c r="S186"/>
      <c r="T186"/>
      <c r="U186"/>
      <c r="V186"/>
      <c r="W186"/>
      <c r="X186"/>
      <c r="Y186"/>
    </row>
    <row r="187" spans="3:25" x14ac:dyDescent="0.25">
      <c r="C187"/>
      <c r="D187"/>
      <c r="E187"/>
      <c r="F187"/>
      <c r="G187"/>
      <c r="H187"/>
      <c r="I187" s="167"/>
      <c r="J187" s="167"/>
      <c r="K187" s="167"/>
      <c r="L187" s="167"/>
      <c r="M187" s="167"/>
      <c r="N187" s="167"/>
      <c r="S187"/>
      <c r="T187"/>
      <c r="U187"/>
      <c r="V187"/>
      <c r="W187"/>
      <c r="X187"/>
      <c r="Y187"/>
    </row>
    <row r="188" spans="3:25" x14ac:dyDescent="0.25">
      <c r="C188"/>
      <c r="D188"/>
      <c r="E188"/>
      <c r="F188"/>
      <c r="G188"/>
      <c r="H188"/>
      <c r="I188" s="167"/>
      <c r="J188" s="167"/>
      <c r="K188" s="167"/>
      <c r="L188" s="167"/>
      <c r="M188" s="167"/>
      <c r="N188" s="167"/>
      <c r="S188"/>
      <c r="T188"/>
      <c r="U188"/>
      <c r="V188"/>
      <c r="W188"/>
      <c r="X188"/>
      <c r="Y188"/>
    </row>
    <row r="189" spans="3:25" x14ac:dyDescent="0.25">
      <c r="C189"/>
      <c r="D189"/>
      <c r="E189"/>
      <c r="F189"/>
      <c r="G189"/>
      <c r="H189"/>
      <c r="I189" s="167"/>
      <c r="J189" s="167"/>
      <c r="K189" s="167"/>
      <c r="L189" s="167"/>
      <c r="M189" s="167"/>
      <c r="N189" s="167"/>
      <c r="S189"/>
      <c r="T189"/>
      <c r="U189"/>
      <c r="V189"/>
      <c r="W189"/>
      <c r="X189"/>
      <c r="Y189"/>
    </row>
    <row r="190" spans="3:25" x14ac:dyDescent="0.25">
      <c r="C190"/>
      <c r="D190"/>
      <c r="E190"/>
      <c r="F190"/>
      <c r="G190"/>
      <c r="H190"/>
      <c r="I190" s="167"/>
      <c r="J190" s="167"/>
      <c r="K190" s="167"/>
      <c r="L190" s="167"/>
      <c r="M190" s="167"/>
      <c r="N190" s="167"/>
      <c r="S190"/>
      <c r="T190"/>
      <c r="U190"/>
      <c r="V190"/>
      <c r="W190"/>
      <c r="X190"/>
      <c r="Y190"/>
    </row>
    <row r="191" spans="3:25" x14ac:dyDescent="0.25">
      <c r="C191"/>
      <c r="D191"/>
      <c r="E191"/>
      <c r="F191"/>
      <c r="G191"/>
      <c r="H191"/>
      <c r="I191" s="167"/>
      <c r="J191" s="167"/>
      <c r="K191" s="167"/>
      <c r="L191" s="167"/>
      <c r="M191" s="167"/>
      <c r="N191" s="167"/>
      <c r="S191"/>
      <c r="T191"/>
      <c r="U191"/>
      <c r="V191"/>
      <c r="W191"/>
      <c r="X191"/>
      <c r="Y191"/>
    </row>
    <row r="192" spans="3:25" x14ac:dyDescent="0.25">
      <c r="C192"/>
      <c r="D192"/>
      <c r="E192"/>
      <c r="F192"/>
      <c r="G192"/>
      <c r="H192"/>
      <c r="I192" s="167"/>
      <c r="J192" s="167"/>
      <c r="K192" s="167"/>
      <c r="L192" s="167"/>
      <c r="M192" s="167"/>
      <c r="N192" s="167"/>
      <c r="S192"/>
      <c r="T192"/>
      <c r="U192"/>
      <c r="V192"/>
      <c r="W192"/>
      <c r="X192"/>
      <c r="Y192"/>
    </row>
    <row r="193" spans="3:25" x14ac:dyDescent="0.25">
      <c r="C193"/>
      <c r="D193"/>
      <c r="E193"/>
      <c r="F193"/>
      <c r="G193"/>
      <c r="H193"/>
      <c r="I193" s="167"/>
      <c r="J193" s="167"/>
      <c r="K193" s="167"/>
      <c r="L193" s="167"/>
      <c r="M193" s="167"/>
      <c r="N193" s="167"/>
      <c r="S193"/>
      <c r="T193"/>
      <c r="U193"/>
      <c r="V193"/>
      <c r="W193"/>
      <c r="X193"/>
      <c r="Y193"/>
    </row>
    <row r="194" spans="3:25" x14ac:dyDescent="0.25">
      <c r="C194"/>
      <c r="D194"/>
      <c r="E194"/>
      <c r="F194"/>
      <c r="G194"/>
      <c r="H194"/>
      <c r="I194" s="167"/>
      <c r="J194" s="167"/>
      <c r="K194" s="167"/>
      <c r="L194" s="167"/>
      <c r="M194" s="167"/>
      <c r="N194" s="167"/>
      <c r="S194"/>
      <c r="T194"/>
      <c r="U194"/>
      <c r="V194"/>
      <c r="W194"/>
      <c r="X194"/>
      <c r="Y194"/>
    </row>
    <row r="195" spans="3:25" x14ac:dyDescent="0.25">
      <c r="C195"/>
      <c r="D195"/>
      <c r="E195"/>
      <c r="F195"/>
      <c r="G195"/>
      <c r="H195"/>
      <c r="I195" s="167"/>
      <c r="J195" s="167"/>
      <c r="K195" s="167"/>
      <c r="L195" s="167"/>
      <c r="M195" s="167"/>
      <c r="N195" s="167"/>
      <c r="S195"/>
      <c r="T195"/>
      <c r="U195"/>
      <c r="V195"/>
      <c r="W195"/>
      <c r="X195"/>
      <c r="Y195"/>
    </row>
    <row r="196" spans="3:25" x14ac:dyDescent="0.25">
      <c r="C196"/>
      <c r="D196"/>
      <c r="E196"/>
      <c r="F196"/>
      <c r="G196"/>
      <c r="H196"/>
      <c r="I196" s="167"/>
      <c r="J196" s="167"/>
      <c r="K196" s="167"/>
      <c r="L196" s="167"/>
      <c r="M196" s="167"/>
      <c r="N196" s="167"/>
      <c r="S196"/>
      <c r="T196"/>
      <c r="U196"/>
      <c r="V196"/>
      <c r="W196"/>
      <c r="X196"/>
      <c r="Y196"/>
    </row>
    <row r="197" spans="3:25" x14ac:dyDescent="0.25">
      <c r="C197"/>
      <c r="D197"/>
      <c r="E197"/>
      <c r="F197"/>
      <c r="G197"/>
      <c r="H197"/>
      <c r="I197" s="167"/>
      <c r="J197" s="167"/>
      <c r="K197" s="167"/>
      <c r="L197" s="167"/>
      <c r="M197" s="167"/>
      <c r="N197" s="167"/>
      <c r="S197"/>
      <c r="T197"/>
      <c r="U197"/>
      <c r="V197"/>
      <c r="W197"/>
      <c r="X197"/>
      <c r="Y197"/>
    </row>
    <row r="198" spans="3:25" x14ac:dyDescent="0.25">
      <c r="C198"/>
      <c r="D198"/>
      <c r="E198"/>
      <c r="F198"/>
      <c r="G198"/>
      <c r="H198"/>
      <c r="I198" s="167"/>
      <c r="J198" s="167"/>
      <c r="K198" s="167"/>
      <c r="L198" s="167"/>
      <c r="M198" s="167"/>
      <c r="N198" s="167"/>
      <c r="S198"/>
      <c r="T198"/>
      <c r="U198"/>
      <c r="V198"/>
      <c r="W198"/>
      <c r="X198"/>
      <c r="Y198"/>
    </row>
    <row r="199" spans="3:25" x14ac:dyDescent="0.25">
      <c r="C199"/>
      <c r="D199"/>
      <c r="E199"/>
      <c r="F199"/>
      <c r="G199"/>
      <c r="H199"/>
      <c r="I199" s="167"/>
      <c r="J199" s="167"/>
      <c r="K199" s="167"/>
      <c r="L199" s="167"/>
      <c r="M199" s="167"/>
      <c r="N199" s="167"/>
      <c r="S199"/>
      <c r="T199"/>
      <c r="U199"/>
      <c r="V199"/>
      <c r="W199"/>
      <c r="X199"/>
      <c r="Y199"/>
    </row>
    <row r="200" spans="3:25" x14ac:dyDescent="0.25">
      <c r="C200"/>
      <c r="D200"/>
      <c r="E200"/>
      <c r="F200"/>
      <c r="G200"/>
      <c r="H200"/>
      <c r="I200" s="167"/>
      <c r="J200" s="167"/>
      <c r="K200" s="167"/>
      <c r="L200" s="167"/>
      <c r="M200" s="167"/>
      <c r="N200" s="167"/>
      <c r="S200"/>
      <c r="T200"/>
      <c r="U200"/>
      <c r="V200"/>
      <c r="W200"/>
      <c r="X200"/>
      <c r="Y200"/>
    </row>
    <row r="201" spans="3:25" x14ac:dyDescent="0.25">
      <c r="C201"/>
      <c r="D201"/>
      <c r="E201"/>
      <c r="F201"/>
      <c r="G201"/>
      <c r="H201"/>
      <c r="I201" s="167"/>
      <c r="J201" s="167"/>
      <c r="K201" s="167"/>
      <c r="L201" s="167"/>
      <c r="M201" s="167"/>
      <c r="N201" s="167"/>
      <c r="S201"/>
      <c r="T201"/>
      <c r="U201"/>
      <c r="V201"/>
      <c r="W201"/>
      <c r="X201"/>
      <c r="Y201"/>
    </row>
    <row r="202" spans="3:25" x14ac:dyDescent="0.25">
      <c r="C202"/>
      <c r="D202"/>
      <c r="E202"/>
      <c r="F202"/>
      <c r="G202"/>
      <c r="H202"/>
      <c r="I202" s="167"/>
      <c r="J202" s="167"/>
      <c r="K202" s="167"/>
      <c r="L202" s="167"/>
      <c r="M202" s="167"/>
      <c r="N202" s="167"/>
      <c r="S202"/>
      <c r="T202"/>
      <c r="U202"/>
      <c r="V202"/>
      <c r="W202"/>
      <c r="X202"/>
      <c r="Y202"/>
    </row>
    <row r="203" spans="3:25" x14ac:dyDescent="0.25">
      <c r="C203"/>
      <c r="D203"/>
      <c r="E203"/>
      <c r="F203"/>
      <c r="G203"/>
      <c r="H203"/>
      <c r="I203" s="167"/>
      <c r="J203" s="167"/>
      <c r="K203" s="167"/>
      <c r="L203" s="167"/>
      <c r="M203" s="167"/>
      <c r="N203" s="167"/>
      <c r="S203"/>
      <c r="T203"/>
      <c r="U203"/>
      <c r="V203"/>
      <c r="W203"/>
      <c r="X203"/>
      <c r="Y203"/>
    </row>
    <row r="204" spans="3:25" x14ac:dyDescent="0.25">
      <c r="C204"/>
      <c r="D204"/>
      <c r="E204"/>
      <c r="F204"/>
      <c r="G204"/>
      <c r="H204"/>
      <c r="I204" s="167"/>
      <c r="J204" s="167"/>
      <c r="K204" s="167"/>
      <c r="L204" s="167"/>
      <c r="M204" s="167"/>
      <c r="N204" s="167"/>
      <c r="S204"/>
      <c r="T204"/>
      <c r="U204"/>
      <c r="V204"/>
      <c r="W204"/>
      <c r="X204"/>
      <c r="Y204"/>
    </row>
    <row r="205" spans="3:25" x14ac:dyDescent="0.25">
      <c r="C205"/>
      <c r="D205"/>
      <c r="E205"/>
      <c r="F205"/>
      <c r="G205"/>
      <c r="H205"/>
      <c r="I205" s="167"/>
      <c r="J205" s="167"/>
      <c r="K205" s="167"/>
      <c r="L205" s="167"/>
      <c r="M205" s="167"/>
      <c r="N205" s="167"/>
      <c r="S205"/>
      <c r="T205"/>
      <c r="U205"/>
      <c r="V205"/>
      <c r="W205"/>
      <c r="X205"/>
      <c r="Y205"/>
    </row>
    <row r="206" spans="3:25" x14ac:dyDescent="0.25">
      <c r="C206"/>
      <c r="D206"/>
      <c r="E206"/>
      <c r="F206"/>
      <c r="G206"/>
      <c r="H206"/>
      <c r="I206" s="167"/>
      <c r="J206" s="167"/>
      <c r="K206" s="167"/>
      <c r="L206" s="167"/>
      <c r="M206" s="167"/>
      <c r="N206" s="167"/>
      <c r="S206"/>
      <c r="T206"/>
      <c r="U206"/>
      <c r="V206"/>
      <c r="W206"/>
      <c r="X206"/>
      <c r="Y206"/>
    </row>
    <row r="207" spans="3:25" x14ac:dyDescent="0.25">
      <c r="C207"/>
      <c r="D207"/>
      <c r="E207"/>
      <c r="F207"/>
      <c r="G207"/>
      <c r="H207"/>
      <c r="I207" s="167"/>
      <c r="J207" s="167"/>
      <c r="K207" s="167"/>
      <c r="L207" s="167"/>
      <c r="M207" s="167"/>
      <c r="N207" s="167"/>
      <c r="S207"/>
      <c r="T207"/>
      <c r="U207"/>
      <c r="V207"/>
      <c r="W207"/>
      <c r="X207"/>
      <c r="Y207"/>
    </row>
    <row r="208" spans="3:25" x14ac:dyDescent="0.25">
      <c r="C208"/>
      <c r="D208"/>
      <c r="E208"/>
      <c r="F208"/>
      <c r="G208"/>
      <c r="H208"/>
      <c r="I208" s="167"/>
      <c r="J208" s="167"/>
      <c r="K208" s="167"/>
      <c r="L208" s="167"/>
      <c r="M208" s="167"/>
      <c r="N208" s="167"/>
      <c r="S208"/>
      <c r="T208"/>
      <c r="U208"/>
      <c r="V208"/>
      <c r="W208"/>
      <c r="X208"/>
      <c r="Y208"/>
    </row>
    <row r="209" spans="3:25" x14ac:dyDescent="0.25">
      <c r="C209"/>
      <c r="D209"/>
      <c r="E209"/>
      <c r="F209"/>
      <c r="G209"/>
      <c r="H209"/>
      <c r="I209" s="167"/>
      <c r="J209" s="167"/>
      <c r="K209" s="167"/>
      <c r="L209" s="167"/>
      <c r="M209" s="167"/>
      <c r="N209" s="167"/>
      <c r="S209"/>
      <c r="T209"/>
      <c r="U209"/>
      <c r="V209"/>
      <c r="W209"/>
      <c r="X209"/>
      <c r="Y209"/>
    </row>
    <row r="210" spans="3:25" x14ac:dyDescent="0.25">
      <c r="C210"/>
      <c r="D210"/>
      <c r="E210"/>
      <c r="F210"/>
      <c r="G210"/>
      <c r="H210"/>
      <c r="I210" s="167"/>
      <c r="J210" s="167"/>
      <c r="K210" s="167"/>
      <c r="L210" s="167"/>
      <c r="M210" s="167"/>
      <c r="N210" s="167"/>
      <c r="S210"/>
      <c r="T210"/>
      <c r="U210"/>
      <c r="V210"/>
      <c r="W210"/>
      <c r="X210"/>
      <c r="Y210"/>
    </row>
    <row r="211" spans="3:25" x14ac:dyDescent="0.25">
      <c r="C211"/>
      <c r="D211"/>
      <c r="E211"/>
      <c r="F211"/>
      <c r="G211"/>
      <c r="H211"/>
      <c r="I211" s="167"/>
      <c r="J211" s="167"/>
      <c r="K211" s="167"/>
      <c r="L211" s="167"/>
      <c r="M211" s="167"/>
      <c r="N211" s="167"/>
      <c r="S211"/>
      <c r="T211"/>
      <c r="U211"/>
      <c r="V211"/>
      <c r="W211"/>
      <c r="X211"/>
      <c r="Y211"/>
    </row>
    <row r="212" spans="3:25" x14ac:dyDescent="0.25">
      <c r="C212"/>
      <c r="D212"/>
      <c r="E212"/>
      <c r="F212"/>
      <c r="G212"/>
      <c r="H212"/>
      <c r="I212" s="167"/>
      <c r="J212" s="167"/>
      <c r="K212" s="167"/>
      <c r="L212" s="167"/>
      <c r="M212" s="167"/>
      <c r="N212" s="167"/>
      <c r="S212"/>
      <c r="T212"/>
      <c r="U212"/>
      <c r="V212"/>
      <c r="W212"/>
      <c r="X212"/>
      <c r="Y212"/>
    </row>
    <row r="213" spans="3:25" x14ac:dyDescent="0.25">
      <c r="C213"/>
      <c r="D213"/>
      <c r="E213"/>
      <c r="F213"/>
      <c r="G213"/>
      <c r="H213"/>
      <c r="I213" s="167"/>
      <c r="J213" s="167"/>
      <c r="K213" s="167"/>
      <c r="L213" s="167"/>
      <c r="M213" s="167"/>
      <c r="N213" s="167"/>
      <c r="S213"/>
      <c r="T213"/>
      <c r="U213"/>
      <c r="V213"/>
      <c r="W213"/>
      <c r="X213"/>
      <c r="Y213"/>
    </row>
    <row r="214" spans="3:25" x14ac:dyDescent="0.25">
      <c r="C214"/>
      <c r="D214"/>
      <c r="E214"/>
      <c r="F214"/>
      <c r="G214"/>
      <c r="H214"/>
      <c r="I214" s="167"/>
      <c r="J214" s="167"/>
      <c r="K214" s="167"/>
      <c r="L214" s="167"/>
      <c r="M214" s="167"/>
      <c r="N214" s="167"/>
      <c r="S214"/>
      <c r="T214"/>
      <c r="U214"/>
      <c r="V214"/>
      <c r="W214"/>
      <c r="X214"/>
      <c r="Y214"/>
    </row>
    <row r="215" spans="3:25" x14ac:dyDescent="0.25">
      <c r="C215"/>
      <c r="D215"/>
      <c r="E215"/>
      <c r="F215"/>
      <c r="G215"/>
      <c r="H215"/>
      <c r="I215" s="167"/>
      <c r="J215" s="167"/>
      <c r="K215" s="167"/>
      <c r="L215" s="167"/>
      <c r="M215" s="167"/>
      <c r="N215" s="167"/>
      <c r="S215"/>
      <c r="T215"/>
      <c r="U215"/>
      <c r="V215"/>
      <c r="W215"/>
      <c r="X215"/>
      <c r="Y215"/>
    </row>
    <row r="216" spans="3:25" x14ac:dyDescent="0.25">
      <c r="C216"/>
      <c r="D216"/>
      <c r="E216"/>
      <c r="F216"/>
      <c r="G216"/>
      <c r="H216"/>
      <c r="I216" s="167"/>
      <c r="J216" s="167"/>
      <c r="K216" s="167"/>
      <c r="L216" s="167"/>
      <c r="M216" s="167"/>
      <c r="N216" s="167"/>
      <c r="S216"/>
      <c r="T216"/>
      <c r="U216"/>
      <c r="V216"/>
      <c r="W216"/>
      <c r="X216"/>
      <c r="Y216"/>
    </row>
    <row r="217" spans="3:25" x14ac:dyDescent="0.25">
      <c r="C217"/>
      <c r="D217"/>
      <c r="E217"/>
      <c r="F217"/>
      <c r="G217"/>
      <c r="H217"/>
      <c r="I217" s="167"/>
      <c r="J217" s="167"/>
      <c r="K217" s="167"/>
      <c r="L217" s="167"/>
      <c r="M217" s="167"/>
      <c r="N217" s="167"/>
      <c r="S217"/>
      <c r="T217"/>
      <c r="U217"/>
      <c r="V217"/>
      <c r="W217"/>
      <c r="X217"/>
      <c r="Y217"/>
    </row>
    <row r="218" spans="3:25" x14ac:dyDescent="0.25">
      <c r="C218"/>
      <c r="D218"/>
      <c r="E218"/>
      <c r="F218"/>
      <c r="G218"/>
      <c r="H218"/>
      <c r="I218" s="167"/>
      <c r="J218" s="167"/>
      <c r="K218" s="167"/>
      <c r="L218" s="167"/>
      <c r="M218" s="167"/>
      <c r="N218" s="167"/>
      <c r="S218"/>
      <c r="T218"/>
      <c r="U218"/>
      <c r="V218"/>
      <c r="W218"/>
      <c r="X218"/>
      <c r="Y218"/>
    </row>
    <row r="219" spans="3:25" x14ac:dyDescent="0.25">
      <c r="C219"/>
      <c r="D219"/>
      <c r="E219"/>
      <c r="F219"/>
      <c r="G219"/>
      <c r="H219"/>
      <c r="I219" s="167"/>
      <c r="J219" s="167"/>
      <c r="K219" s="167"/>
      <c r="L219" s="167"/>
      <c r="M219" s="167"/>
      <c r="N219" s="167"/>
      <c r="S219"/>
      <c r="T219"/>
      <c r="U219"/>
      <c r="V219"/>
      <c r="W219"/>
      <c r="X219"/>
      <c r="Y219"/>
    </row>
    <row r="220" spans="3:25" x14ac:dyDescent="0.25">
      <c r="C220"/>
      <c r="D220"/>
      <c r="E220"/>
      <c r="F220"/>
      <c r="G220"/>
      <c r="H220"/>
      <c r="I220" s="167"/>
      <c r="J220" s="167"/>
      <c r="K220" s="167"/>
      <c r="L220" s="167"/>
      <c r="M220" s="167"/>
      <c r="N220" s="167"/>
      <c r="S220"/>
      <c r="T220"/>
      <c r="U220"/>
      <c r="V220"/>
      <c r="W220"/>
      <c r="X220"/>
      <c r="Y220"/>
    </row>
    <row r="221" spans="3:25" x14ac:dyDescent="0.25">
      <c r="C221"/>
      <c r="D221"/>
      <c r="E221"/>
      <c r="F221"/>
      <c r="G221"/>
      <c r="H221"/>
      <c r="I221" s="167"/>
      <c r="J221" s="167"/>
      <c r="K221" s="167"/>
      <c r="L221" s="167"/>
      <c r="M221" s="167"/>
      <c r="N221" s="167"/>
      <c r="S221"/>
      <c r="T221"/>
      <c r="U221"/>
      <c r="V221"/>
      <c r="W221"/>
      <c r="X221"/>
      <c r="Y221"/>
    </row>
    <row r="222" spans="3:25" x14ac:dyDescent="0.25">
      <c r="C222"/>
      <c r="D222"/>
      <c r="E222"/>
      <c r="F222"/>
      <c r="G222"/>
      <c r="H222"/>
      <c r="I222" s="167"/>
      <c r="J222" s="167"/>
      <c r="K222" s="167"/>
      <c r="L222" s="167"/>
      <c r="M222" s="167"/>
      <c r="N222" s="167"/>
      <c r="S222"/>
      <c r="T222"/>
      <c r="U222"/>
      <c r="V222"/>
      <c r="W222"/>
      <c r="X222"/>
      <c r="Y222"/>
    </row>
    <row r="223" spans="3:25" x14ac:dyDescent="0.25">
      <c r="C223"/>
      <c r="D223"/>
      <c r="E223"/>
      <c r="F223"/>
      <c r="G223"/>
      <c r="H223"/>
      <c r="I223" s="167"/>
      <c r="J223" s="167"/>
      <c r="K223" s="167"/>
      <c r="L223" s="167"/>
      <c r="M223" s="167"/>
      <c r="N223" s="167"/>
      <c r="S223"/>
      <c r="T223"/>
      <c r="U223"/>
      <c r="V223"/>
      <c r="W223"/>
      <c r="X223"/>
      <c r="Y223"/>
    </row>
    <row r="224" spans="3:25" x14ac:dyDescent="0.25">
      <c r="C224"/>
      <c r="D224"/>
      <c r="E224"/>
      <c r="F224"/>
      <c r="G224"/>
      <c r="H224"/>
      <c r="I224" s="167"/>
      <c r="J224" s="167"/>
      <c r="K224" s="167"/>
      <c r="L224" s="167"/>
      <c r="M224" s="167"/>
      <c r="N224" s="167"/>
      <c r="S224"/>
      <c r="T224"/>
      <c r="U224"/>
      <c r="V224"/>
      <c r="W224"/>
      <c r="X224"/>
      <c r="Y224"/>
    </row>
    <row r="225" spans="3:25" x14ac:dyDescent="0.25">
      <c r="C225"/>
      <c r="D225"/>
      <c r="E225"/>
      <c r="F225"/>
      <c r="G225"/>
      <c r="H225"/>
      <c r="I225" s="167"/>
      <c r="J225" s="167"/>
      <c r="K225" s="167"/>
      <c r="L225" s="167"/>
      <c r="M225" s="167"/>
      <c r="N225" s="167"/>
      <c r="S225"/>
      <c r="T225"/>
      <c r="U225"/>
      <c r="V225"/>
      <c r="W225"/>
      <c r="X225"/>
      <c r="Y225"/>
    </row>
    <row r="226" spans="3:25" x14ac:dyDescent="0.25">
      <c r="C226"/>
      <c r="D226"/>
      <c r="E226"/>
      <c r="F226"/>
      <c r="G226"/>
      <c r="H226"/>
      <c r="I226" s="167"/>
      <c r="J226" s="167"/>
      <c r="K226" s="167"/>
      <c r="L226" s="167"/>
      <c r="M226" s="167"/>
      <c r="N226" s="167"/>
      <c r="S226"/>
      <c r="T226"/>
      <c r="U226"/>
      <c r="V226"/>
      <c r="W226"/>
      <c r="X226"/>
      <c r="Y226"/>
    </row>
    <row r="227" spans="3:25" x14ac:dyDescent="0.25">
      <c r="C227"/>
      <c r="D227"/>
      <c r="E227"/>
      <c r="F227"/>
      <c r="G227"/>
      <c r="H227"/>
      <c r="I227" s="167"/>
      <c r="J227" s="167"/>
      <c r="K227" s="167"/>
      <c r="L227" s="167"/>
      <c r="M227" s="167"/>
      <c r="N227" s="167"/>
      <c r="S227"/>
      <c r="T227"/>
      <c r="U227"/>
      <c r="V227"/>
      <c r="W227"/>
      <c r="X227"/>
      <c r="Y227"/>
    </row>
    <row r="228" spans="3:25" x14ac:dyDescent="0.25">
      <c r="C228"/>
      <c r="D228"/>
      <c r="E228"/>
      <c r="F228"/>
      <c r="G228"/>
      <c r="H228"/>
      <c r="I228" s="167"/>
      <c r="J228" s="167"/>
      <c r="K228" s="167"/>
      <c r="L228" s="167"/>
      <c r="M228" s="167"/>
      <c r="N228" s="167"/>
      <c r="S228"/>
      <c r="T228"/>
      <c r="U228"/>
      <c r="V228"/>
      <c r="W228"/>
      <c r="X228"/>
      <c r="Y228"/>
    </row>
    <row r="229" spans="3:25" x14ac:dyDescent="0.25">
      <c r="C229"/>
      <c r="D229"/>
      <c r="E229"/>
      <c r="F229"/>
      <c r="G229"/>
      <c r="H229"/>
      <c r="I229" s="167"/>
      <c r="J229" s="167"/>
      <c r="K229" s="167"/>
      <c r="L229" s="167"/>
      <c r="M229" s="167"/>
      <c r="N229" s="167"/>
      <c r="S229"/>
      <c r="T229"/>
      <c r="U229"/>
      <c r="V229"/>
      <c r="W229"/>
      <c r="X229"/>
      <c r="Y229"/>
    </row>
    <row r="230" spans="3:25" x14ac:dyDescent="0.25">
      <c r="C230"/>
      <c r="D230"/>
      <c r="E230"/>
      <c r="F230"/>
      <c r="G230"/>
      <c r="H230"/>
      <c r="I230" s="167"/>
      <c r="J230" s="167"/>
      <c r="K230" s="167"/>
      <c r="L230" s="167"/>
      <c r="M230" s="167"/>
      <c r="N230" s="167"/>
      <c r="S230"/>
      <c r="T230"/>
      <c r="U230"/>
      <c r="V230"/>
      <c r="W230"/>
      <c r="X230"/>
      <c r="Y230"/>
    </row>
    <row r="231" spans="3:25" x14ac:dyDescent="0.25">
      <c r="C231"/>
      <c r="D231"/>
      <c r="E231"/>
      <c r="F231"/>
      <c r="G231"/>
      <c r="H231"/>
      <c r="I231" s="167"/>
      <c r="J231" s="167"/>
      <c r="K231" s="167"/>
      <c r="L231" s="167"/>
      <c r="M231" s="167"/>
      <c r="N231" s="167"/>
      <c r="S231"/>
      <c r="T231"/>
      <c r="U231"/>
      <c r="V231"/>
      <c r="W231"/>
      <c r="X231"/>
      <c r="Y231"/>
    </row>
    <row r="232" spans="3:25" x14ac:dyDescent="0.25">
      <c r="C232"/>
      <c r="D232"/>
      <c r="E232"/>
      <c r="F232"/>
      <c r="G232"/>
      <c r="H232"/>
      <c r="I232" s="167"/>
      <c r="J232" s="167"/>
      <c r="K232" s="167"/>
      <c r="L232" s="167"/>
      <c r="M232" s="167"/>
      <c r="N232" s="167"/>
      <c r="S232"/>
      <c r="T232"/>
      <c r="U232"/>
      <c r="V232"/>
      <c r="W232"/>
      <c r="X232"/>
      <c r="Y232"/>
    </row>
    <row r="233" spans="3:25" x14ac:dyDescent="0.25">
      <c r="C233"/>
      <c r="D233"/>
      <c r="E233"/>
      <c r="F233"/>
      <c r="G233"/>
      <c r="H233"/>
      <c r="I233" s="167"/>
      <c r="J233" s="167"/>
      <c r="K233" s="167"/>
      <c r="L233" s="167"/>
      <c r="M233" s="167"/>
      <c r="N233" s="167"/>
      <c r="S233"/>
      <c r="T233"/>
      <c r="U233"/>
      <c r="V233"/>
      <c r="W233"/>
      <c r="X233"/>
      <c r="Y233"/>
    </row>
    <row r="234" spans="3:25" x14ac:dyDescent="0.25">
      <c r="C234"/>
      <c r="D234"/>
      <c r="E234"/>
      <c r="F234"/>
      <c r="G234"/>
      <c r="H234"/>
      <c r="I234" s="167"/>
      <c r="J234" s="167"/>
      <c r="K234" s="167"/>
      <c r="L234" s="167"/>
      <c r="M234" s="167"/>
      <c r="N234" s="167"/>
      <c r="S234"/>
      <c r="T234"/>
      <c r="U234"/>
      <c r="V234"/>
      <c r="W234"/>
      <c r="X234"/>
      <c r="Y234"/>
    </row>
    <row r="235" spans="3:25" x14ac:dyDescent="0.25">
      <c r="C235"/>
      <c r="D235"/>
      <c r="E235"/>
      <c r="F235"/>
      <c r="G235"/>
      <c r="H235"/>
      <c r="I235" s="167"/>
      <c r="J235" s="167"/>
      <c r="K235" s="167"/>
      <c r="L235" s="167"/>
      <c r="M235" s="167"/>
      <c r="N235" s="167"/>
      <c r="S235"/>
      <c r="T235"/>
      <c r="U235"/>
      <c r="V235"/>
      <c r="W235"/>
      <c r="X235"/>
      <c r="Y235"/>
    </row>
    <row r="236" spans="3:25" x14ac:dyDescent="0.25">
      <c r="C236"/>
      <c r="D236"/>
      <c r="E236"/>
      <c r="F236"/>
      <c r="G236"/>
      <c r="H236"/>
      <c r="I236" s="167"/>
      <c r="J236" s="167"/>
      <c r="K236" s="167"/>
      <c r="L236" s="167"/>
      <c r="M236" s="167"/>
      <c r="N236" s="167"/>
      <c r="S236"/>
      <c r="T236"/>
      <c r="U236"/>
      <c r="V236"/>
      <c r="W236"/>
      <c r="X236"/>
      <c r="Y236"/>
    </row>
    <row r="237" spans="3:25" x14ac:dyDescent="0.25">
      <c r="C237"/>
      <c r="D237"/>
      <c r="E237"/>
      <c r="F237"/>
      <c r="G237"/>
      <c r="H237"/>
      <c r="I237" s="167"/>
      <c r="J237" s="167"/>
      <c r="K237" s="167"/>
      <c r="L237" s="167"/>
      <c r="M237" s="167"/>
      <c r="N237" s="167"/>
      <c r="S237"/>
      <c r="T237"/>
      <c r="U237"/>
      <c r="V237"/>
      <c r="W237"/>
      <c r="X237"/>
      <c r="Y237"/>
    </row>
    <row r="238" spans="3:25" x14ac:dyDescent="0.25">
      <c r="C238"/>
      <c r="D238"/>
      <c r="E238"/>
      <c r="F238"/>
      <c r="G238"/>
      <c r="H238"/>
      <c r="I238" s="167"/>
      <c r="J238" s="167"/>
      <c r="K238" s="167"/>
      <c r="L238" s="167"/>
      <c r="M238" s="167"/>
      <c r="N238" s="167"/>
      <c r="S238"/>
      <c r="T238"/>
      <c r="U238"/>
      <c r="V238"/>
      <c r="W238"/>
      <c r="X238"/>
      <c r="Y238"/>
    </row>
    <row r="239" spans="3:25" x14ac:dyDescent="0.25">
      <c r="C239"/>
      <c r="D239"/>
      <c r="E239"/>
      <c r="F239"/>
      <c r="G239"/>
      <c r="H239"/>
      <c r="I239" s="167"/>
      <c r="J239" s="167"/>
      <c r="K239" s="167"/>
      <c r="L239" s="167"/>
      <c r="M239" s="167"/>
      <c r="N239" s="167"/>
      <c r="S239"/>
      <c r="T239"/>
      <c r="U239"/>
      <c r="V239"/>
      <c r="W239"/>
      <c r="X239"/>
      <c r="Y239"/>
    </row>
    <row r="240" spans="3:25" x14ac:dyDescent="0.25">
      <c r="C240"/>
      <c r="D240"/>
      <c r="E240"/>
      <c r="F240"/>
      <c r="G240"/>
      <c r="H240"/>
      <c r="I240" s="167"/>
      <c r="J240" s="167"/>
      <c r="K240" s="167"/>
      <c r="L240" s="167"/>
      <c r="M240" s="167"/>
      <c r="N240" s="167"/>
      <c r="S240"/>
      <c r="T240"/>
      <c r="U240"/>
      <c r="V240"/>
      <c r="W240"/>
      <c r="X240"/>
      <c r="Y240"/>
    </row>
    <row r="241" spans="3:25" x14ac:dyDescent="0.25">
      <c r="C241"/>
      <c r="D241"/>
      <c r="E241"/>
      <c r="F241"/>
      <c r="G241"/>
      <c r="H241"/>
      <c r="I241" s="167"/>
      <c r="J241" s="167"/>
      <c r="K241" s="167"/>
      <c r="L241" s="167"/>
      <c r="M241" s="167"/>
      <c r="N241" s="167"/>
      <c r="S241"/>
      <c r="T241"/>
      <c r="U241"/>
      <c r="V241"/>
      <c r="W241"/>
      <c r="X241"/>
      <c r="Y241"/>
    </row>
    <row r="242" spans="3:25" x14ac:dyDescent="0.25">
      <c r="C242"/>
      <c r="D242"/>
      <c r="E242"/>
      <c r="F242"/>
      <c r="G242"/>
      <c r="H242"/>
      <c r="I242" s="167"/>
      <c r="J242" s="167"/>
      <c r="K242" s="167"/>
      <c r="L242" s="167"/>
      <c r="M242" s="167"/>
      <c r="N242" s="167"/>
      <c r="S242"/>
      <c r="T242"/>
      <c r="U242"/>
      <c r="V242"/>
      <c r="W242"/>
      <c r="X242"/>
      <c r="Y242"/>
    </row>
    <row r="243" spans="3:25" x14ac:dyDescent="0.25">
      <c r="C243"/>
      <c r="D243"/>
      <c r="E243"/>
      <c r="F243"/>
      <c r="G243"/>
      <c r="H243"/>
      <c r="I243" s="167"/>
      <c r="J243" s="167"/>
      <c r="K243" s="167"/>
      <c r="L243" s="167"/>
      <c r="M243" s="167"/>
      <c r="N243" s="167"/>
      <c r="S243"/>
      <c r="T243"/>
      <c r="U243"/>
      <c r="V243"/>
      <c r="W243"/>
      <c r="X243"/>
      <c r="Y243"/>
    </row>
    <row r="244" spans="3:25" x14ac:dyDescent="0.25">
      <c r="C244"/>
      <c r="D244"/>
      <c r="E244"/>
      <c r="F244"/>
      <c r="G244"/>
      <c r="H244"/>
      <c r="I244" s="167"/>
      <c r="J244" s="167"/>
      <c r="K244" s="167"/>
      <c r="L244" s="167"/>
      <c r="M244" s="167"/>
      <c r="N244" s="167"/>
      <c r="S244"/>
      <c r="T244"/>
      <c r="U244"/>
      <c r="V244"/>
      <c r="W244"/>
      <c r="X244"/>
      <c r="Y244"/>
    </row>
    <row r="245" spans="3:25" x14ac:dyDescent="0.25">
      <c r="C245"/>
      <c r="D245"/>
      <c r="E245"/>
      <c r="F245"/>
      <c r="G245"/>
      <c r="H245"/>
      <c r="I245" s="167"/>
      <c r="J245" s="167"/>
      <c r="K245" s="167"/>
      <c r="L245" s="167"/>
      <c r="M245" s="167"/>
      <c r="N245" s="167"/>
      <c r="S245"/>
      <c r="T245"/>
      <c r="U245"/>
      <c r="V245"/>
      <c r="W245"/>
      <c r="X245"/>
      <c r="Y245"/>
    </row>
    <row r="246" spans="3:25" x14ac:dyDescent="0.25">
      <c r="C246"/>
      <c r="D246"/>
      <c r="E246"/>
      <c r="F246"/>
      <c r="G246"/>
      <c r="H246"/>
      <c r="I246" s="167"/>
      <c r="J246" s="167"/>
      <c r="K246" s="167"/>
      <c r="L246" s="167"/>
      <c r="M246" s="167"/>
      <c r="N246" s="167"/>
      <c r="S246"/>
      <c r="T246"/>
      <c r="U246"/>
      <c r="V246"/>
      <c r="W246"/>
      <c r="X246"/>
      <c r="Y246"/>
    </row>
    <row r="247" spans="3:25" x14ac:dyDescent="0.25">
      <c r="C247"/>
      <c r="D247"/>
      <c r="E247"/>
      <c r="F247"/>
      <c r="G247"/>
      <c r="H247"/>
      <c r="I247" s="167"/>
      <c r="J247" s="167"/>
      <c r="K247" s="167"/>
      <c r="L247" s="167"/>
      <c r="M247" s="167"/>
      <c r="N247" s="167"/>
      <c r="S247"/>
      <c r="T247"/>
      <c r="U247"/>
      <c r="V247"/>
      <c r="W247"/>
      <c r="X247"/>
      <c r="Y247"/>
    </row>
    <row r="248" spans="3:25" x14ac:dyDescent="0.25">
      <c r="C248"/>
      <c r="D248"/>
      <c r="E248"/>
      <c r="F248"/>
      <c r="G248"/>
      <c r="H248"/>
      <c r="I248" s="167"/>
      <c r="J248" s="167"/>
      <c r="K248" s="167"/>
      <c r="L248" s="167"/>
      <c r="M248" s="167"/>
      <c r="N248" s="167"/>
      <c r="S248"/>
      <c r="T248"/>
      <c r="U248"/>
      <c r="V248"/>
      <c r="W248"/>
      <c r="X248"/>
      <c r="Y248"/>
    </row>
    <row r="249" spans="3:25" x14ac:dyDescent="0.25">
      <c r="C249"/>
      <c r="D249"/>
      <c r="E249"/>
      <c r="F249"/>
      <c r="G249"/>
      <c r="H249"/>
      <c r="I249" s="167"/>
      <c r="J249" s="167"/>
      <c r="K249" s="167"/>
      <c r="L249" s="167"/>
      <c r="M249" s="167"/>
      <c r="N249" s="167"/>
      <c r="S249"/>
      <c r="T249"/>
      <c r="U249"/>
      <c r="V249"/>
      <c r="W249"/>
      <c r="X249"/>
      <c r="Y249"/>
    </row>
    <row r="250" spans="3:25" x14ac:dyDescent="0.25">
      <c r="C250"/>
      <c r="D250"/>
      <c r="E250"/>
      <c r="F250"/>
      <c r="G250"/>
      <c r="H250"/>
      <c r="I250" s="167"/>
      <c r="J250" s="167"/>
      <c r="K250" s="167"/>
      <c r="L250" s="167"/>
      <c r="M250" s="167"/>
      <c r="N250" s="167"/>
      <c r="S250"/>
      <c r="T250"/>
      <c r="U250"/>
      <c r="V250"/>
      <c r="W250"/>
      <c r="X250"/>
      <c r="Y250"/>
    </row>
    <row r="251" spans="3:25" x14ac:dyDescent="0.25">
      <c r="C251"/>
      <c r="D251"/>
      <c r="E251"/>
      <c r="F251"/>
      <c r="G251"/>
      <c r="H251"/>
      <c r="I251" s="167"/>
      <c r="J251" s="167"/>
      <c r="K251" s="167"/>
      <c r="L251" s="167"/>
      <c r="M251" s="167"/>
      <c r="N251" s="167"/>
      <c r="S251"/>
      <c r="T251"/>
      <c r="U251"/>
      <c r="V251"/>
      <c r="W251"/>
      <c r="X251"/>
      <c r="Y251"/>
    </row>
    <row r="252" spans="3:25" x14ac:dyDescent="0.25">
      <c r="C252"/>
      <c r="D252"/>
      <c r="E252"/>
      <c r="F252"/>
      <c r="G252"/>
      <c r="H252"/>
      <c r="I252" s="167"/>
      <c r="J252" s="167"/>
      <c r="K252" s="167"/>
      <c r="L252" s="167"/>
      <c r="M252" s="167"/>
      <c r="N252" s="167"/>
      <c r="S252"/>
      <c r="T252"/>
      <c r="U252"/>
      <c r="V252"/>
      <c r="W252"/>
      <c r="X252"/>
      <c r="Y252"/>
    </row>
    <row r="253" spans="3:25" x14ac:dyDescent="0.25">
      <c r="C253"/>
      <c r="D253"/>
      <c r="E253"/>
      <c r="F253"/>
      <c r="G253"/>
      <c r="H253"/>
      <c r="I253" s="167"/>
      <c r="J253" s="167"/>
      <c r="K253" s="167"/>
      <c r="L253" s="167"/>
      <c r="M253" s="167"/>
      <c r="N253" s="167"/>
      <c r="S253"/>
      <c r="T253"/>
      <c r="U253"/>
      <c r="V253"/>
      <c r="W253"/>
      <c r="X253"/>
      <c r="Y253"/>
    </row>
    <row r="254" spans="3:25" x14ac:dyDescent="0.25">
      <c r="C254"/>
      <c r="D254"/>
      <c r="E254"/>
      <c r="F254"/>
      <c r="G254"/>
      <c r="H254"/>
      <c r="I254" s="167"/>
      <c r="J254" s="167"/>
      <c r="K254" s="167"/>
      <c r="L254" s="167"/>
      <c r="M254" s="167"/>
      <c r="N254" s="167"/>
      <c r="S254"/>
      <c r="T254"/>
      <c r="U254"/>
      <c r="V254"/>
      <c r="W254"/>
      <c r="X254"/>
      <c r="Y254"/>
    </row>
    <row r="255" spans="3:25" x14ac:dyDescent="0.25">
      <c r="C255"/>
      <c r="D255"/>
      <c r="E255"/>
      <c r="F255"/>
      <c r="G255"/>
      <c r="H255"/>
      <c r="I255" s="167"/>
      <c r="J255" s="167"/>
      <c r="K255" s="167"/>
      <c r="L255" s="167"/>
      <c r="M255" s="167"/>
      <c r="N255" s="167"/>
      <c r="S255"/>
      <c r="T255"/>
      <c r="U255"/>
      <c r="V255"/>
      <c r="W255"/>
      <c r="X255"/>
      <c r="Y255"/>
    </row>
    <row r="256" spans="3:25" x14ac:dyDescent="0.25">
      <c r="C256"/>
      <c r="D256"/>
      <c r="E256"/>
      <c r="F256"/>
      <c r="G256"/>
      <c r="H256"/>
      <c r="I256" s="167"/>
      <c r="J256" s="167"/>
      <c r="K256" s="167"/>
      <c r="L256" s="167"/>
      <c r="M256" s="167"/>
      <c r="N256" s="167"/>
      <c r="S256"/>
      <c r="T256"/>
      <c r="U256"/>
      <c r="V256"/>
      <c r="W256"/>
      <c r="X256"/>
      <c r="Y256"/>
    </row>
    <row r="257" spans="3:25" x14ac:dyDescent="0.25">
      <c r="C257"/>
      <c r="D257"/>
      <c r="E257"/>
      <c r="F257"/>
      <c r="G257"/>
      <c r="H257"/>
      <c r="I257" s="167"/>
      <c r="J257" s="167"/>
      <c r="K257" s="167"/>
      <c r="L257" s="167"/>
      <c r="M257" s="167"/>
      <c r="N257" s="167"/>
      <c r="S257"/>
      <c r="T257"/>
      <c r="U257"/>
      <c r="V257"/>
      <c r="W257"/>
      <c r="X257"/>
      <c r="Y257"/>
    </row>
    <row r="258" spans="3:25" x14ac:dyDescent="0.25">
      <c r="C258"/>
      <c r="D258"/>
      <c r="E258"/>
      <c r="F258"/>
      <c r="G258"/>
      <c r="H258"/>
      <c r="I258" s="167"/>
      <c r="J258" s="167"/>
      <c r="K258" s="167"/>
      <c r="L258" s="167"/>
      <c r="M258" s="167"/>
      <c r="N258" s="167"/>
      <c r="S258"/>
      <c r="T258"/>
      <c r="U258"/>
      <c r="V258"/>
      <c r="W258"/>
      <c r="X258"/>
      <c r="Y258"/>
    </row>
    <row r="259" spans="3:25" x14ac:dyDescent="0.25">
      <c r="C259"/>
      <c r="D259"/>
      <c r="E259"/>
      <c r="F259"/>
      <c r="G259"/>
      <c r="H259"/>
      <c r="I259" s="167"/>
      <c r="J259" s="167"/>
      <c r="K259" s="167"/>
      <c r="L259" s="167"/>
      <c r="M259" s="167"/>
      <c r="N259" s="167"/>
      <c r="S259"/>
      <c r="T259"/>
      <c r="U259"/>
      <c r="V259"/>
      <c r="W259"/>
      <c r="X259"/>
      <c r="Y259"/>
    </row>
    <row r="260" spans="3:25" x14ac:dyDescent="0.25">
      <c r="C260"/>
      <c r="D260"/>
      <c r="E260"/>
      <c r="F260"/>
      <c r="G260"/>
      <c r="H260"/>
      <c r="I260" s="167"/>
      <c r="J260" s="167"/>
      <c r="K260" s="167"/>
      <c r="L260" s="167"/>
      <c r="M260" s="167"/>
      <c r="N260" s="167"/>
      <c r="S260"/>
      <c r="T260"/>
      <c r="U260"/>
      <c r="V260"/>
      <c r="W260"/>
      <c r="X260"/>
      <c r="Y260"/>
    </row>
    <row r="261" spans="3:25" x14ac:dyDescent="0.25">
      <c r="C261"/>
      <c r="D261"/>
      <c r="E261"/>
      <c r="F261"/>
      <c r="G261"/>
      <c r="H261"/>
      <c r="I261" s="167"/>
      <c r="J261" s="167"/>
      <c r="K261" s="167"/>
      <c r="L261" s="167"/>
      <c r="M261" s="167"/>
      <c r="N261" s="167"/>
      <c r="S261"/>
      <c r="T261"/>
      <c r="U261"/>
      <c r="V261"/>
      <c r="W261"/>
      <c r="X261"/>
      <c r="Y261"/>
    </row>
    <row r="262" spans="3:25" x14ac:dyDescent="0.25">
      <c r="C262"/>
      <c r="D262"/>
      <c r="E262"/>
      <c r="F262"/>
      <c r="G262"/>
      <c r="H262"/>
      <c r="I262" s="167"/>
      <c r="J262" s="167"/>
      <c r="K262" s="167"/>
      <c r="L262" s="167"/>
      <c r="M262" s="167"/>
      <c r="N262" s="167"/>
      <c r="S262"/>
      <c r="T262"/>
      <c r="U262"/>
      <c r="V262"/>
      <c r="W262"/>
      <c r="X262"/>
      <c r="Y262"/>
    </row>
    <row r="263" spans="3:25" x14ac:dyDescent="0.25">
      <c r="C263"/>
      <c r="D263"/>
      <c r="E263"/>
      <c r="F263"/>
      <c r="G263"/>
      <c r="H263"/>
      <c r="I263" s="167"/>
      <c r="J263" s="167"/>
      <c r="K263" s="167"/>
      <c r="L263" s="167"/>
      <c r="M263" s="167"/>
      <c r="N263" s="167"/>
      <c r="S263"/>
      <c r="T263"/>
      <c r="U263"/>
      <c r="V263"/>
      <c r="W263"/>
      <c r="X263"/>
      <c r="Y263"/>
    </row>
    <row r="264" spans="3:25" x14ac:dyDescent="0.25">
      <c r="C264"/>
      <c r="D264"/>
      <c r="E264"/>
      <c r="F264"/>
      <c r="G264"/>
      <c r="H264"/>
      <c r="I264" s="167"/>
      <c r="J264" s="167"/>
      <c r="K264" s="167"/>
      <c r="L264" s="167"/>
      <c r="M264" s="167"/>
      <c r="N264" s="167"/>
      <c r="S264"/>
      <c r="T264"/>
      <c r="U264"/>
      <c r="V264"/>
      <c r="W264"/>
      <c r="X264"/>
      <c r="Y264"/>
    </row>
    <row r="265" spans="3:25" x14ac:dyDescent="0.25">
      <c r="C265"/>
      <c r="D265"/>
      <c r="E265"/>
      <c r="F265"/>
      <c r="G265"/>
      <c r="H265"/>
      <c r="I265" s="167"/>
      <c r="J265" s="167"/>
      <c r="K265" s="167"/>
      <c r="L265" s="167"/>
      <c r="M265" s="167"/>
      <c r="N265" s="167"/>
      <c r="S265"/>
      <c r="T265"/>
      <c r="U265"/>
      <c r="V265"/>
      <c r="W265"/>
      <c r="X265"/>
      <c r="Y265"/>
    </row>
    <row r="266" spans="3:25" x14ac:dyDescent="0.25">
      <c r="C266"/>
      <c r="D266"/>
      <c r="E266"/>
      <c r="F266"/>
      <c r="G266"/>
      <c r="H266"/>
      <c r="I266" s="167"/>
      <c r="J266" s="167"/>
      <c r="K266" s="167"/>
      <c r="L266" s="167"/>
      <c r="M266" s="167"/>
      <c r="N266" s="167"/>
      <c r="S266"/>
      <c r="T266"/>
      <c r="U266"/>
      <c r="V266"/>
      <c r="W266"/>
      <c r="X266"/>
      <c r="Y266"/>
    </row>
    <row r="267" spans="3:25" x14ac:dyDescent="0.25">
      <c r="C267"/>
      <c r="D267"/>
      <c r="E267"/>
      <c r="F267"/>
      <c r="G267"/>
      <c r="H267"/>
      <c r="I267" s="167"/>
      <c r="J267" s="167"/>
      <c r="K267" s="167"/>
      <c r="L267" s="167"/>
      <c r="M267" s="167"/>
      <c r="N267" s="167"/>
      <c r="S267"/>
      <c r="T267"/>
      <c r="U267"/>
      <c r="V267"/>
      <c r="W267"/>
      <c r="X267"/>
      <c r="Y267"/>
    </row>
    <row r="268" spans="3:25" x14ac:dyDescent="0.25">
      <c r="C268"/>
      <c r="D268"/>
      <c r="E268"/>
      <c r="F268"/>
      <c r="G268"/>
      <c r="H268"/>
      <c r="I268" s="167"/>
      <c r="J268" s="167"/>
      <c r="K268" s="167"/>
      <c r="L268" s="167"/>
      <c r="M268" s="167"/>
      <c r="N268" s="167"/>
      <c r="S268"/>
      <c r="T268"/>
      <c r="U268"/>
      <c r="V268"/>
      <c r="W268"/>
      <c r="X268"/>
      <c r="Y268"/>
    </row>
    <row r="269" spans="3:25" x14ac:dyDescent="0.25">
      <c r="C269"/>
      <c r="D269"/>
      <c r="E269"/>
      <c r="F269"/>
      <c r="G269"/>
      <c r="H269"/>
      <c r="I269" s="167"/>
      <c r="J269" s="167"/>
      <c r="K269" s="167"/>
      <c r="L269" s="167"/>
      <c r="M269" s="167"/>
      <c r="N269" s="167"/>
      <c r="S269"/>
      <c r="T269"/>
      <c r="U269"/>
      <c r="V269"/>
      <c r="W269"/>
      <c r="X269"/>
      <c r="Y269"/>
    </row>
    <row r="270" spans="3:25" x14ac:dyDescent="0.25">
      <c r="C270"/>
      <c r="D270"/>
      <c r="E270"/>
      <c r="F270"/>
      <c r="G270"/>
      <c r="H270"/>
      <c r="I270" s="167"/>
      <c r="J270" s="167"/>
      <c r="K270" s="167"/>
      <c r="L270" s="167"/>
      <c r="M270" s="167"/>
      <c r="N270" s="167"/>
      <c r="S270"/>
      <c r="T270"/>
      <c r="U270"/>
      <c r="V270"/>
      <c r="W270"/>
      <c r="X270"/>
      <c r="Y270"/>
    </row>
    <row r="271" spans="3:25" x14ac:dyDescent="0.25">
      <c r="C271"/>
      <c r="D271"/>
      <c r="E271"/>
      <c r="F271"/>
      <c r="G271"/>
      <c r="H271"/>
      <c r="I271" s="167"/>
      <c r="J271" s="167"/>
      <c r="K271" s="167"/>
      <c r="L271" s="167"/>
      <c r="M271" s="167"/>
      <c r="N271" s="167"/>
      <c r="S271"/>
      <c r="T271"/>
      <c r="U271"/>
      <c r="V271"/>
      <c r="W271"/>
      <c r="X271"/>
      <c r="Y271"/>
    </row>
    <row r="272" spans="3:25" x14ac:dyDescent="0.25">
      <c r="C272"/>
      <c r="D272"/>
      <c r="E272"/>
      <c r="F272"/>
      <c r="G272"/>
      <c r="H272"/>
      <c r="I272" s="167"/>
      <c r="J272" s="167"/>
      <c r="K272" s="167"/>
      <c r="L272" s="167"/>
      <c r="M272" s="167"/>
      <c r="N272" s="167"/>
      <c r="S272"/>
      <c r="T272"/>
      <c r="U272"/>
      <c r="V272"/>
      <c r="W272"/>
      <c r="X272"/>
      <c r="Y272"/>
    </row>
    <row r="273" spans="3:25" x14ac:dyDescent="0.25">
      <c r="C273"/>
      <c r="D273"/>
      <c r="E273"/>
      <c r="F273"/>
      <c r="G273"/>
      <c r="H273"/>
      <c r="I273" s="167"/>
      <c r="J273" s="167"/>
      <c r="K273" s="167"/>
      <c r="L273" s="167"/>
      <c r="M273" s="167"/>
      <c r="N273" s="167"/>
      <c r="S273"/>
      <c r="T273"/>
      <c r="U273"/>
      <c r="V273"/>
      <c r="W273"/>
      <c r="X273"/>
      <c r="Y273"/>
    </row>
    <row r="274" spans="3:25" x14ac:dyDescent="0.25">
      <c r="C274"/>
      <c r="D274"/>
      <c r="E274"/>
      <c r="F274"/>
      <c r="G274"/>
      <c r="H274"/>
      <c r="I274" s="167"/>
      <c r="J274" s="167"/>
      <c r="K274" s="167"/>
      <c r="L274" s="167"/>
      <c r="M274" s="167"/>
      <c r="N274" s="167"/>
      <c r="S274"/>
      <c r="T274"/>
      <c r="U274"/>
      <c r="V274"/>
      <c r="W274"/>
      <c r="X274"/>
      <c r="Y274"/>
    </row>
    <row r="275" spans="3:25" x14ac:dyDescent="0.25">
      <c r="C275"/>
      <c r="D275"/>
      <c r="E275"/>
      <c r="F275"/>
      <c r="G275"/>
      <c r="H275"/>
      <c r="I275" s="167"/>
      <c r="J275" s="167"/>
      <c r="K275" s="167"/>
      <c r="L275" s="167"/>
      <c r="M275" s="167"/>
      <c r="N275" s="167"/>
      <c r="S275"/>
      <c r="T275"/>
      <c r="U275"/>
      <c r="V275"/>
      <c r="W275"/>
      <c r="X275"/>
      <c r="Y275"/>
    </row>
    <row r="276" spans="3:25" x14ac:dyDescent="0.25">
      <c r="C276"/>
      <c r="D276"/>
      <c r="E276"/>
      <c r="F276"/>
      <c r="G276"/>
      <c r="H276"/>
      <c r="I276" s="167"/>
      <c r="J276" s="167"/>
      <c r="K276" s="167"/>
      <c r="L276" s="167"/>
      <c r="M276" s="167"/>
      <c r="N276" s="167"/>
      <c r="S276"/>
      <c r="T276"/>
      <c r="U276"/>
      <c r="V276"/>
      <c r="W276"/>
      <c r="X276"/>
      <c r="Y276"/>
    </row>
    <row r="277" spans="3:25" x14ac:dyDescent="0.25">
      <c r="C277"/>
      <c r="D277"/>
      <c r="E277"/>
      <c r="F277"/>
      <c r="G277"/>
      <c r="H277"/>
      <c r="I277" s="167"/>
      <c r="J277" s="167"/>
      <c r="K277" s="167"/>
      <c r="L277" s="167"/>
      <c r="M277" s="167"/>
      <c r="N277" s="167"/>
      <c r="S277"/>
      <c r="T277"/>
      <c r="U277"/>
      <c r="V277"/>
      <c r="W277"/>
      <c r="X277"/>
      <c r="Y277"/>
    </row>
    <row r="278" spans="3:25" x14ac:dyDescent="0.25">
      <c r="C278"/>
      <c r="D278"/>
      <c r="E278"/>
      <c r="F278"/>
      <c r="G278"/>
      <c r="H278"/>
      <c r="I278" s="167"/>
      <c r="J278" s="167"/>
      <c r="K278" s="167"/>
      <c r="L278" s="167"/>
      <c r="M278" s="167"/>
      <c r="N278" s="167"/>
      <c r="S278"/>
      <c r="T278"/>
      <c r="U278"/>
      <c r="V278"/>
      <c r="W278"/>
      <c r="X278"/>
      <c r="Y278"/>
    </row>
    <row r="279" spans="3:25" x14ac:dyDescent="0.25">
      <c r="C279"/>
      <c r="D279"/>
      <c r="E279"/>
      <c r="F279"/>
      <c r="G279"/>
      <c r="H279"/>
      <c r="I279" s="167"/>
      <c r="J279" s="167"/>
      <c r="K279" s="167"/>
      <c r="L279" s="167"/>
      <c r="M279" s="167"/>
      <c r="N279" s="167"/>
      <c r="S279"/>
      <c r="T279"/>
      <c r="U279"/>
      <c r="V279"/>
      <c r="W279"/>
      <c r="X279"/>
      <c r="Y279"/>
    </row>
    <row r="280" spans="3:25" x14ac:dyDescent="0.25">
      <c r="C280"/>
      <c r="D280"/>
      <c r="E280"/>
      <c r="F280"/>
      <c r="G280"/>
      <c r="H280"/>
      <c r="I280" s="167"/>
      <c r="J280" s="167"/>
      <c r="K280" s="167"/>
      <c r="L280" s="167"/>
      <c r="M280" s="167"/>
      <c r="N280" s="167"/>
      <c r="S280"/>
      <c r="T280"/>
      <c r="U280"/>
      <c r="V280"/>
      <c r="W280"/>
      <c r="X280"/>
      <c r="Y280"/>
    </row>
    <row r="281" spans="3:25" x14ac:dyDescent="0.25">
      <c r="C281"/>
      <c r="D281"/>
      <c r="E281"/>
      <c r="F281"/>
      <c r="G281"/>
      <c r="H281"/>
      <c r="I281" s="167"/>
      <c r="J281" s="167"/>
      <c r="K281" s="167"/>
      <c r="L281" s="167"/>
      <c r="M281" s="167"/>
      <c r="N281" s="167"/>
      <c r="S281"/>
      <c r="T281"/>
      <c r="U281"/>
      <c r="V281"/>
      <c r="W281"/>
      <c r="X281"/>
      <c r="Y281"/>
    </row>
    <row r="282" spans="3:25" x14ac:dyDescent="0.25">
      <c r="C282"/>
      <c r="D282"/>
      <c r="E282"/>
      <c r="F282"/>
      <c r="G282"/>
      <c r="H282"/>
      <c r="I282" s="167"/>
      <c r="J282" s="167"/>
      <c r="K282" s="167"/>
      <c r="L282" s="167"/>
      <c r="M282" s="167"/>
      <c r="N282" s="167"/>
      <c r="S282"/>
      <c r="T282"/>
      <c r="U282"/>
      <c r="V282"/>
      <c r="W282"/>
      <c r="X282"/>
      <c r="Y282"/>
    </row>
    <row r="283" spans="3:25" x14ac:dyDescent="0.25">
      <c r="C283"/>
      <c r="D283"/>
      <c r="E283"/>
      <c r="F283"/>
      <c r="G283"/>
      <c r="H283"/>
      <c r="I283" s="167"/>
      <c r="J283" s="167"/>
      <c r="K283" s="167"/>
      <c r="L283" s="167"/>
      <c r="M283" s="167"/>
      <c r="N283" s="167"/>
      <c r="S283"/>
      <c r="T283"/>
      <c r="U283"/>
      <c r="V283"/>
      <c r="W283"/>
      <c r="X283"/>
      <c r="Y283"/>
    </row>
    <row r="284" spans="3:25" x14ac:dyDescent="0.25">
      <c r="C284"/>
      <c r="D284"/>
      <c r="E284"/>
      <c r="F284"/>
      <c r="G284"/>
      <c r="H284"/>
      <c r="I284" s="167"/>
      <c r="J284" s="167"/>
      <c r="K284" s="167"/>
      <c r="L284" s="167"/>
      <c r="M284" s="167"/>
      <c r="N284" s="167"/>
      <c r="S284"/>
      <c r="T284"/>
      <c r="U284"/>
      <c r="V284"/>
      <c r="W284"/>
      <c r="X284"/>
      <c r="Y284"/>
    </row>
    <row r="285" spans="3:25" x14ac:dyDescent="0.25">
      <c r="C285"/>
      <c r="D285"/>
      <c r="E285"/>
      <c r="F285"/>
      <c r="G285"/>
      <c r="H285"/>
      <c r="I285" s="167"/>
      <c r="J285" s="167"/>
      <c r="K285" s="167"/>
      <c r="L285" s="167"/>
      <c r="M285" s="167"/>
      <c r="N285" s="167"/>
      <c r="S285"/>
      <c r="T285"/>
      <c r="U285"/>
      <c r="V285"/>
      <c r="W285"/>
      <c r="X285"/>
      <c r="Y285"/>
    </row>
    <row r="286" spans="3:25" x14ac:dyDescent="0.25">
      <c r="C286"/>
      <c r="D286"/>
      <c r="E286"/>
      <c r="F286"/>
      <c r="G286"/>
      <c r="H286"/>
      <c r="I286" s="167"/>
      <c r="J286" s="167"/>
      <c r="K286" s="167"/>
      <c r="L286" s="167"/>
      <c r="M286" s="167"/>
      <c r="N286" s="167"/>
      <c r="S286"/>
      <c r="T286"/>
      <c r="U286"/>
      <c r="V286"/>
      <c r="W286"/>
      <c r="X286"/>
      <c r="Y286"/>
    </row>
    <row r="287" spans="3:25" x14ac:dyDescent="0.25">
      <c r="C287"/>
      <c r="D287"/>
      <c r="E287"/>
      <c r="F287"/>
      <c r="G287"/>
      <c r="H287"/>
      <c r="I287" s="167"/>
      <c r="J287" s="167"/>
      <c r="K287" s="167"/>
      <c r="L287" s="167"/>
      <c r="M287" s="167"/>
      <c r="N287" s="167"/>
      <c r="S287"/>
      <c r="T287"/>
      <c r="U287"/>
      <c r="V287"/>
      <c r="W287"/>
      <c r="X287"/>
      <c r="Y287"/>
    </row>
    <row r="288" spans="3:25" x14ac:dyDescent="0.25">
      <c r="C288"/>
      <c r="D288"/>
      <c r="E288"/>
      <c r="F288"/>
      <c r="G288"/>
      <c r="H288"/>
      <c r="I288" s="167"/>
      <c r="J288" s="167"/>
      <c r="K288" s="167"/>
      <c r="L288" s="167"/>
      <c r="M288" s="167"/>
      <c r="N288" s="167"/>
      <c r="S288"/>
      <c r="T288"/>
      <c r="U288"/>
      <c r="V288"/>
      <c r="W288"/>
      <c r="X288"/>
      <c r="Y288"/>
    </row>
    <row r="289" spans="3:25" x14ac:dyDescent="0.25">
      <c r="C289"/>
      <c r="D289"/>
      <c r="E289"/>
      <c r="F289"/>
      <c r="G289"/>
      <c r="H289"/>
      <c r="I289" s="167"/>
      <c r="J289" s="167"/>
      <c r="K289" s="167"/>
      <c r="L289" s="167"/>
      <c r="M289" s="167"/>
      <c r="N289" s="167"/>
      <c r="S289"/>
      <c r="T289"/>
      <c r="U289"/>
      <c r="V289"/>
      <c r="W289"/>
      <c r="X289"/>
      <c r="Y289"/>
    </row>
    <row r="290" spans="3:25" x14ac:dyDescent="0.25">
      <c r="C290"/>
      <c r="D290"/>
      <c r="E290"/>
      <c r="F290"/>
      <c r="G290"/>
      <c r="H290"/>
      <c r="I290" s="167"/>
      <c r="J290" s="167"/>
      <c r="K290" s="167"/>
      <c r="L290" s="167"/>
      <c r="M290" s="167"/>
      <c r="N290" s="167"/>
      <c r="S290"/>
      <c r="T290"/>
      <c r="U290"/>
      <c r="V290"/>
      <c r="W290"/>
      <c r="X290"/>
      <c r="Y290"/>
    </row>
    <row r="291" spans="3:25" x14ac:dyDescent="0.25">
      <c r="C291"/>
      <c r="G291" s="16"/>
      <c r="H291"/>
      <c r="I291" s="167"/>
      <c r="J291" s="167"/>
      <c r="K291" s="171"/>
      <c r="L291" s="167"/>
      <c r="M291" s="167"/>
      <c r="N291" s="167"/>
      <c r="S291"/>
      <c r="T291"/>
      <c r="U291"/>
      <c r="V291"/>
      <c r="W291"/>
      <c r="X291"/>
      <c r="Y291"/>
    </row>
    <row r="292" spans="3:25" x14ac:dyDescent="0.25">
      <c r="C292"/>
      <c r="G292" s="16"/>
      <c r="H292"/>
      <c r="I292" s="167"/>
      <c r="J292" s="167"/>
      <c r="K292" s="171"/>
      <c r="L292" s="167"/>
      <c r="M292" s="167"/>
      <c r="N292" s="167"/>
      <c r="S292"/>
      <c r="T292"/>
      <c r="U292"/>
      <c r="V292"/>
      <c r="W292"/>
      <c r="X292"/>
      <c r="Y292"/>
    </row>
    <row r="293" spans="3:25" x14ac:dyDescent="0.25">
      <c r="C293"/>
      <c r="G293" s="16"/>
      <c r="H293"/>
      <c r="I293" s="167"/>
      <c r="J293" s="167"/>
      <c r="K293" s="171"/>
      <c r="L293" s="167"/>
      <c r="M293" s="167"/>
      <c r="N293" s="167"/>
      <c r="S293"/>
      <c r="T293"/>
      <c r="U293"/>
      <c r="V293"/>
      <c r="W293"/>
      <c r="X293"/>
      <c r="Y293"/>
    </row>
    <row r="294" spans="3:25" x14ac:dyDescent="0.25">
      <c r="C294"/>
      <c r="G294" s="16"/>
      <c r="H294"/>
      <c r="I294" s="167"/>
      <c r="J294" s="167"/>
      <c r="K294" s="171"/>
      <c r="L294" s="167"/>
      <c r="M294" s="167"/>
      <c r="N294" s="167"/>
      <c r="S294"/>
      <c r="T294"/>
      <c r="U294"/>
      <c r="V294"/>
      <c r="W294"/>
      <c r="X294"/>
      <c r="Y294"/>
    </row>
    <row r="295" spans="3:25" x14ac:dyDescent="0.25">
      <c r="C295"/>
      <c r="G295" s="16"/>
      <c r="H295"/>
      <c r="I295" s="167"/>
      <c r="J295" s="167"/>
      <c r="K295" s="171"/>
      <c r="L295" s="167"/>
      <c r="M295" s="167"/>
      <c r="N295" s="167"/>
      <c r="S295"/>
      <c r="T295"/>
      <c r="U295"/>
      <c r="V295"/>
      <c r="W295"/>
      <c r="X295"/>
      <c r="Y295"/>
    </row>
    <row r="296" spans="3:25" x14ac:dyDescent="0.25">
      <c r="C296"/>
      <c r="G296" s="16"/>
      <c r="H296"/>
      <c r="I296" s="167"/>
      <c r="J296" s="167"/>
      <c r="K296" s="171"/>
      <c r="L296" s="167"/>
      <c r="M296" s="167"/>
      <c r="N296" s="167"/>
      <c r="S296"/>
      <c r="T296"/>
      <c r="U296"/>
      <c r="V296"/>
      <c r="W296"/>
      <c r="X296"/>
      <c r="Y296"/>
    </row>
    <row r="297" spans="3:25" x14ac:dyDescent="0.25">
      <c r="C297"/>
      <c r="G297" s="16"/>
      <c r="H297"/>
      <c r="I297" s="167"/>
      <c r="J297" s="167"/>
      <c r="K297" s="171"/>
      <c r="L297" s="167"/>
      <c r="M297" s="167"/>
      <c r="N297" s="167"/>
      <c r="S297"/>
      <c r="T297"/>
      <c r="U297"/>
      <c r="V297"/>
      <c r="W297"/>
      <c r="X297"/>
      <c r="Y297"/>
    </row>
    <row r="298" spans="3:25" x14ac:dyDescent="0.25">
      <c r="C298"/>
      <c r="G298" s="16"/>
      <c r="H298"/>
      <c r="I298" s="167"/>
      <c r="J298" s="167"/>
      <c r="K298" s="171"/>
      <c r="L298" s="167"/>
      <c r="M298" s="167"/>
      <c r="N298" s="167"/>
      <c r="S298"/>
      <c r="T298"/>
      <c r="U298"/>
      <c r="V298"/>
      <c r="W298"/>
      <c r="X298"/>
      <c r="Y298"/>
    </row>
    <row r="299" spans="3:25" x14ac:dyDescent="0.25">
      <c r="C299"/>
      <c r="G299" s="16"/>
      <c r="H299"/>
      <c r="I299" s="167"/>
      <c r="J299" s="167"/>
      <c r="K299" s="171"/>
      <c r="L299" s="167"/>
      <c r="M299" s="167"/>
      <c r="N299" s="167"/>
      <c r="S299"/>
      <c r="T299"/>
      <c r="U299"/>
      <c r="V299"/>
      <c r="W299"/>
      <c r="X299"/>
      <c r="Y299"/>
    </row>
    <row r="300" spans="3:25" x14ac:dyDescent="0.25">
      <c r="C300"/>
      <c r="G300" s="16"/>
      <c r="H300"/>
      <c r="I300" s="167"/>
      <c r="J300" s="167"/>
      <c r="K300" s="171"/>
      <c r="L300" s="167"/>
      <c r="M300" s="167"/>
      <c r="N300" s="167"/>
      <c r="S300"/>
      <c r="T300"/>
      <c r="U300"/>
      <c r="V300"/>
      <c r="W300"/>
      <c r="X300"/>
      <c r="Y300"/>
    </row>
    <row r="301" spans="3:25" x14ac:dyDescent="0.25">
      <c r="C301"/>
      <c r="G301" s="16"/>
      <c r="H301"/>
      <c r="I301" s="167"/>
      <c r="J301" s="167"/>
      <c r="K301" s="171"/>
      <c r="L301" s="167"/>
      <c r="M301" s="167"/>
      <c r="N301" s="167"/>
      <c r="S301"/>
      <c r="T301"/>
      <c r="U301"/>
      <c r="V301"/>
      <c r="W301"/>
      <c r="X301"/>
      <c r="Y301"/>
    </row>
    <row r="302" spans="3:25" x14ac:dyDescent="0.25">
      <c r="C302"/>
      <c r="G302" s="16"/>
      <c r="H302"/>
      <c r="I302" s="167"/>
      <c r="J302" s="167"/>
      <c r="K302" s="171"/>
      <c r="L302" s="167"/>
      <c r="M302" s="167"/>
      <c r="N302" s="167"/>
      <c r="S302"/>
      <c r="T302"/>
      <c r="U302"/>
      <c r="V302"/>
      <c r="W302"/>
      <c r="X302"/>
      <c r="Y302"/>
    </row>
    <row r="303" spans="3:25" x14ac:dyDescent="0.25">
      <c r="C303"/>
      <c r="G303" s="16"/>
      <c r="H303"/>
      <c r="I303" s="167"/>
      <c r="J303" s="167"/>
      <c r="K303" s="171"/>
      <c r="L303" s="167"/>
      <c r="M303" s="167"/>
      <c r="N303" s="167"/>
      <c r="S303"/>
      <c r="T303"/>
      <c r="U303"/>
      <c r="V303"/>
      <c r="W303"/>
      <c r="X303"/>
      <c r="Y303"/>
    </row>
    <row r="304" spans="3:25" x14ac:dyDescent="0.25">
      <c r="C304"/>
      <c r="G304" s="16"/>
      <c r="H304"/>
      <c r="I304" s="167"/>
      <c r="J304" s="167"/>
      <c r="K304" s="171"/>
      <c r="L304" s="167"/>
      <c r="M304" s="167"/>
      <c r="N304" s="167"/>
      <c r="S304"/>
      <c r="T304"/>
      <c r="U304"/>
      <c r="V304"/>
      <c r="W304"/>
      <c r="X304"/>
      <c r="Y304"/>
    </row>
    <row r="305" spans="3:25" x14ac:dyDescent="0.25">
      <c r="C305"/>
      <c r="G305" s="16"/>
      <c r="H305"/>
      <c r="I305" s="167"/>
      <c r="J305" s="167"/>
      <c r="K305" s="171"/>
      <c r="L305" s="167"/>
      <c r="M305" s="167"/>
      <c r="N305" s="167"/>
      <c r="S305"/>
      <c r="T305"/>
      <c r="U305"/>
      <c r="V305"/>
      <c r="W305"/>
      <c r="X305"/>
      <c r="Y305"/>
    </row>
    <row r="306" spans="3:25" x14ac:dyDescent="0.25">
      <c r="C306"/>
      <c r="G306" s="16"/>
      <c r="H306"/>
      <c r="I306" s="167"/>
      <c r="J306" s="167"/>
      <c r="K306" s="171"/>
      <c r="L306" s="167"/>
      <c r="M306" s="167"/>
      <c r="N306" s="167"/>
      <c r="S306"/>
      <c r="T306"/>
      <c r="U306"/>
      <c r="V306"/>
      <c r="W306"/>
      <c r="X306"/>
      <c r="Y306"/>
    </row>
    <row r="307" spans="3:25" x14ac:dyDescent="0.25">
      <c r="C307"/>
      <c r="G307" s="16"/>
      <c r="H307"/>
      <c r="I307" s="167"/>
      <c r="J307" s="167"/>
      <c r="K307" s="171"/>
      <c r="L307" s="167"/>
      <c r="M307" s="167"/>
      <c r="N307" s="167"/>
      <c r="S307"/>
      <c r="T307"/>
      <c r="U307"/>
      <c r="V307"/>
      <c r="W307"/>
      <c r="X307"/>
      <c r="Y307"/>
    </row>
    <row r="308" spans="3:25" x14ac:dyDescent="0.25">
      <c r="C308"/>
      <c r="G308" s="16"/>
      <c r="H308"/>
      <c r="I308" s="167"/>
      <c r="J308" s="167"/>
      <c r="K308" s="171"/>
      <c r="L308" s="167"/>
      <c r="M308" s="167"/>
      <c r="N308" s="167"/>
      <c r="S308"/>
      <c r="T308"/>
      <c r="U308"/>
      <c r="V308"/>
      <c r="W308"/>
      <c r="X308"/>
      <c r="Y308"/>
    </row>
    <row r="309" spans="3:25" x14ac:dyDescent="0.25">
      <c r="C309"/>
      <c r="G309" s="16"/>
      <c r="H309"/>
      <c r="I309" s="167"/>
      <c r="J309" s="167"/>
      <c r="K309" s="171"/>
      <c r="L309" s="167"/>
      <c r="M309" s="167"/>
      <c r="N309" s="167"/>
      <c r="S309"/>
      <c r="T309"/>
      <c r="U309"/>
      <c r="V309"/>
      <c r="W309"/>
      <c r="X309"/>
      <c r="Y309"/>
    </row>
    <row r="310" spans="3:25" x14ac:dyDescent="0.25">
      <c r="C310"/>
      <c r="G310" s="16"/>
      <c r="H310"/>
      <c r="I310" s="167"/>
      <c r="J310" s="167"/>
      <c r="K310" s="171"/>
      <c r="L310" s="167"/>
      <c r="M310" s="167"/>
      <c r="N310" s="167"/>
      <c r="S310"/>
      <c r="T310"/>
      <c r="U310"/>
      <c r="V310"/>
      <c r="W310"/>
      <c r="X310"/>
      <c r="Y310"/>
    </row>
    <row r="311" spans="3:25" x14ac:dyDescent="0.25">
      <c r="C311"/>
      <c r="G311" s="16"/>
      <c r="H311"/>
      <c r="I311" s="167"/>
      <c r="J311" s="167"/>
      <c r="K311" s="171"/>
      <c r="L311" s="167"/>
      <c r="M311" s="167"/>
      <c r="N311" s="167"/>
      <c r="S311"/>
      <c r="T311"/>
      <c r="U311"/>
      <c r="V311"/>
      <c r="W311"/>
      <c r="X311"/>
      <c r="Y311"/>
    </row>
    <row r="312" spans="3:25" x14ac:dyDescent="0.25">
      <c r="C312"/>
      <c r="G312" s="16"/>
      <c r="H312"/>
      <c r="I312" s="167"/>
      <c r="J312" s="167"/>
      <c r="K312" s="171"/>
      <c r="L312" s="167"/>
      <c r="M312" s="167"/>
      <c r="N312" s="167"/>
      <c r="S312"/>
      <c r="T312"/>
      <c r="U312"/>
      <c r="V312"/>
      <c r="W312"/>
      <c r="X312"/>
      <c r="Y312"/>
    </row>
    <row r="313" spans="3:25" x14ac:dyDescent="0.25">
      <c r="C313"/>
      <c r="G313" s="16"/>
      <c r="H313"/>
      <c r="I313" s="167"/>
      <c r="J313" s="167"/>
      <c r="K313" s="171"/>
      <c r="L313" s="167"/>
      <c r="M313" s="167"/>
      <c r="N313" s="167"/>
      <c r="S313"/>
      <c r="T313"/>
      <c r="U313"/>
      <c r="V313"/>
      <c r="W313"/>
      <c r="X313"/>
      <c r="Y313"/>
    </row>
    <row r="314" spans="3:25" x14ac:dyDescent="0.25">
      <c r="C314"/>
      <c r="G314" s="16"/>
      <c r="H314"/>
      <c r="I314" s="167"/>
      <c r="J314" s="167"/>
      <c r="K314" s="171"/>
      <c r="L314" s="167"/>
      <c r="M314" s="167"/>
      <c r="N314" s="167"/>
      <c r="S314"/>
      <c r="T314"/>
      <c r="U314"/>
      <c r="V314"/>
      <c r="W314"/>
      <c r="X314"/>
      <c r="Y314"/>
    </row>
    <row r="315" spans="3:25" x14ac:dyDescent="0.25">
      <c r="C315"/>
      <c r="G315" s="16"/>
      <c r="H315"/>
      <c r="I315" s="167"/>
      <c r="J315" s="167"/>
      <c r="K315" s="171"/>
      <c r="L315" s="167"/>
      <c r="M315" s="167"/>
      <c r="N315" s="167"/>
      <c r="S315"/>
      <c r="T315"/>
      <c r="U315"/>
      <c r="V315"/>
      <c r="W315"/>
      <c r="X315"/>
      <c r="Y315"/>
    </row>
    <row r="316" spans="3:25" x14ac:dyDescent="0.25">
      <c r="C316"/>
      <c r="G316" s="16"/>
      <c r="H316"/>
      <c r="I316" s="167"/>
      <c r="J316" s="167"/>
      <c r="K316" s="171"/>
      <c r="L316" s="167"/>
      <c r="M316" s="167"/>
      <c r="N316" s="167"/>
      <c r="S316"/>
      <c r="T316"/>
      <c r="U316"/>
      <c r="V316"/>
      <c r="W316"/>
      <c r="X316"/>
      <c r="Y316"/>
    </row>
    <row r="317" spans="3:25" x14ac:dyDescent="0.25">
      <c r="C317"/>
      <c r="G317" s="16"/>
      <c r="H317"/>
      <c r="I317" s="167"/>
      <c r="J317" s="167"/>
      <c r="K317" s="171"/>
      <c r="L317" s="167"/>
      <c r="M317" s="167"/>
      <c r="N317" s="167"/>
      <c r="S317"/>
      <c r="T317"/>
      <c r="U317"/>
      <c r="V317"/>
      <c r="W317"/>
      <c r="X317"/>
      <c r="Y317"/>
    </row>
    <row r="318" spans="3:25" x14ac:dyDescent="0.25">
      <c r="C318"/>
      <c r="G318" s="16"/>
      <c r="H318"/>
      <c r="I318" s="167"/>
      <c r="J318" s="167"/>
      <c r="K318" s="171"/>
      <c r="L318" s="167"/>
      <c r="M318" s="167"/>
      <c r="N318" s="167"/>
      <c r="S318"/>
      <c r="T318"/>
      <c r="U318"/>
      <c r="V318"/>
      <c r="W318"/>
      <c r="X318"/>
      <c r="Y318"/>
    </row>
    <row r="319" spans="3:25" x14ac:dyDescent="0.25">
      <c r="C319"/>
      <c r="G319" s="16"/>
      <c r="H319"/>
      <c r="I319" s="167"/>
      <c r="J319" s="167"/>
      <c r="K319" s="171"/>
      <c r="L319" s="167"/>
      <c r="M319" s="167"/>
      <c r="N319" s="167"/>
      <c r="S319"/>
      <c r="T319"/>
      <c r="U319"/>
      <c r="V319"/>
      <c r="W319"/>
      <c r="X319"/>
      <c r="Y319"/>
    </row>
    <row r="320" spans="3:25" x14ac:dyDescent="0.25">
      <c r="C320"/>
      <c r="G320" s="16"/>
      <c r="H320"/>
      <c r="I320" s="167"/>
      <c r="J320" s="167"/>
      <c r="K320" s="171"/>
      <c r="L320" s="167"/>
      <c r="M320" s="167"/>
      <c r="N320" s="167"/>
      <c r="S320"/>
      <c r="T320"/>
      <c r="U320"/>
      <c r="V320"/>
      <c r="W320"/>
      <c r="X320"/>
      <c r="Y320"/>
    </row>
    <row r="321" spans="3:25" x14ac:dyDescent="0.25">
      <c r="C321"/>
      <c r="G321" s="16"/>
      <c r="H321"/>
      <c r="I321" s="167"/>
      <c r="J321" s="167"/>
      <c r="K321" s="171"/>
      <c r="L321" s="167"/>
      <c r="M321" s="167"/>
      <c r="N321" s="167"/>
      <c r="S321"/>
      <c r="T321"/>
      <c r="U321"/>
      <c r="V321"/>
      <c r="W321"/>
      <c r="X321"/>
      <c r="Y321"/>
    </row>
    <row r="322" spans="3:25" x14ac:dyDescent="0.25">
      <c r="C322"/>
      <c r="G322" s="16"/>
      <c r="H322"/>
      <c r="I322" s="167"/>
      <c r="J322" s="167"/>
      <c r="K322" s="171"/>
      <c r="L322" s="167"/>
      <c r="M322" s="167"/>
      <c r="N322" s="167"/>
      <c r="S322"/>
      <c r="T322"/>
      <c r="U322"/>
      <c r="V322"/>
      <c r="W322"/>
      <c r="X322"/>
      <c r="Y322"/>
    </row>
    <row r="323" spans="3:25" x14ac:dyDescent="0.25">
      <c r="C323"/>
      <c r="G323" s="16"/>
      <c r="H323"/>
      <c r="I323" s="167"/>
      <c r="J323" s="167"/>
      <c r="K323" s="171"/>
      <c r="L323" s="167"/>
      <c r="M323" s="167"/>
      <c r="N323" s="167"/>
      <c r="S323"/>
      <c r="T323"/>
      <c r="U323"/>
      <c r="V323"/>
      <c r="W323"/>
      <c r="X323"/>
      <c r="Y323"/>
    </row>
    <row r="324" spans="3:25" x14ac:dyDescent="0.25">
      <c r="C324"/>
      <c r="G324" s="16"/>
      <c r="H324"/>
      <c r="I324" s="167"/>
      <c r="J324" s="167"/>
      <c r="K324" s="171"/>
      <c r="L324" s="167"/>
      <c r="M324" s="167"/>
      <c r="N324" s="167"/>
      <c r="S324"/>
      <c r="T324"/>
      <c r="U324"/>
      <c r="V324"/>
      <c r="W324"/>
      <c r="X324"/>
      <c r="Y324"/>
    </row>
    <row r="325" spans="3:25" x14ac:dyDescent="0.25">
      <c r="C325"/>
      <c r="G325" s="16"/>
      <c r="H325"/>
      <c r="I325" s="167"/>
      <c r="J325" s="167"/>
      <c r="K325" s="171"/>
      <c r="L325" s="167"/>
      <c r="M325" s="167"/>
      <c r="N325" s="167"/>
      <c r="S325"/>
      <c r="T325"/>
      <c r="U325"/>
      <c r="V325"/>
      <c r="W325"/>
      <c r="X325"/>
      <c r="Y325"/>
    </row>
    <row r="326" spans="3:25" x14ac:dyDescent="0.25">
      <c r="C326"/>
      <c r="G326" s="16"/>
      <c r="H326"/>
      <c r="I326" s="167"/>
      <c r="J326" s="167"/>
      <c r="K326" s="171"/>
      <c r="L326" s="167"/>
      <c r="M326" s="167"/>
      <c r="N326" s="167"/>
      <c r="S326"/>
      <c r="T326"/>
      <c r="U326"/>
      <c r="V326"/>
      <c r="W326"/>
      <c r="X326"/>
      <c r="Y326"/>
    </row>
    <row r="327" spans="3:25" x14ac:dyDescent="0.25">
      <c r="C327"/>
      <c r="G327" s="16"/>
      <c r="H327"/>
      <c r="I327" s="167"/>
      <c r="J327" s="167"/>
      <c r="K327" s="171"/>
      <c r="L327" s="167"/>
      <c r="M327" s="167"/>
      <c r="N327" s="167"/>
      <c r="S327"/>
      <c r="T327"/>
      <c r="U327"/>
      <c r="V327"/>
      <c r="W327"/>
      <c r="X327"/>
      <c r="Y327"/>
    </row>
    <row r="328" spans="3:25" x14ac:dyDescent="0.25">
      <c r="C328"/>
      <c r="G328" s="16"/>
      <c r="H328"/>
      <c r="I328" s="167"/>
      <c r="J328" s="167"/>
      <c r="K328" s="171"/>
      <c r="L328" s="167"/>
      <c r="M328" s="167"/>
      <c r="N328" s="167"/>
      <c r="S328"/>
      <c r="T328"/>
      <c r="U328"/>
      <c r="V328"/>
      <c r="W328"/>
      <c r="X328"/>
      <c r="Y328"/>
    </row>
    <row r="329" spans="3:25" x14ac:dyDescent="0.25">
      <c r="C329"/>
      <c r="G329" s="16"/>
      <c r="H329"/>
      <c r="I329" s="167"/>
      <c r="J329" s="167"/>
      <c r="K329" s="171"/>
      <c r="L329" s="167"/>
      <c r="M329" s="167"/>
      <c r="N329" s="167"/>
      <c r="S329"/>
      <c r="T329"/>
      <c r="U329"/>
      <c r="V329"/>
      <c r="W329"/>
      <c r="X329"/>
      <c r="Y329"/>
    </row>
    <row r="330" spans="3:25" x14ac:dyDescent="0.25">
      <c r="C330"/>
      <c r="G330" s="16"/>
      <c r="H330"/>
      <c r="I330" s="167"/>
      <c r="J330" s="167"/>
      <c r="K330" s="171"/>
      <c r="L330" s="167"/>
      <c r="M330" s="167"/>
      <c r="N330" s="167"/>
      <c r="S330"/>
      <c r="T330"/>
      <c r="U330"/>
      <c r="V330"/>
      <c r="W330"/>
      <c r="X330"/>
      <c r="Y330"/>
    </row>
    <row r="331" spans="3:25" x14ac:dyDescent="0.25">
      <c r="C331"/>
      <c r="G331" s="16"/>
      <c r="H331"/>
      <c r="I331" s="167"/>
      <c r="J331" s="167"/>
      <c r="K331" s="171"/>
      <c r="L331" s="167"/>
      <c r="M331" s="167"/>
      <c r="N331" s="167"/>
      <c r="S331"/>
      <c r="T331"/>
      <c r="U331"/>
      <c r="V331"/>
      <c r="W331"/>
      <c r="X331"/>
      <c r="Y331"/>
    </row>
    <row r="332" spans="3:25" x14ac:dyDescent="0.25">
      <c r="C332"/>
      <c r="G332" s="16"/>
      <c r="H332"/>
      <c r="I332" s="167"/>
      <c r="J332" s="167"/>
      <c r="K332" s="171"/>
      <c r="L332" s="167"/>
      <c r="M332" s="167"/>
      <c r="N332" s="167"/>
      <c r="S332"/>
      <c r="T332"/>
      <c r="U332"/>
      <c r="V332"/>
      <c r="W332"/>
      <c r="X332"/>
      <c r="Y332"/>
    </row>
    <row r="333" spans="3:25" x14ac:dyDescent="0.25">
      <c r="C333"/>
      <c r="G333" s="16"/>
      <c r="H333"/>
      <c r="I333" s="167"/>
      <c r="J333" s="167"/>
      <c r="K333" s="171"/>
      <c r="L333" s="167"/>
      <c r="M333" s="167"/>
      <c r="N333" s="167"/>
      <c r="S333"/>
      <c r="T333"/>
      <c r="U333"/>
      <c r="V333"/>
      <c r="W333"/>
      <c r="X333"/>
      <c r="Y333"/>
    </row>
    <row r="334" spans="3:25" x14ac:dyDescent="0.25">
      <c r="C334"/>
      <c r="G334" s="16"/>
      <c r="H334"/>
      <c r="I334" s="167"/>
      <c r="J334" s="167"/>
      <c r="K334" s="171"/>
      <c r="L334" s="167"/>
      <c r="M334" s="167"/>
      <c r="N334" s="167"/>
      <c r="S334"/>
      <c r="T334"/>
      <c r="U334"/>
      <c r="V334"/>
      <c r="W334"/>
      <c r="X334"/>
      <c r="Y334"/>
    </row>
    <row r="335" spans="3:25" x14ac:dyDescent="0.25">
      <c r="C335"/>
      <c r="G335" s="16"/>
      <c r="H335"/>
      <c r="I335" s="167"/>
      <c r="J335" s="167"/>
      <c r="K335" s="171"/>
      <c r="L335" s="167"/>
      <c r="M335" s="167"/>
      <c r="N335" s="167"/>
      <c r="S335"/>
      <c r="T335"/>
      <c r="U335"/>
      <c r="V335"/>
      <c r="W335"/>
      <c r="X335"/>
      <c r="Y335"/>
    </row>
    <row r="336" spans="3:25" x14ac:dyDescent="0.25">
      <c r="C336"/>
      <c r="G336" s="16"/>
      <c r="H336"/>
      <c r="I336" s="167"/>
      <c r="J336" s="167"/>
      <c r="K336" s="171"/>
      <c r="L336" s="167"/>
      <c r="M336" s="167"/>
      <c r="N336" s="167"/>
      <c r="S336"/>
      <c r="T336"/>
      <c r="U336"/>
      <c r="V336"/>
      <c r="W336"/>
      <c r="X336"/>
      <c r="Y336"/>
    </row>
    <row r="337" spans="3:25" x14ac:dyDescent="0.25">
      <c r="C337"/>
      <c r="G337" s="16"/>
      <c r="H337"/>
      <c r="I337" s="167"/>
      <c r="J337" s="167"/>
      <c r="K337" s="171"/>
      <c r="L337" s="167"/>
      <c r="M337" s="167"/>
      <c r="N337" s="167"/>
      <c r="S337"/>
      <c r="T337"/>
      <c r="U337"/>
      <c r="V337"/>
      <c r="W337"/>
      <c r="X337"/>
      <c r="Y337"/>
    </row>
    <row r="338" spans="3:25" x14ac:dyDescent="0.25">
      <c r="C338"/>
      <c r="G338" s="16"/>
      <c r="H338"/>
      <c r="I338" s="167"/>
      <c r="J338" s="167"/>
      <c r="K338" s="171"/>
      <c r="L338" s="167"/>
      <c r="M338" s="167"/>
      <c r="N338" s="167"/>
      <c r="S338"/>
      <c r="T338"/>
      <c r="U338"/>
      <c r="V338"/>
      <c r="W338"/>
      <c r="X338"/>
      <c r="Y338"/>
    </row>
    <row r="339" spans="3:25" x14ac:dyDescent="0.25">
      <c r="C339"/>
      <c r="G339" s="16"/>
      <c r="H339"/>
      <c r="I339" s="167"/>
      <c r="J339" s="167"/>
      <c r="K339" s="171"/>
      <c r="L339" s="167"/>
      <c r="M339" s="167"/>
      <c r="N339" s="167"/>
      <c r="S339"/>
      <c r="T339"/>
      <c r="U339"/>
      <c r="V339"/>
      <c r="W339"/>
      <c r="X339"/>
      <c r="Y339"/>
    </row>
    <row r="340" spans="3:25" x14ac:dyDescent="0.25">
      <c r="C340"/>
      <c r="G340" s="16"/>
      <c r="H340"/>
      <c r="I340" s="167"/>
      <c r="J340" s="167"/>
      <c r="K340" s="171"/>
      <c r="L340" s="167"/>
      <c r="M340" s="167"/>
      <c r="N340" s="167"/>
      <c r="S340"/>
      <c r="T340"/>
      <c r="U340"/>
      <c r="V340"/>
      <c r="W340"/>
      <c r="X340"/>
      <c r="Y340"/>
    </row>
    <row r="341" spans="3:25" x14ac:dyDescent="0.25">
      <c r="C341"/>
      <c r="G341" s="16"/>
      <c r="H341"/>
      <c r="I341" s="167"/>
      <c r="J341" s="167"/>
      <c r="K341" s="171"/>
      <c r="L341" s="167"/>
      <c r="M341" s="167"/>
      <c r="N341" s="167"/>
      <c r="S341"/>
      <c r="T341"/>
      <c r="U341"/>
      <c r="V341"/>
      <c r="W341"/>
      <c r="X341"/>
      <c r="Y341"/>
    </row>
    <row r="342" spans="3:25" x14ac:dyDescent="0.25">
      <c r="C342"/>
      <c r="G342" s="16"/>
      <c r="H342"/>
      <c r="I342" s="167"/>
      <c r="J342" s="167"/>
      <c r="K342" s="171"/>
      <c r="L342" s="167"/>
      <c r="M342" s="167"/>
      <c r="N342" s="167"/>
      <c r="S342"/>
      <c r="T342"/>
      <c r="U342"/>
      <c r="V342"/>
      <c r="W342"/>
      <c r="X342"/>
      <c r="Y342"/>
    </row>
    <row r="343" spans="3:25" x14ac:dyDescent="0.25">
      <c r="C343"/>
      <c r="G343" s="16"/>
      <c r="H343"/>
      <c r="I343" s="167"/>
      <c r="J343" s="167"/>
      <c r="K343" s="171"/>
      <c r="L343" s="167"/>
      <c r="M343" s="167"/>
      <c r="N343" s="167"/>
      <c r="S343"/>
      <c r="T343"/>
      <c r="U343"/>
      <c r="V343"/>
      <c r="W343"/>
      <c r="X343"/>
      <c r="Y343"/>
    </row>
    <row r="344" spans="3:25" x14ac:dyDescent="0.25">
      <c r="C344"/>
      <c r="G344" s="16"/>
      <c r="H344"/>
      <c r="I344" s="167"/>
      <c r="J344" s="167"/>
      <c r="K344" s="171"/>
      <c r="L344" s="167"/>
      <c r="M344" s="167"/>
      <c r="N344" s="167"/>
      <c r="S344"/>
      <c r="T344"/>
      <c r="U344"/>
      <c r="V344"/>
      <c r="W344"/>
      <c r="X344"/>
      <c r="Y344"/>
    </row>
    <row r="345" spans="3:25" x14ac:dyDescent="0.25">
      <c r="C345"/>
      <c r="G345" s="16"/>
      <c r="H345"/>
      <c r="I345" s="167"/>
      <c r="J345" s="167"/>
      <c r="K345" s="171"/>
      <c r="L345" s="167"/>
      <c r="M345" s="167"/>
      <c r="N345" s="167"/>
      <c r="S345"/>
      <c r="T345"/>
      <c r="U345"/>
      <c r="V345"/>
      <c r="W345"/>
      <c r="X345"/>
      <c r="Y345"/>
    </row>
    <row r="346" spans="3:25" x14ac:dyDescent="0.25">
      <c r="C346"/>
      <c r="G346" s="16"/>
      <c r="H346"/>
      <c r="I346" s="167"/>
      <c r="J346" s="167"/>
      <c r="K346" s="171"/>
      <c r="L346" s="167"/>
      <c r="M346" s="167"/>
      <c r="N346" s="167"/>
      <c r="S346"/>
      <c r="T346"/>
      <c r="U346"/>
      <c r="V346"/>
      <c r="W346"/>
      <c r="X346"/>
      <c r="Y346"/>
    </row>
    <row r="347" spans="3:25" x14ac:dyDescent="0.25">
      <c r="C347"/>
      <c r="G347" s="16"/>
      <c r="H347"/>
      <c r="I347" s="167"/>
      <c r="J347" s="167"/>
      <c r="K347" s="171"/>
      <c r="L347" s="167"/>
      <c r="M347" s="167"/>
      <c r="N347" s="167"/>
      <c r="S347"/>
      <c r="T347"/>
      <c r="U347"/>
      <c r="V347"/>
      <c r="W347"/>
      <c r="X347"/>
      <c r="Y347"/>
    </row>
    <row r="348" spans="3:25" x14ac:dyDescent="0.25">
      <c r="C348"/>
      <c r="G348" s="16"/>
      <c r="H348"/>
      <c r="I348" s="167"/>
      <c r="J348" s="167"/>
      <c r="K348" s="171"/>
      <c r="L348" s="167"/>
      <c r="M348" s="167"/>
      <c r="N348" s="167"/>
      <c r="S348"/>
      <c r="T348"/>
      <c r="U348"/>
      <c r="V348"/>
      <c r="W348"/>
      <c r="X348"/>
      <c r="Y348"/>
    </row>
    <row r="349" spans="3:25" x14ac:dyDescent="0.25">
      <c r="C349"/>
      <c r="G349" s="16"/>
      <c r="H349"/>
      <c r="I349" s="167"/>
      <c r="J349" s="167"/>
      <c r="K349" s="171"/>
      <c r="L349" s="167"/>
      <c r="M349" s="167"/>
      <c r="N349" s="167"/>
      <c r="S349"/>
      <c r="T349"/>
      <c r="U349"/>
      <c r="V349"/>
      <c r="W349"/>
      <c r="X349"/>
      <c r="Y349"/>
    </row>
    <row r="350" spans="3:25" x14ac:dyDescent="0.25">
      <c r="C350"/>
      <c r="G350" s="16"/>
      <c r="H350"/>
      <c r="I350" s="167"/>
      <c r="J350" s="167"/>
      <c r="K350" s="171"/>
      <c r="L350" s="167"/>
      <c r="M350" s="167"/>
      <c r="N350" s="167"/>
      <c r="S350"/>
      <c r="T350"/>
      <c r="U350"/>
      <c r="V350"/>
      <c r="W350"/>
      <c r="X350"/>
      <c r="Y350"/>
    </row>
    <row r="351" spans="3:25" x14ac:dyDescent="0.25">
      <c r="C351"/>
      <c r="G351" s="16"/>
      <c r="H351"/>
      <c r="I351" s="167"/>
      <c r="J351" s="167"/>
      <c r="K351" s="171"/>
      <c r="L351" s="167"/>
      <c r="M351" s="167"/>
      <c r="N351" s="167"/>
      <c r="S351"/>
      <c r="T351"/>
      <c r="U351"/>
      <c r="V351"/>
      <c r="W351"/>
      <c r="X351"/>
      <c r="Y351"/>
    </row>
    <row r="352" spans="3:25" x14ac:dyDescent="0.25">
      <c r="C352"/>
      <c r="G352" s="16"/>
      <c r="H352"/>
      <c r="I352" s="167"/>
      <c r="J352" s="167"/>
      <c r="K352" s="171"/>
      <c r="L352" s="167"/>
      <c r="M352" s="167"/>
      <c r="N352" s="167"/>
      <c r="S352"/>
      <c r="T352"/>
      <c r="U352"/>
      <c r="V352"/>
      <c r="W352"/>
      <c r="X352"/>
      <c r="Y352"/>
    </row>
    <row r="353" spans="3:25" x14ac:dyDescent="0.25">
      <c r="C353"/>
      <c r="G353" s="16"/>
      <c r="H353"/>
      <c r="I353" s="167"/>
      <c r="J353" s="167"/>
      <c r="K353" s="171"/>
      <c r="L353" s="167"/>
      <c r="M353" s="167"/>
      <c r="N353" s="167"/>
      <c r="S353"/>
      <c r="T353"/>
      <c r="U353"/>
      <c r="V353"/>
      <c r="W353"/>
      <c r="X353"/>
      <c r="Y353"/>
    </row>
    <row r="354" spans="3:25" x14ac:dyDescent="0.25">
      <c r="C354"/>
      <c r="G354" s="16"/>
      <c r="H354"/>
      <c r="I354" s="167"/>
      <c r="J354" s="167"/>
      <c r="K354" s="171"/>
      <c r="L354" s="167"/>
      <c r="M354" s="167"/>
      <c r="N354" s="167"/>
      <c r="S354"/>
      <c r="T354"/>
      <c r="U354"/>
      <c r="V354"/>
      <c r="W354"/>
      <c r="X354"/>
      <c r="Y354"/>
    </row>
    <row r="355" spans="3:25" x14ac:dyDescent="0.25">
      <c r="C355"/>
      <c r="G355" s="16"/>
      <c r="H355"/>
      <c r="I355" s="167"/>
      <c r="J355" s="167"/>
      <c r="K355" s="171"/>
      <c r="L355" s="167"/>
      <c r="M355" s="167"/>
      <c r="N355" s="167"/>
      <c r="S355"/>
      <c r="T355"/>
      <c r="U355"/>
      <c r="V355"/>
      <c r="W355"/>
      <c r="X355"/>
      <c r="Y355"/>
    </row>
    <row r="356" spans="3:25" x14ac:dyDescent="0.25">
      <c r="C356"/>
      <c r="G356" s="16"/>
      <c r="H356"/>
      <c r="I356" s="167"/>
      <c r="J356" s="167"/>
      <c r="K356" s="171"/>
      <c r="L356" s="167"/>
      <c r="M356" s="167"/>
      <c r="N356" s="167"/>
      <c r="S356"/>
      <c r="T356"/>
      <c r="U356"/>
      <c r="V356"/>
      <c r="W356"/>
      <c r="X356"/>
      <c r="Y356"/>
    </row>
    <row r="357" spans="3:25" x14ac:dyDescent="0.25">
      <c r="C357"/>
      <c r="G357" s="16"/>
      <c r="H357"/>
      <c r="I357" s="167"/>
      <c r="J357" s="167"/>
      <c r="K357" s="171"/>
      <c r="L357" s="167"/>
      <c r="M357" s="167"/>
      <c r="N357" s="167"/>
      <c r="S357"/>
      <c r="T357"/>
      <c r="U357"/>
      <c r="V357"/>
      <c r="W357"/>
      <c r="X357"/>
      <c r="Y357"/>
    </row>
    <row r="358" spans="3:25" x14ac:dyDescent="0.25">
      <c r="C358"/>
      <c r="G358" s="16"/>
      <c r="H358"/>
      <c r="I358" s="167"/>
      <c r="J358" s="167"/>
      <c r="K358" s="171"/>
      <c r="L358" s="167"/>
      <c r="M358" s="167"/>
      <c r="N358" s="167"/>
      <c r="S358"/>
      <c r="T358"/>
      <c r="U358"/>
      <c r="V358"/>
      <c r="W358"/>
      <c r="X358"/>
      <c r="Y358"/>
    </row>
    <row r="359" spans="3:25" x14ac:dyDescent="0.25">
      <c r="C359"/>
      <c r="G359" s="16"/>
      <c r="H359"/>
      <c r="I359" s="167"/>
      <c r="J359" s="167"/>
      <c r="K359" s="171"/>
      <c r="L359" s="167"/>
      <c r="M359" s="167"/>
      <c r="N359" s="167"/>
      <c r="S359"/>
      <c r="T359"/>
      <c r="U359"/>
      <c r="V359"/>
      <c r="W359"/>
      <c r="X359"/>
      <c r="Y359"/>
    </row>
    <row r="360" spans="3:25" x14ac:dyDescent="0.25">
      <c r="C360"/>
      <c r="G360" s="16"/>
      <c r="H360"/>
      <c r="I360" s="167"/>
      <c r="J360" s="167"/>
      <c r="K360" s="171"/>
      <c r="L360" s="167"/>
      <c r="M360" s="167"/>
      <c r="N360" s="167"/>
      <c r="S360"/>
      <c r="T360"/>
      <c r="U360"/>
      <c r="V360"/>
      <c r="W360"/>
      <c r="X360"/>
      <c r="Y360"/>
    </row>
    <row r="361" spans="3:25" x14ac:dyDescent="0.25">
      <c r="C361"/>
      <c r="G361" s="16"/>
      <c r="H361"/>
      <c r="I361" s="167"/>
      <c r="J361" s="167"/>
      <c r="K361" s="171"/>
      <c r="L361" s="167"/>
      <c r="M361" s="167"/>
      <c r="N361" s="167"/>
      <c r="S361"/>
      <c r="T361"/>
      <c r="U361"/>
      <c r="V361"/>
      <c r="W361"/>
      <c r="X361"/>
      <c r="Y361"/>
    </row>
    <row r="362" spans="3:25" x14ac:dyDescent="0.25">
      <c r="C362"/>
      <c r="G362" s="16"/>
      <c r="H362"/>
      <c r="I362" s="167"/>
      <c r="J362" s="167"/>
      <c r="K362" s="171"/>
      <c r="L362" s="167"/>
      <c r="M362" s="167"/>
      <c r="N362" s="167"/>
      <c r="S362"/>
      <c r="T362"/>
      <c r="U362"/>
      <c r="V362"/>
      <c r="W362"/>
      <c r="X362"/>
      <c r="Y362"/>
    </row>
    <row r="363" spans="3:25" x14ac:dyDescent="0.25">
      <c r="C363"/>
      <c r="G363" s="16"/>
      <c r="H363"/>
      <c r="I363" s="167"/>
      <c r="J363" s="167"/>
      <c r="K363" s="171"/>
      <c r="L363" s="167"/>
      <c r="M363" s="167"/>
      <c r="N363" s="167"/>
      <c r="S363"/>
      <c r="T363"/>
      <c r="U363"/>
      <c r="V363"/>
      <c r="W363"/>
      <c r="X363"/>
      <c r="Y363"/>
    </row>
    <row r="364" spans="3:25" x14ac:dyDescent="0.25">
      <c r="C364"/>
      <c r="G364" s="16"/>
      <c r="H364"/>
      <c r="I364" s="167"/>
      <c r="J364" s="167"/>
      <c r="K364" s="171"/>
      <c r="L364" s="167"/>
      <c r="M364" s="167"/>
      <c r="N364" s="167"/>
      <c r="S364"/>
      <c r="T364"/>
      <c r="U364"/>
      <c r="V364"/>
      <c r="W364"/>
      <c r="X364"/>
      <c r="Y364"/>
    </row>
    <row r="365" spans="3:25" x14ac:dyDescent="0.25">
      <c r="C365"/>
      <c r="G365" s="16"/>
      <c r="H365"/>
      <c r="I365" s="167"/>
      <c r="J365" s="167"/>
      <c r="K365" s="171"/>
      <c r="L365" s="167"/>
      <c r="M365" s="167"/>
      <c r="N365" s="167"/>
      <c r="S365"/>
      <c r="T365"/>
      <c r="U365"/>
      <c r="V365"/>
      <c r="W365"/>
      <c r="X365"/>
      <c r="Y365"/>
    </row>
    <row r="366" spans="3:25" x14ac:dyDescent="0.25">
      <c r="C366"/>
      <c r="G366" s="16"/>
      <c r="H366"/>
      <c r="I366" s="167"/>
      <c r="J366" s="167"/>
      <c r="K366" s="171"/>
      <c r="L366" s="167"/>
      <c r="M366" s="167"/>
      <c r="N366" s="167"/>
      <c r="S366"/>
      <c r="T366"/>
      <c r="U366"/>
      <c r="V366"/>
      <c r="W366"/>
      <c r="X366"/>
      <c r="Y366"/>
    </row>
    <row r="367" spans="3:25" x14ac:dyDescent="0.25">
      <c r="C367"/>
      <c r="G367" s="16"/>
      <c r="H367"/>
      <c r="I367" s="167"/>
      <c r="J367" s="167"/>
      <c r="K367" s="171"/>
      <c r="L367" s="167"/>
      <c r="M367" s="167"/>
      <c r="N367" s="167"/>
      <c r="S367"/>
      <c r="T367"/>
      <c r="U367"/>
      <c r="V367"/>
      <c r="W367"/>
      <c r="X367"/>
      <c r="Y367"/>
    </row>
    <row r="368" spans="3:25" x14ac:dyDescent="0.25">
      <c r="C368"/>
      <c r="G368" s="16"/>
      <c r="H368"/>
      <c r="I368" s="167"/>
      <c r="J368" s="167"/>
      <c r="K368" s="171"/>
      <c r="L368" s="167"/>
      <c r="M368" s="167"/>
      <c r="N368" s="167"/>
      <c r="S368"/>
      <c r="T368"/>
      <c r="U368"/>
      <c r="V368"/>
      <c r="W368"/>
      <c r="X368"/>
      <c r="Y368"/>
    </row>
    <row r="369" spans="3:25" x14ac:dyDescent="0.25">
      <c r="C369"/>
      <c r="G369" s="16"/>
      <c r="H369"/>
      <c r="I369" s="167"/>
      <c r="J369" s="167"/>
      <c r="K369" s="171"/>
      <c r="L369" s="167"/>
      <c r="M369" s="167"/>
      <c r="N369" s="167"/>
      <c r="S369"/>
      <c r="T369"/>
      <c r="U369"/>
      <c r="V369"/>
      <c r="W369"/>
      <c r="X369"/>
      <c r="Y369"/>
    </row>
    <row r="370" spans="3:25" x14ac:dyDescent="0.25">
      <c r="C370"/>
      <c r="G370" s="16"/>
      <c r="H370"/>
      <c r="I370" s="167"/>
      <c r="J370" s="167"/>
      <c r="K370" s="171"/>
      <c r="L370" s="167"/>
      <c r="M370" s="167"/>
      <c r="N370" s="167"/>
      <c r="S370"/>
      <c r="T370"/>
      <c r="U370"/>
      <c r="V370"/>
      <c r="W370"/>
      <c r="X370"/>
      <c r="Y370"/>
    </row>
    <row r="371" spans="3:25" x14ac:dyDescent="0.25">
      <c r="C371"/>
      <c r="G371" s="16"/>
      <c r="H371"/>
      <c r="I371" s="167"/>
      <c r="J371" s="167"/>
      <c r="K371" s="171"/>
      <c r="L371" s="167"/>
      <c r="M371" s="167"/>
      <c r="N371" s="167"/>
      <c r="S371"/>
      <c r="T371"/>
      <c r="U371"/>
      <c r="V371"/>
      <c r="W371"/>
      <c r="X371"/>
      <c r="Y371"/>
    </row>
    <row r="372" spans="3:25" x14ac:dyDescent="0.25">
      <c r="C372"/>
      <c r="G372" s="16"/>
      <c r="H372"/>
      <c r="I372" s="167"/>
      <c r="J372" s="167"/>
      <c r="K372" s="171"/>
      <c r="L372" s="167"/>
      <c r="M372" s="167"/>
      <c r="N372" s="167"/>
      <c r="S372"/>
      <c r="T372"/>
      <c r="U372"/>
      <c r="V372"/>
      <c r="W372"/>
      <c r="X372"/>
      <c r="Y372"/>
    </row>
    <row r="373" spans="3:25" x14ac:dyDescent="0.25">
      <c r="C373"/>
      <c r="G373" s="16"/>
      <c r="H373"/>
      <c r="I373" s="167"/>
      <c r="J373" s="167"/>
      <c r="K373" s="171"/>
      <c r="L373" s="167"/>
      <c r="M373" s="167"/>
      <c r="N373" s="167"/>
      <c r="S373"/>
      <c r="T373"/>
      <c r="U373"/>
      <c r="V373"/>
      <c r="W373"/>
      <c r="X373"/>
      <c r="Y373"/>
    </row>
    <row r="374" spans="3:25" x14ac:dyDescent="0.25">
      <c r="C374"/>
      <c r="G374" s="16"/>
      <c r="H374"/>
      <c r="I374" s="167"/>
      <c r="J374" s="167"/>
      <c r="K374" s="171"/>
      <c r="L374" s="167"/>
      <c r="M374" s="167"/>
      <c r="N374" s="167"/>
      <c r="S374"/>
      <c r="T374"/>
      <c r="U374"/>
      <c r="V374"/>
      <c r="W374"/>
      <c r="X374"/>
      <c r="Y374"/>
    </row>
    <row r="375" spans="3:25" x14ac:dyDescent="0.25">
      <c r="C375"/>
      <c r="G375" s="16"/>
      <c r="H375"/>
      <c r="I375" s="167"/>
      <c r="J375" s="167"/>
      <c r="K375" s="171"/>
      <c r="L375" s="167"/>
      <c r="M375" s="167"/>
      <c r="N375" s="167"/>
      <c r="S375"/>
      <c r="T375"/>
      <c r="U375"/>
      <c r="V375"/>
      <c r="W375"/>
      <c r="X375"/>
      <c r="Y375"/>
    </row>
    <row r="376" spans="3:25" x14ac:dyDescent="0.25">
      <c r="C376"/>
      <c r="G376" s="16"/>
      <c r="H376"/>
      <c r="I376" s="167"/>
      <c r="J376" s="167"/>
      <c r="K376" s="171"/>
      <c r="L376" s="167"/>
      <c r="M376" s="167"/>
      <c r="N376" s="167"/>
      <c r="S376"/>
      <c r="T376"/>
      <c r="U376"/>
      <c r="V376"/>
      <c r="W376"/>
      <c r="X376"/>
      <c r="Y376"/>
    </row>
    <row r="377" spans="3:25" x14ac:dyDescent="0.25">
      <c r="C377"/>
      <c r="G377" s="16"/>
      <c r="H377"/>
      <c r="I377" s="167"/>
      <c r="J377" s="167"/>
      <c r="K377" s="171"/>
      <c r="L377" s="167"/>
      <c r="M377" s="167"/>
      <c r="N377" s="167"/>
      <c r="S377"/>
      <c r="T377"/>
      <c r="U377"/>
      <c r="V377"/>
      <c r="W377"/>
      <c r="X377"/>
      <c r="Y377"/>
    </row>
    <row r="378" spans="3:25" x14ac:dyDescent="0.25">
      <c r="C378"/>
      <c r="G378" s="16"/>
      <c r="H378"/>
      <c r="I378" s="167"/>
      <c r="J378" s="167"/>
      <c r="K378" s="171"/>
      <c r="L378" s="167"/>
      <c r="M378" s="167"/>
      <c r="N378" s="167"/>
      <c r="S378"/>
      <c r="T378"/>
      <c r="U378"/>
      <c r="V378"/>
      <c r="W378"/>
      <c r="X378"/>
      <c r="Y378"/>
    </row>
    <row r="379" spans="3:25" x14ac:dyDescent="0.25">
      <c r="C379"/>
      <c r="G379" s="16"/>
      <c r="H379"/>
      <c r="I379" s="167"/>
      <c r="J379" s="167"/>
      <c r="K379" s="171"/>
      <c r="L379" s="167"/>
      <c r="M379" s="167"/>
      <c r="N379" s="167"/>
      <c r="S379"/>
      <c r="T379"/>
      <c r="U379"/>
      <c r="V379"/>
      <c r="W379"/>
      <c r="X379"/>
      <c r="Y379"/>
    </row>
    <row r="380" spans="3:25" x14ac:dyDescent="0.25">
      <c r="C380"/>
      <c r="G380" s="16"/>
      <c r="H380"/>
      <c r="I380" s="167"/>
      <c r="J380" s="167"/>
      <c r="K380" s="171"/>
      <c r="L380" s="167"/>
      <c r="M380" s="167"/>
      <c r="N380" s="167"/>
      <c r="S380"/>
      <c r="T380"/>
      <c r="U380"/>
      <c r="V380"/>
      <c r="W380"/>
      <c r="X380"/>
      <c r="Y380"/>
    </row>
    <row r="381" spans="3:25" x14ac:dyDescent="0.25">
      <c r="C381"/>
      <c r="G381" s="16"/>
      <c r="H381"/>
      <c r="I381" s="167"/>
      <c r="J381" s="167"/>
      <c r="K381" s="171"/>
      <c r="L381" s="167"/>
      <c r="M381" s="167"/>
      <c r="N381" s="167"/>
      <c r="S381"/>
      <c r="T381"/>
      <c r="U381"/>
      <c r="V381"/>
      <c r="W381"/>
      <c r="X381"/>
      <c r="Y381"/>
    </row>
    <row r="382" spans="3:25" x14ac:dyDescent="0.25">
      <c r="C382"/>
      <c r="G382" s="16"/>
      <c r="H382"/>
      <c r="I382" s="167"/>
      <c r="J382" s="167"/>
      <c r="K382" s="171"/>
      <c r="L382" s="167"/>
      <c r="M382" s="167"/>
      <c r="N382" s="167"/>
      <c r="S382"/>
      <c r="T382"/>
      <c r="U382"/>
      <c r="V382"/>
      <c r="W382"/>
      <c r="X382"/>
      <c r="Y382"/>
    </row>
    <row r="383" spans="3:25" x14ac:dyDescent="0.25">
      <c r="C383"/>
      <c r="G383" s="16"/>
      <c r="H383"/>
      <c r="I383" s="167"/>
      <c r="J383" s="167"/>
      <c r="K383" s="171"/>
      <c r="L383" s="167"/>
      <c r="M383" s="167"/>
      <c r="N383" s="167"/>
      <c r="S383"/>
      <c r="T383"/>
      <c r="U383"/>
      <c r="V383"/>
      <c r="W383"/>
      <c r="X383"/>
      <c r="Y383"/>
    </row>
    <row r="384" spans="3:25" x14ac:dyDescent="0.25">
      <c r="C384"/>
      <c r="G384" s="16"/>
      <c r="H384"/>
      <c r="I384" s="167"/>
      <c r="J384" s="167"/>
      <c r="K384" s="171"/>
      <c r="L384" s="167"/>
      <c r="M384" s="167"/>
      <c r="N384" s="167"/>
      <c r="S384"/>
      <c r="T384"/>
      <c r="U384"/>
      <c r="V384"/>
      <c r="W384"/>
      <c r="X384"/>
      <c r="Y384"/>
    </row>
    <row r="385" spans="3:25" x14ac:dyDescent="0.25">
      <c r="C385"/>
      <c r="G385" s="16"/>
      <c r="H385"/>
      <c r="I385" s="167"/>
      <c r="J385" s="167"/>
      <c r="K385" s="171"/>
      <c r="L385" s="167"/>
      <c r="M385" s="167"/>
      <c r="N385" s="167"/>
      <c r="S385"/>
      <c r="T385"/>
      <c r="U385"/>
      <c r="V385"/>
      <c r="W385"/>
      <c r="X385"/>
      <c r="Y385"/>
    </row>
    <row r="386" spans="3:25" x14ac:dyDescent="0.25">
      <c r="C386"/>
      <c r="G386" s="16"/>
      <c r="H386"/>
      <c r="I386" s="167"/>
      <c r="J386" s="167"/>
      <c r="K386" s="171"/>
      <c r="L386" s="167"/>
      <c r="M386" s="167"/>
      <c r="N386" s="167"/>
      <c r="S386"/>
      <c r="T386"/>
      <c r="U386"/>
      <c r="V386"/>
      <c r="W386"/>
      <c r="X386"/>
      <c r="Y386"/>
    </row>
    <row r="387" spans="3:25" x14ac:dyDescent="0.25">
      <c r="C387"/>
      <c r="G387" s="16"/>
      <c r="H387"/>
      <c r="I387" s="167"/>
      <c r="J387" s="167"/>
      <c r="K387" s="171"/>
      <c r="L387" s="167"/>
      <c r="M387" s="167"/>
      <c r="N387" s="167"/>
      <c r="S387"/>
      <c r="T387"/>
      <c r="U387"/>
      <c r="V387"/>
      <c r="W387"/>
      <c r="X387"/>
      <c r="Y387"/>
    </row>
    <row r="388" spans="3:25" x14ac:dyDescent="0.25">
      <c r="C388"/>
      <c r="G388" s="16"/>
      <c r="H388"/>
      <c r="I388" s="167"/>
      <c r="J388" s="167"/>
      <c r="K388" s="171"/>
      <c r="L388" s="167"/>
      <c r="M388" s="167"/>
      <c r="N388" s="167"/>
      <c r="S388"/>
      <c r="T388"/>
      <c r="U388"/>
      <c r="V388"/>
      <c r="W388"/>
      <c r="X388"/>
      <c r="Y388"/>
    </row>
    <row r="389" spans="3:25" x14ac:dyDescent="0.25">
      <c r="C389"/>
      <c r="G389" s="16"/>
      <c r="H389"/>
      <c r="I389" s="167"/>
      <c r="J389" s="167"/>
      <c r="K389" s="171"/>
      <c r="L389" s="167"/>
      <c r="M389" s="167"/>
      <c r="N389" s="167"/>
      <c r="S389"/>
      <c r="T389"/>
      <c r="U389"/>
      <c r="V389"/>
      <c r="W389"/>
      <c r="X389"/>
      <c r="Y389"/>
    </row>
    <row r="390" spans="3:25" x14ac:dyDescent="0.25">
      <c r="C390"/>
      <c r="G390" s="16"/>
      <c r="H390"/>
      <c r="I390" s="167"/>
      <c r="J390" s="167"/>
      <c r="K390" s="171"/>
      <c r="L390" s="167"/>
      <c r="M390" s="167"/>
      <c r="N390" s="167"/>
      <c r="S390"/>
      <c r="T390"/>
      <c r="U390"/>
      <c r="V390"/>
      <c r="W390"/>
      <c r="X390"/>
      <c r="Y390"/>
    </row>
    <row r="391" spans="3:25" x14ac:dyDescent="0.25">
      <c r="C391"/>
      <c r="G391" s="16"/>
      <c r="H391"/>
      <c r="I391" s="167"/>
      <c r="J391" s="167"/>
      <c r="K391" s="171"/>
      <c r="L391" s="167"/>
      <c r="M391" s="167"/>
      <c r="N391" s="167"/>
      <c r="S391"/>
      <c r="T391"/>
      <c r="U391"/>
      <c r="V391"/>
      <c r="W391"/>
      <c r="X391"/>
      <c r="Y391"/>
    </row>
    <row r="392" spans="3:25" x14ac:dyDescent="0.25">
      <c r="C392"/>
      <c r="G392" s="16"/>
      <c r="H392"/>
      <c r="I392" s="167"/>
      <c r="J392" s="167"/>
      <c r="K392" s="171"/>
      <c r="L392" s="167"/>
      <c r="M392" s="167"/>
      <c r="N392" s="167"/>
      <c r="S392"/>
      <c r="T392"/>
      <c r="U392"/>
      <c r="V392"/>
      <c r="W392"/>
      <c r="X392"/>
      <c r="Y392"/>
    </row>
    <row r="393" spans="3:25" x14ac:dyDescent="0.25">
      <c r="C393"/>
      <c r="G393" s="16"/>
      <c r="H393"/>
      <c r="I393" s="167"/>
      <c r="J393" s="167"/>
      <c r="K393" s="171"/>
      <c r="L393" s="167"/>
      <c r="M393" s="167"/>
      <c r="N393" s="167"/>
      <c r="S393"/>
      <c r="T393"/>
      <c r="U393"/>
      <c r="V393"/>
      <c r="W393"/>
      <c r="X393"/>
      <c r="Y393"/>
    </row>
    <row r="394" spans="3:25" x14ac:dyDescent="0.25">
      <c r="C394"/>
      <c r="G394" s="16"/>
      <c r="H394"/>
      <c r="I394" s="167"/>
      <c r="J394" s="167"/>
      <c r="K394" s="171"/>
      <c r="L394" s="167"/>
      <c r="M394" s="167"/>
      <c r="N394" s="167"/>
      <c r="S394"/>
      <c r="T394"/>
      <c r="U394"/>
      <c r="V394"/>
      <c r="W394"/>
      <c r="X394"/>
      <c r="Y394"/>
    </row>
    <row r="395" spans="3:25" x14ac:dyDescent="0.25">
      <c r="C395"/>
      <c r="G395" s="16"/>
      <c r="H395"/>
      <c r="I395" s="167"/>
      <c r="J395" s="167"/>
      <c r="K395" s="171"/>
      <c r="L395" s="167"/>
      <c r="M395" s="167"/>
      <c r="N395" s="167"/>
      <c r="S395"/>
      <c r="T395"/>
      <c r="U395"/>
      <c r="V395"/>
      <c r="W395"/>
      <c r="X395"/>
      <c r="Y395"/>
    </row>
    <row r="396" spans="3:25" x14ac:dyDescent="0.25">
      <c r="C396"/>
      <c r="G396" s="16"/>
      <c r="H396"/>
      <c r="I396" s="167"/>
      <c r="J396" s="167"/>
      <c r="K396" s="171"/>
      <c r="L396" s="167"/>
      <c r="M396" s="167"/>
      <c r="N396" s="167"/>
      <c r="S396"/>
      <c r="T396"/>
      <c r="U396"/>
      <c r="V396"/>
      <c r="W396"/>
      <c r="X396"/>
      <c r="Y396"/>
    </row>
    <row r="397" spans="3:25" x14ac:dyDescent="0.25">
      <c r="C397"/>
      <c r="G397" s="16"/>
      <c r="H397"/>
      <c r="I397" s="167"/>
      <c r="J397" s="167"/>
      <c r="K397" s="171"/>
      <c r="L397" s="167"/>
      <c r="M397" s="167"/>
      <c r="N397" s="167"/>
      <c r="S397"/>
      <c r="T397"/>
      <c r="U397"/>
      <c r="V397"/>
      <c r="W397"/>
      <c r="X397"/>
      <c r="Y397"/>
    </row>
    <row r="398" spans="3:25" x14ac:dyDescent="0.25">
      <c r="C398"/>
      <c r="G398" s="16"/>
      <c r="H398"/>
      <c r="I398" s="167"/>
      <c r="J398" s="167"/>
      <c r="K398" s="171"/>
      <c r="L398" s="167"/>
      <c r="M398" s="167"/>
      <c r="N398" s="167"/>
      <c r="S398"/>
      <c r="T398"/>
      <c r="U398"/>
      <c r="V398"/>
      <c r="W398"/>
      <c r="X398"/>
      <c r="Y398"/>
    </row>
    <row r="399" spans="3:25" x14ac:dyDescent="0.25">
      <c r="C399"/>
      <c r="G399" s="16"/>
      <c r="H399"/>
      <c r="I399" s="167"/>
      <c r="J399" s="167"/>
      <c r="K399" s="171"/>
      <c r="L399" s="167"/>
      <c r="M399" s="167"/>
      <c r="N399" s="167"/>
      <c r="S399"/>
      <c r="T399"/>
      <c r="U399"/>
      <c r="V399"/>
      <c r="W399"/>
      <c r="X399"/>
      <c r="Y399"/>
    </row>
    <row r="400" spans="3:25" x14ac:dyDescent="0.25">
      <c r="C400"/>
      <c r="G400" s="16"/>
      <c r="H400"/>
      <c r="I400" s="167"/>
      <c r="J400" s="167"/>
      <c r="K400" s="171"/>
      <c r="L400" s="167"/>
      <c r="M400" s="167"/>
      <c r="N400" s="167"/>
      <c r="S400"/>
      <c r="T400"/>
      <c r="U400"/>
      <c r="V400"/>
      <c r="W400"/>
      <c r="X400"/>
      <c r="Y400"/>
    </row>
    <row r="401" spans="3:25" x14ac:dyDescent="0.25">
      <c r="C401"/>
      <c r="G401" s="16"/>
      <c r="H401"/>
      <c r="I401" s="167"/>
      <c r="J401" s="167"/>
      <c r="K401" s="171"/>
      <c r="L401" s="167"/>
      <c r="M401" s="167"/>
      <c r="N401" s="167"/>
      <c r="S401"/>
      <c r="T401"/>
      <c r="U401"/>
      <c r="V401"/>
      <c r="W401"/>
      <c r="X401"/>
      <c r="Y401"/>
    </row>
    <row r="402" spans="3:25" x14ac:dyDescent="0.25">
      <c r="C402"/>
      <c r="G402" s="16"/>
      <c r="H402"/>
      <c r="I402" s="167"/>
      <c r="J402" s="167"/>
      <c r="K402" s="171"/>
      <c r="L402" s="167"/>
      <c r="M402" s="167"/>
      <c r="N402" s="167"/>
      <c r="S402"/>
      <c r="T402"/>
      <c r="U402"/>
      <c r="V402"/>
      <c r="W402"/>
      <c r="X402"/>
      <c r="Y402"/>
    </row>
    <row r="403" spans="3:25" x14ac:dyDescent="0.25">
      <c r="C403"/>
      <c r="G403" s="16"/>
      <c r="H403"/>
      <c r="I403" s="167"/>
      <c r="J403" s="167"/>
      <c r="K403" s="171"/>
      <c r="L403" s="167"/>
      <c r="M403" s="167"/>
      <c r="N403" s="167"/>
      <c r="S403"/>
      <c r="T403"/>
      <c r="U403"/>
      <c r="V403"/>
      <c r="W403"/>
      <c r="X403"/>
      <c r="Y403"/>
    </row>
    <row r="404" spans="3:25" x14ac:dyDescent="0.25">
      <c r="C404"/>
      <c r="G404" s="16"/>
      <c r="H404"/>
      <c r="I404" s="167"/>
      <c r="J404" s="167"/>
      <c r="K404" s="171"/>
      <c r="L404" s="167"/>
      <c r="M404" s="167"/>
      <c r="N404" s="167"/>
      <c r="S404"/>
      <c r="T404"/>
      <c r="U404"/>
      <c r="V404"/>
      <c r="W404"/>
      <c r="X404"/>
      <c r="Y404"/>
    </row>
    <row r="405" spans="3:25" x14ac:dyDescent="0.25">
      <c r="C405"/>
      <c r="G405" s="16"/>
      <c r="H405"/>
      <c r="I405" s="167"/>
      <c r="J405" s="167"/>
      <c r="K405" s="171"/>
      <c r="L405" s="167"/>
      <c r="M405" s="167"/>
      <c r="N405" s="167"/>
      <c r="S405"/>
      <c r="T405"/>
      <c r="U405"/>
      <c r="V405"/>
      <c r="W405"/>
      <c r="X405"/>
      <c r="Y405"/>
    </row>
    <row r="406" spans="3:25" x14ac:dyDescent="0.25">
      <c r="C406"/>
      <c r="G406" s="16"/>
      <c r="H406"/>
      <c r="I406" s="167"/>
      <c r="J406" s="167"/>
      <c r="K406" s="171"/>
      <c r="L406" s="167"/>
      <c r="M406" s="167"/>
      <c r="N406" s="167"/>
      <c r="S406"/>
      <c r="T406"/>
      <c r="U406"/>
      <c r="V406"/>
      <c r="W406"/>
      <c r="X406"/>
      <c r="Y406"/>
    </row>
    <row r="407" spans="3:25" x14ac:dyDescent="0.25">
      <c r="C407"/>
      <c r="G407" s="16"/>
      <c r="H407"/>
      <c r="I407" s="167"/>
      <c r="J407" s="167"/>
      <c r="K407" s="171"/>
      <c r="L407" s="167"/>
      <c r="M407" s="167"/>
      <c r="N407" s="167"/>
      <c r="S407"/>
      <c r="T407"/>
      <c r="U407"/>
      <c r="V407"/>
      <c r="W407"/>
      <c r="X407"/>
      <c r="Y407"/>
    </row>
    <row r="408" spans="3:25" x14ac:dyDescent="0.25">
      <c r="C408"/>
      <c r="G408" s="16"/>
      <c r="H408"/>
      <c r="I408" s="167"/>
      <c r="J408" s="167"/>
      <c r="K408" s="171"/>
      <c r="L408" s="167"/>
      <c r="M408" s="167"/>
      <c r="N408" s="167"/>
      <c r="S408"/>
      <c r="T408"/>
      <c r="U408"/>
      <c r="V408"/>
      <c r="W408"/>
      <c r="X408"/>
      <c r="Y408"/>
    </row>
    <row r="409" spans="3:25" x14ac:dyDescent="0.25">
      <c r="C409"/>
      <c r="G409" s="16"/>
      <c r="H409"/>
      <c r="I409" s="167"/>
      <c r="J409" s="167"/>
      <c r="K409" s="171"/>
      <c r="L409" s="167"/>
      <c r="M409" s="167"/>
      <c r="N409" s="167"/>
      <c r="S409"/>
      <c r="T409"/>
      <c r="U409"/>
      <c r="V409"/>
      <c r="W409"/>
      <c r="X409"/>
      <c r="Y409"/>
    </row>
    <row r="410" spans="3:25" x14ac:dyDescent="0.25">
      <c r="C410"/>
      <c r="G410" s="16"/>
      <c r="H410"/>
      <c r="I410" s="167"/>
      <c r="J410" s="167"/>
      <c r="K410" s="171"/>
      <c r="L410" s="167"/>
      <c r="M410" s="167"/>
      <c r="N410" s="167"/>
      <c r="S410"/>
      <c r="T410"/>
      <c r="U410"/>
      <c r="V410"/>
      <c r="W410"/>
      <c r="X410"/>
      <c r="Y410"/>
    </row>
    <row r="411" spans="3:25" x14ac:dyDescent="0.25">
      <c r="C411"/>
      <c r="G411" s="16"/>
      <c r="H411"/>
      <c r="I411" s="167"/>
      <c r="J411" s="167"/>
      <c r="K411" s="171"/>
      <c r="L411" s="167"/>
      <c r="M411" s="167"/>
      <c r="N411" s="167"/>
      <c r="S411"/>
      <c r="T411"/>
      <c r="U411"/>
      <c r="V411"/>
      <c r="W411"/>
      <c r="X411"/>
      <c r="Y411"/>
    </row>
    <row r="412" spans="3:25" x14ac:dyDescent="0.25">
      <c r="C412"/>
      <c r="G412" s="16"/>
      <c r="H412"/>
      <c r="I412" s="167"/>
      <c r="J412" s="167"/>
      <c r="K412" s="171"/>
      <c r="L412" s="167"/>
      <c r="M412" s="167"/>
      <c r="N412" s="167"/>
      <c r="S412"/>
      <c r="T412"/>
      <c r="U412"/>
      <c r="V412"/>
      <c r="W412"/>
      <c r="X412"/>
      <c r="Y412"/>
    </row>
    <row r="413" spans="3:25" x14ac:dyDescent="0.25">
      <c r="C413"/>
      <c r="G413" s="16"/>
      <c r="H413"/>
      <c r="I413" s="167"/>
      <c r="J413" s="167"/>
      <c r="K413" s="171"/>
      <c r="L413" s="167"/>
      <c r="M413" s="167"/>
      <c r="N413" s="167"/>
      <c r="S413"/>
      <c r="T413"/>
      <c r="U413"/>
      <c r="V413"/>
      <c r="W413"/>
      <c r="X413"/>
      <c r="Y413"/>
    </row>
    <row r="414" spans="3:25" x14ac:dyDescent="0.25">
      <c r="C414"/>
      <c r="G414" s="16"/>
      <c r="H414"/>
      <c r="I414" s="167"/>
      <c r="J414" s="167"/>
      <c r="K414" s="171"/>
      <c r="L414" s="167"/>
      <c r="M414" s="167"/>
      <c r="N414" s="167"/>
      <c r="S414"/>
      <c r="T414"/>
      <c r="U414"/>
      <c r="V414"/>
      <c r="W414"/>
      <c r="X414"/>
      <c r="Y414"/>
    </row>
    <row r="415" spans="3:25" x14ac:dyDescent="0.25">
      <c r="C415"/>
      <c r="G415" s="16"/>
      <c r="H415"/>
      <c r="I415" s="167"/>
      <c r="J415" s="167"/>
      <c r="K415" s="171"/>
      <c r="L415" s="167"/>
      <c r="M415" s="167"/>
      <c r="N415" s="167"/>
      <c r="S415"/>
      <c r="T415"/>
      <c r="U415"/>
      <c r="V415"/>
      <c r="W415"/>
      <c r="X415"/>
      <c r="Y415"/>
    </row>
    <row r="416" spans="3:25" x14ac:dyDescent="0.25">
      <c r="C416"/>
      <c r="G416" s="16"/>
      <c r="H416"/>
      <c r="I416" s="167"/>
      <c r="J416" s="167"/>
      <c r="K416" s="171"/>
      <c r="L416" s="167"/>
      <c r="M416" s="167"/>
      <c r="N416" s="167"/>
      <c r="S416"/>
      <c r="T416"/>
      <c r="U416"/>
      <c r="V416"/>
      <c r="W416"/>
      <c r="X416"/>
      <c r="Y416"/>
    </row>
    <row r="417" spans="3:25" x14ac:dyDescent="0.25">
      <c r="C417"/>
      <c r="G417" s="16"/>
      <c r="H417"/>
      <c r="I417" s="167"/>
      <c r="J417" s="167"/>
      <c r="K417" s="171"/>
      <c r="L417" s="167"/>
      <c r="M417" s="167"/>
      <c r="N417" s="167"/>
      <c r="S417"/>
      <c r="T417"/>
      <c r="U417"/>
      <c r="V417"/>
      <c r="W417"/>
      <c r="X417"/>
      <c r="Y417"/>
    </row>
    <row r="418" spans="3:25" x14ac:dyDescent="0.25">
      <c r="C418"/>
      <c r="G418" s="16"/>
      <c r="H418"/>
      <c r="I418" s="167"/>
      <c r="J418" s="167"/>
      <c r="K418" s="171"/>
      <c r="L418" s="167"/>
      <c r="M418" s="167"/>
      <c r="N418" s="167"/>
      <c r="S418"/>
      <c r="T418"/>
      <c r="U418"/>
      <c r="V418"/>
      <c r="W418"/>
      <c r="X418"/>
      <c r="Y418"/>
    </row>
    <row r="419" spans="3:25" x14ac:dyDescent="0.25">
      <c r="C419"/>
      <c r="G419" s="16"/>
      <c r="H419"/>
      <c r="I419" s="167"/>
      <c r="J419" s="167"/>
      <c r="K419" s="171"/>
      <c r="L419" s="167"/>
      <c r="M419" s="167"/>
      <c r="N419" s="167"/>
      <c r="S419"/>
      <c r="T419"/>
      <c r="U419"/>
      <c r="V419"/>
      <c r="W419"/>
      <c r="X419"/>
      <c r="Y419"/>
    </row>
    <row r="420" spans="3:25" x14ac:dyDescent="0.25">
      <c r="C420"/>
      <c r="G420" s="16"/>
      <c r="H420"/>
      <c r="I420" s="167"/>
      <c r="J420" s="167"/>
      <c r="K420" s="171"/>
      <c r="L420" s="167"/>
      <c r="M420" s="167"/>
      <c r="N420" s="167"/>
      <c r="S420"/>
      <c r="T420"/>
      <c r="U420"/>
      <c r="V420"/>
      <c r="W420"/>
      <c r="X420"/>
      <c r="Y420"/>
    </row>
    <row r="421" spans="3:25" x14ac:dyDescent="0.25">
      <c r="C421"/>
      <c r="G421" s="16"/>
      <c r="H421"/>
      <c r="I421" s="167"/>
      <c r="J421" s="167"/>
      <c r="K421" s="171"/>
      <c r="L421" s="167"/>
      <c r="M421" s="167"/>
      <c r="N421" s="167"/>
      <c r="S421"/>
      <c r="T421"/>
      <c r="U421"/>
      <c r="V421"/>
      <c r="W421"/>
      <c r="X421"/>
      <c r="Y421"/>
    </row>
    <row r="422" spans="3:25" x14ac:dyDescent="0.25">
      <c r="C422"/>
      <c r="G422" s="16"/>
      <c r="H422"/>
      <c r="I422" s="167"/>
      <c r="J422" s="167"/>
      <c r="K422" s="171"/>
      <c r="L422" s="167"/>
      <c r="M422" s="167"/>
      <c r="N422" s="167"/>
      <c r="S422"/>
      <c r="T422"/>
      <c r="U422"/>
      <c r="V422"/>
      <c r="W422"/>
      <c r="X422"/>
      <c r="Y422"/>
    </row>
    <row r="423" spans="3:25" x14ac:dyDescent="0.25">
      <c r="C423"/>
      <c r="G423" s="16"/>
      <c r="H423"/>
      <c r="I423" s="167"/>
      <c r="J423" s="167"/>
      <c r="K423" s="171"/>
      <c r="L423" s="167"/>
      <c r="M423" s="167"/>
      <c r="N423" s="167"/>
      <c r="S423"/>
      <c r="T423"/>
      <c r="U423"/>
      <c r="V423"/>
      <c r="W423"/>
      <c r="X423"/>
      <c r="Y423"/>
    </row>
    <row r="424" spans="3:25" x14ac:dyDescent="0.25">
      <c r="C424"/>
      <c r="G424" s="16"/>
      <c r="H424"/>
      <c r="I424" s="167"/>
      <c r="J424" s="167"/>
      <c r="K424" s="171"/>
      <c r="L424" s="167"/>
      <c r="M424" s="167"/>
      <c r="N424" s="167"/>
      <c r="S424"/>
      <c r="T424"/>
      <c r="U424"/>
      <c r="V424"/>
      <c r="W424"/>
      <c r="X424"/>
      <c r="Y424"/>
    </row>
    <row r="425" spans="3:25" x14ac:dyDescent="0.25">
      <c r="C425"/>
      <c r="G425" s="16"/>
      <c r="H425"/>
      <c r="I425" s="167"/>
      <c r="J425" s="167"/>
      <c r="K425" s="171"/>
      <c r="L425" s="167"/>
      <c r="M425" s="167"/>
      <c r="N425" s="167"/>
      <c r="S425"/>
      <c r="T425"/>
      <c r="U425"/>
      <c r="V425"/>
      <c r="W425"/>
      <c r="X425"/>
      <c r="Y425"/>
    </row>
    <row r="426" spans="3:25" x14ac:dyDescent="0.25">
      <c r="C426"/>
      <c r="G426" s="16"/>
      <c r="H426"/>
      <c r="I426" s="167"/>
      <c r="J426" s="167"/>
      <c r="K426" s="171"/>
      <c r="L426" s="167"/>
      <c r="M426" s="167"/>
      <c r="N426" s="167"/>
      <c r="S426"/>
      <c r="T426"/>
      <c r="U426"/>
      <c r="V426"/>
      <c r="W426"/>
      <c r="X426"/>
      <c r="Y426"/>
    </row>
    <row r="427" spans="3:25" x14ac:dyDescent="0.25">
      <c r="C427"/>
      <c r="G427" s="16"/>
      <c r="H427"/>
      <c r="I427" s="167"/>
      <c r="J427" s="167"/>
      <c r="K427" s="171"/>
      <c r="L427" s="167"/>
      <c r="M427" s="167"/>
      <c r="N427" s="167"/>
      <c r="S427"/>
      <c r="T427"/>
      <c r="U427"/>
      <c r="V427"/>
      <c r="W427"/>
      <c r="X427"/>
      <c r="Y427"/>
    </row>
    <row r="428" spans="3:25" x14ac:dyDescent="0.25">
      <c r="C428"/>
      <c r="G428" s="16"/>
      <c r="H428"/>
      <c r="I428" s="167"/>
      <c r="J428" s="167"/>
      <c r="K428" s="171"/>
      <c r="L428" s="167"/>
      <c r="M428" s="167"/>
      <c r="N428" s="167"/>
      <c r="S428"/>
      <c r="T428"/>
      <c r="U428"/>
      <c r="V428"/>
      <c r="W428"/>
      <c r="X428"/>
      <c r="Y428"/>
    </row>
    <row r="429" spans="3:25" x14ac:dyDescent="0.25">
      <c r="C429"/>
      <c r="G429" s="16"/>
      <c r="H429"/>
      <c r="I429" s="167"/>
      <c r="J429" s="167"/>
      <c r="K429" s="171"/>
      <c r="L429" s="167"/>
      <c r="M429" s="167"/>
      <c r="N429" s="167"/>
      <c r="S429"/>
      <c r="T429"/>
      <c r="U429"/>
      <c r="V429"/>
      <c r="W429"/>
      <c r="X429"/>
      <c r="Y429"/>
    </row>
    <row r="430" spans="3:25" x14ac:dyDescent="0.25">
      <c r="C430"/>
      <c r="G430" s="16"/>
      <c r="H430"/>
      <c r="I430" s="167"/>
      <c r="J430" s="167"/>
      <c r="K430" s="171"/>
      <c r="L430" s="167"/>
      <c r="M430" s="167"/>
      <c r="N430" s="167"/>
      <c r="S430"/>
      <c r="T430"/>
      <c r="U430"/>
      <c r="V430"/>
      <c r="W430"/>
      <c r="X430"/>
      <c r="Y430"/>
    </row>
    <row r="431" spans="3:25" x14ac:dyDescent="0.25">
      <c r="C431"/>
      <c r="G431" s="16"/>
      <c r="H431"/>
      <c r="I431" s="167"/>
      <c r="J431" s="167"/>
      <c r="K431" s="171"/>
      <c r="L431" s="167"/>
      <c r="M431" s="167"/>
      <c r="N431" s="167"/>
      <c r="S431"/>
      <c r="T431"/>
      <c r="U431"/>
      <c r="V431"/>
      <c r="W431"/>
      <c r="X431"/>
      <c r="Y431"/>
    </row>
    <row r="432" spans="3:25" x14ac:dyDescent="0.25">
      <c r="C432"/>
      <c r="G432" s="16"/>
      <c r="H432"/>
      <c r="I432" s="167"/>
      <c r="J432" s="167"/>
      <c r="K432" s="171"/>
      <c r="L432" s="167"/>
      <c r="M432" s="167"/>
      <c r="N432" s="167"/>
      <c r="S432"/>
      <c r="T432"/>
      <c r="U432"/>
      <c r="V432"/>
      <c r="W432"/>
      <c r="X432"/>
      <c r="Y432"/>
    </row>
    <row r="433" spans="3:25" x14ac:dyDescent="0.25">
      <c r="C433"/>
      <c r="G433" s="16"/>
      <c r="H433"/>
      <c r="I433" s="167"/>
      <c r="J433" s="167"/>
      <c r="K433" s="171"/>
      <c r="L433" s="167"/>
      <c r="M433" s="167"/>
      <c r="N433" s="167"/>
      <c r="S433"/>
      <c r="T433"/>
      <c r="U433"/>
      <c r="V433"/>
      <c r="W433"/>
      <c r="X433"/>
      <c r="Y433"/>
    </row>
    <row r="434" spans="3:25" x14ac:dyDescent="0.25">
      <c r="C434"/>
      <c r="G434" s="16"/>
      <c r="H434"/>
      <c r="I434" s="167"/>
      <c r="J434" s="167"/>
      <c r="K434" s="171"/>
      <c r="L434" s="167"/>
      <c r="M434" s="167"/>
      <c r="N434" s="167"/>
      <c r="S434"/>
      <c r="T434"/>
      <c r="U434"/>
      <c r="V434"/>
      <c r="W434"/>
      <c r="X434"/>
      <c r="Y434"/>
    </row>
    <row r="435" spans="3:25" x14ac:dyDescent="0.25">
      <c r="C435"/>
      <c r="G435" s="16"/>
      <c r="H435"/>
      <c r="I435" s="167"/>
      <c r="J435" s="167"/>
      <c r="K435" s="171"/>
      <c r="L435" s="167"/>
      <c r="M435" s="167"/>
      <c r="N435" s="167"/>
      <c r="S435"/>
      <c r="T435"/>
      <c r="U435"/>
      <c r="V435"/>
      <c r="W435"/>
      <c r="X435"/>
      <c r="Y435"/>
    </row>
    <row r="436" spans="3:25" x14ac:dyDescent="0.25">
      <c r="C436"/>
      <c r="G436" s="16"/>
      <c r="H436"/>
      <c r="I436" s="167"/>
      <c r="J436" s="167"/>
      <c r="K436" s="171"/>
      <c r="L436" s="167"/>
      <c r="M436" s="167"/>
      <c r="N436" s="167"/>
      <c r="S436"/>
      <c r="T436"/>
      <c r="U436"/>
      <c r="V436"/>
      <c r="W436"/>
      <c r="X436"/>
      <c r="Y436"/>
    </row>
    <row r="437" spans="3:25" x14ac:dyDescent="0.25">
      <c r="C437"/>
      <c r="G437" s="16"/>
      <c r="H437"/>
      <c r="I437" s="167"/>
      <c r="J437" s="167"/>
      <c r="K437" s="171"/>
      <c r="L437" s="167"/>
      <c r="M437" s="167"/>
      <c r="N437" s="167"/>
      <c r="S437"/>
      <c r="T437"/>
      <c r="U437"/>
      <c r="V437"/>
      <c r="W437"/>
      <c r="X437"/>
      <c r="Y437"/>
    </row>
    <row r="438" spans="3:25" x14ac:dyDescent="0.25">
      <c r="C438"/>
      <c r="G438" s="16"/>
      <c r="H438"/>
      <c r="I438" s="167"/>
      <c r="J438" s="167"/>
      <c r="K438" s="171"/>
      <c r="L438" s="167"/>
      <c r="M438" s="167"/>
      <c r="N438" s="167"/>
      <c r="S438"/>
      <c r="T438"/>
      <c r="U438"/>
      <c r="V438"/>
      <c r="W438"/>
      <c r="X438"/>
      <c r="Y438"/>
    </row>
    <row r="439" spans="3:25" x14ac:dyDescent="0.25">
      <c r="C439"/>
      <c r="G439" s="16"/>
      <c r="H439"/>
      <c r="I439" s="167"/>
      <c r="J439" s="167"/>
      <c r="K439" s="171"/>
      <c r="L439" s="167"/>
      <c r="M439" s="167"/>
      <c r="N439" s="167"/>
      <c r="S439"/>
      <c r="T439"/>
      <c r="U439"/>
      <c r="V439"/>
      <c r="W439"/>
      <c r="X439"/>
      <c r="Y439"/>
    </row>
    <row r="440" spans="3:25" x14ac:dyDescent="0.25">
      <c r="C440"/>
      <c r="G440" s="16"/>
      <c r="H440"/>
      <c r="I440" s="167"/>
      <c r="J440" s="167"/>
      <c r="K440" s="171"/>
      <c r="L440" s="167"/>
      <c r="M440" s="167"/>
      <c r="N440" s="167"/>
      <c r="S440"/>
      <c r="T440"/>
      <c r="U440"/>
      <c r="V440"/>
      <c r="W440"/>
      <c r="X440"/>
      <c r="Y440"/>
    </row>
    <row r="441" spans="3:25" x14ac:dyDescent="0.25">
      <c r="C441"/>
      <c r="G441" s="16"/>
      <c r="H441"/>
      <c r="I441" s="167"/>
      <c r="J441" s="167"/>
      <c r="K441" s="171"/>
      <c r="L441" s="167"/>
      <c r="M441" s="167"/>
      <c r="N441" s="167"/>
      <c r="S441"/>
      <c r="T441"/>
      <c r="U441"/>
      <c r="V441"/>
      <c r="W441"/>
      <c r="X441"/>
      <c r="Y441"/>
    </row>
    <row r="442" spans="3:25" x14ac:dyDescent="0.25">
      <c r="C442"/>
      <c r="G442" s="16"/>
      <c r="H442"/>
      <c r="I442" s="167"/>
      <c r="J442" s="167"/>
      <c r="K442" s="171"/>
      <c r="L442" s="167"/>
      <c r="M442" s="167"/>
      <c r="N442" s="167"/>
      <c r="S442"/>
      <c r="T442"/>
      <c r="U442"/>
      <c r="V442"/>
      <c r="W442"/>
      <c r="X442"/>
      <c r="Y442"/>
    </row>
    <row r="443" spans="3:25" x14ac:dyDescent="0.25">
      <c r="C443"/>
      <c r="G443" s="16"/>
      <c r="H443"/>
      <c r="I443" s="167"/>
      <c r="J443" s="167"/>
      <c r="K443" s="171"/>
      <c r="L443" s="167"/>
      <c r="M443" s="167"/>
      <c r="N443" s="167"/>
      <c r="S443"/>
      <c r="T443"/>
      <c r="U443"/>
      <c r="V443"/>
      <c r="W443"/>
      <c r="X443"/>
      <c r="Y443"/>
    </row>
    <row r="444" spans="3:25" x14ac:dyDescent="0.25">
      <c r="C444"/>
      <c r="G444" s="16"/>
      <c r="H444"/>
      <c r="I444" s="167"/>
      <c r="J444" s="167"/>
      <c r="K444" s="171"/>
      <c r="L444" s="167"/>
      <c r="M444" s="167"/>
      <c r="N444" s="167"/>
      <c r="S444"/>
      <c r="T444"/>
      <c r="U444"/>
      <c r="V444"/>
      <c r="W444"/>
      <c r="X444"/>
      <c r="Y444"/>
    </row>
    <row r="445" spans="3:25" x14ac:dyDescent="0.25">
      <c r="C445"/>
      <c r="G445" s="16"/>
      <c r="H445"/>
      <c r="I445" s="167"/>
      <c r="J445" s="167"/>
      <c r="K445" s="171"/>
      <c r="L445" s="167"/>
      <c r="M445" s="167"/>
      <c r="N445" s="167"/>
      <c r="S445"/>
      <c r="T445"/>
      <c r="U445"/>
      <c r="V445"/>
      <c r="W445"/>
      <c r="X445"/>
      <c r="Y445"/>
    </row>
    <row r="446" spans="3:25" x14ac:dyDescent="0.25">
      <c r="C446"/>
      <c r="G446" s="16"/>
      <c r="H446"/>
      <c r="I446" s="167"/>
      <c r="J446" s="167"/>
      <c r="K446" s="171"/>
      <c r="L446" s="167"/>
      <c r="M446" s="167"/>
      <c r="N446" s="167"/>
      <c r="S446"/>
      <c r="T446"/>
      <c r="U446"/>
      <c r="V446"/>
      <c r="W446"/>
      <c r="X446"/>
      <c r="Y446"/>
    </row>
    <row r="447" spans="3:25" x14ac:dyDescent="0.25">
      <c r="C447"/>
      <c r="G447" s="16"/>
      <c r="H447"/>
      <c r="I447" s="167"/>
      <c r="J447" s="167"/>
      <c r="K447" s="171"/>
      <c r="L447" s="167"/>
      <c r="M447" s="167"/>
      <c r="N447" s="167"/>
      <c r="S447"/>
      <c r="T447"/>
      <c r="U447"/>
      <c r="V447"/>
      <c r="W447"/>
      <c r="X447"/>
      <c r="Y447"/>
    </row>
    <row r="448" spans="3:25" x14ac:dyDescent="0.25">
      <c r="C448"/>
      <c r="G448" s="16"/>
      <c r="H448"/>
      <c r="I448" s="167"/>
      <c r="J448" s="167"/>
      <c r="K448" s="171"/>
      <c r="L448" s="167"/>
      <c r="M448" s="167"/>
      <c r="N448" s="167"/>
      <c r="S448"/>
      <c r="T448"/>
      <c r="U448"/>
      <c r="V448"/>
      <c r="W448"/>
      <c r="X448"/>
      <c r="Y448"/>
    </row>
    <row r="449" spans="3:25" x14ac:dyDescent="0.25">
      <c r="C449"/>
      <c r="G449" s="16"/>
      <c r="H449"/>
      <c r="I449" s="167"/>
      <c r="J449" s="167"/>
      <c r="K449" s="171"/>
      <c r="L449" s="167"/>
      <c r="M449" s="167"/>
      <c r="N449" s="167"/>
      <c r="S449"/>
      <c r="T449"/>
      <c r="U449"/>
      <c r="V449"/>
      <c r="W449"/>
      <c r="X449"/>
      <c r="Y449"/>
    </row>
    <row r="450" spans="3:25" x14ac:dyDescent="0.25">
      <c r="C450"/>
      <c r="G450" s="16"/>
      <c r="H450"/>
      <c r="I450" s="167"/>
      <c r="J450" s="167"/>
      <c r="K450" s="171"/>
      <c r="L450" s="167"/>
      <c r="M450" s="167"/>
      <c r="N450" s="167"/>
      <c r="S450"/>
      <c r="T450"/>
      <c r="U450"/>
      <c r="V450"/>
      <c r="W450"/>
      <c r="X450"/>
      <c r="Y450"/>
    </row>
    <row r="451" spans="3:25" x14ac:dyDescent="0.25">
      <c r="C451"/>
      <c r="G451" s="16"/>
      <c r="H451"/>
      <c r="I451" s="167"/>
      <c r="J451" s="167"/>
      <c r="K451" s="171"/>
      <c r="L451" s="167"/>
      <c r="M451" s="167"/>
      <c r="N451" s="167"/>
      <c r="S451"/>
      <c r="T451"/>
      <c r="U451"/>
      <c r="V451"/>
      <c r="W451"/>
      <c r="X451"/>
      <c r="Y451"/>
    </row>
    <row r="452" spans="3:25" x14ac:dyDescent="0.25">
      <c r="C452"/>
      <c r="G452" s="16"/>
      <c r="H452"/>
      <c r="I452" s="167"/>
      <c r="J452" s="167"/>
      <c r="K452" s="171"/>
      <c r="L452" s="167"/>
      <c r="M452" s="167"/>
      <c r="N452" s="167"/>
      <c r="S452"/>
      <c r="T452"/>
      <c r="U452"/>
      <c r="V452"/>
      <c r="W452"/>
      <c r="X452"/>
      <c r="Y452"/>
    </row>
    <row r="453" spans="3:25" x14ac:dyDescent="0.25">
      <c r="C453"/>
      <c r="G453" s="16"/>
      <c r="H453"/>
      <c r="I453" s="167"/>
      <c r="J453" s="167"/>
      <c r="K453" s="171"/>
      <c r="L453" s="167"/>
      <c r="M453" s="167"/>
      <c r="N453" s="167"/>
      <c r="S453"/>
      <c r="T453"/>
      <c r="U453"/>
      <c r="V453"/>
      <c r="W453"/>
      <c r="X453"/>
      <c r="Y453"/>
    </row>
    <row r="454" spans="3:25" x14ac:dyDescent="0.25">
      <c r="C454"/>
      <c r="G454" s="16"/>
      <c r="H454"/>
      <c r="I454" s="167"/>
      <c r="J454" s="167"/>
      <c r="K454" s="171"/>
      <c r="L454" s="167"/>
      <c r="M454" s="167"/>
      <c r="N454" s="167"/>
      <c r="S454"/>
      <c r="T454"/>
      <c r="U454"/>
      <c r="V454"/>
      <c r="W454"/>
      <c r="X454"/>
      <c r="Y454"/>
    </row>
    <row r="455" spans="3:25" x14ac:dyDescent="0.25">
      <c r="C455"/>
      <c r="G455" s="16"/>
      <c r="H455"/>
      <c r="I455" s="167"/>
      <c r="J455" s="167"/>
      <c r="K455" s="171"/>
      <c r="L455" s="167"/>
      <c r="M455" s="167"/>
      <c r="N455" s="167"/>
      <c r="S455"/>
      <c r="T455"/>
      <c r="U455"/>
      <c r="V455"/>
      <c r="W455"/>
      <c r="X455"/>
      <c r="Y455"/>
    </row>
    <row r="456" spans="3:25" x14ac:dyDescent="0.25">
      <c r="C456"/>
      <c r="G456" s="16"/>
      <c r="H456"/>
      <c r="I456" s="167"/>
      <c r="J456" s="167"/>
      <c r="K456" s="171"/>
      <c r="L456" s="167"/>
      <c r="M456" s="167"/>
      <c r="N456" s="167"/>
      <c r="S456"/>
      <c r="T456"/>
      <c r="U456"/>
      <c r="V456"/>
      <c r="W456"/>
      <c r="X456"/>
      <c r="Y456"/>
    </row>
    <row r="457" spans="3:25" x14ac:dyDescent="0.25">
      <c r="C457"/>
      <c r="G457" s="16"/>
      <c r="H457"/>
      <c r="I457" s="167"/>
      <c r="J457" s="167"/>
      <c r="K457" s="171"/>
      <c r="L457" s="167"/>
      <c r="M457" s="167"/>
      <c r="N457" s="167"/>
      <c r="S457"/>
      <c r="T457"/>
      <c r="U457"/>
      <c r="V457"/>
      <c r="W457"/>
      <c r="X457"/>
      <c r="Y457"/>
    </row>
    <row r="458" spans="3:25" x14ac:dyDescent="0.25">
      <c r="C458"/>
      <c r="G458" s="16"/>
      <c r="H458"/>
      <c r="I458" s="167"/>
      <c r="J458" s="167"/>
      <c r="K458" s="171"/>
      <c r="L458" s="167"/>
      <c r="M458" s="167"/>
      <c r="N458" s="167"/>
      <c r="S458"/>
      <c r="T458"/>
      <c r="U458"/>
      <c r="V458"/>
      <c r="W458"/>
      <c r="X458"/>
      <c r="Y458"/>
    </row>
    <row r="459" spans="3:25" x14ac:dyDescent="0.25">
      <c r="C459"/>
      <c r="G459" s="16"/>
      <c r="H459"/>
      <c r="I459" s="167"/>
      <c r="J459" s="167"/>
      <c r="K459" s="171"/>
      <c r="L459" s="167"/>
      <c r="M459" s="167"/>
      <c r="N459" s="167"/>
      <c r="S459"/>
      <c r="T459"/>
      <c r="U459"/>
      <c r="V459"/>
      <c r="W459"/>
      <c r="X459"/>
      <c r="Y459"/>
    </row>
    <row r="460" spans="3:25" x14ac:dyDescent="0.25">
      <c r="C460"/>
      <c r="G460" s="16"/>
      <c r="H460"/>
      <c r="I460" s="167"/>
      <c r="J460" s="167"/>
      <c r="K460" s="171"/>
      <c r="L460" s="167"/>
      <c r="M460" s="167"/>
      <c r="N460" s="167"/>
      <c r="S460"/>
      <c r="T460"/>
      <c r="U460"/>
      <c r="V460"/>
      <c r="W460"/>
      <c r="X460"/>
      <c r="Y460"/>
    </row>
    <row r="461" spans="3:25" x14ac:dyDescent="0.25">
      <c r="C461"/>
      <c r="G461" s="16"/>
      <c r="H461"/>
      <c r="I461" s="167"/>
      <c r="J461" s="167"/>
      <c r="K461" s="171"/>
      <c r="L461" s="167"/>
      <c r="M461" s="167"/>
      <c r="N461" s="167"/>
      <c r="S461"/>
      <c r="T461"/>
      <c r="U461"/>
      <c r="V461"/>
      <c r="W461"/>
      <c r="X461"/>
      <c r="Y461"/>
    </row>
    <row r="462" spans="3:25" x14ac:dyDescent="0.25">
      <c r="C462"/>
      <c r="G462" s="16"/>
      <c r="H462"/>
      <c r="I462" s="167"/>
      <c r="J462" s="167"/>
      <c r="K462" s="171"/>
      <c r="L462" s="167"/>
      <c r="M462" s="167"/>
      <c r="N462" s="167"/>
      <c r="S462"/>
      <c r="T462"/>
      <c r="U462"/>
      <c r="V462"/>
      <c r="W462"/>
      <c r="X462"/>
      <c r="Y462"/>
    </row>
    <row r="463" spans="3:25" x14ac:dyDescent="0.25">
      <c r="C463"/>
      <c r="G463" s="16"/>
      <c r="H463"/>
      <c r="I463" s="167"/>
      <c r="J463" s="167"/>
      <c r="K463" s="171"/>
      <c r="L463" s="167"/>
      <c r="M463" s="167"/>
      <c r="N463" s="167"/>
      <c r="S463"/>
      <c r="T463"/>
      <c r="U463"/>
      <c r="V463"/>
      <c r="W463"/>
      <c r="X463"/>
      <c r="Y463"/>
    </row>
    <row r="464" spans="3:25" x14ac:dyDescent="0.25">
      <c r="C464"/>
      <c r="G464" s="16"/>
      <c r="H464"/>
      <c r="I464" s="167"/>
      <c r="J464" s="167"/>
      <c r="K464" s="171"/>
      <c r="L464" s="167"/>
      <c r="M464" s="167"/>
      <c r="N464" s="167"/>
      <c r="S464"/>
      <c r="T464"/>
      <c r="U464"/>
      <c r="V464"/>
      <c r="W464"/>
      <c r="X464"/>
      <c r="Y464"/>
    </row>
    <row r="465" spans="3:25" x14ac:dyDescent="0.25">
      <c r="C465"/>
      <c r="G465" s="16"/>
      <c r="H465"/>
      <c r="I465" s="167"/>
      <c r="J465" s="167"/>
      <c r="K465" s="171"/>
      <c r="L465" s="167"/>
      <c r="M465" s="167"/>
      <c r="N465" s="167"/>
      <c r="S465"/>
      <c r="T465"/>
      <c r="U465"/>
      <c r="V465"/>
      <c r="W465"/>
      <c r="X465"/>
      <c r="Y465"/>
    </row>
    <row r="466" spans="3:25" x14ac:dyDescent="0.25">
      <c r="C466"/>
      <c r="G466" s="16"/>
      <c r="H466"/>
      <c r="I466" s="167"/>
      <c r="J466" s="167"/>
      <c r="K466" s="171"/>
      <c r="L466" s="167"/>
      <c r="M466" s="167"/>
      <c r="N466" s="167"/>
      <c r="S466"/>
      <c r="T466"/>
      <c r="U466"/>
      <c r="V466"/>
      <c r="W466"/>
      <c r="X466"/>
      <c r="Y466"/>
    </row>
    <row r="467" spans="3:25" x14ac:dyDescent="0.25">
      <c r="C467"/>
      <c r="G467" s="16"/>
      <c r="H467"/>
      <c r="I467" s="167"/>
      <c r="J467" s="167"/>
      <c r="K467" s="171"/>
      <c r="L467" s="167"/>
      <c r="M467" s="167"/>
      <c r="N467" s="167"/>
      <c r="S467"/>
      <c r="T467"/>
      <c r="U467"/>
      <c r="V467"/>
      <c r="W467"/>
      <c r="X467"/>
      <c r="Y467"/>
    </row>
    <row r="468" spans="3:25" x14ac:dyDescent="0.25">
      <c r="C468"/>
      <c r="G468" s="16"/>
      <c r="H468"/>
      <c r="I468" s="167"/>
      <c r="J468" s="167"/>
      <c r="K468" s="171"/>
      <c r="L468" s="167"/>
      <c r="M468" s="167"/>
      <c r="N468" s="167"/>
      <c r="S468"/>
      <c r="T468"/>
      <c r="U468"/>
      <c r="V468"/>
      <c r="W468"/>
      <c r="X468"/>
      <c r="Y468"/>
    </row>
    <row r="469" spans="3:25" x14ac:dyDescent="0.25">
      <c r="C469"/>
      <c r="G469" s="16"/>
      <c r="H469"/>
      <c r="I469" s="167"/>
      <c r="J469" s="167"/>
      <c r="K469" s="171"/>
      <c r="L469" s="167"/>
      <c r="M469" s="167"/>
      <c r="N469" s="167"/>
      <c r="S469"/>
      <c r="T469"/>
      <c r="U469"/>
      <c r="V469"/>
      <c r="W469"/>
      <c r="X469"/>
      <c r="Y469"/>
    </row>
    <row r="470" spans="3:25" x14ac:dyDescent="0.25">
      <c r="C470"/>
      <c r="G470" s="16"/>
      <c r="H470"/>
      <c r="I470" s="167"/>
      <c r="J470" s="167"/>
      <c r="K470" s="171"/>
      <c r="L470" s="167"/>
      <c r="M470" s="167"/>
      <c r="N470" s="167"/>
      <c r="S470"/>
      <c r="T470"/>
      <c r="U470"/>
      <c r="V470"/>
      <c r="W470"/>
      <c r="X470"/>
      <c r="Y470"/>
    </row>
    <row r="471" spans="3:25" x14ac:dyDescent="0.25">
      <c r="C471"/>
      <c r="G471" s="16"/>
      <c r="H471"/>
      <c r="I471" s="167"/>
      <c r="J471" s="167"/>
      <c r="K471" s="171"/>
      <c r="L471" s="167"/>
      <c r="M471" s="167"/>
      <c r="N471" s="167"/>
      <c r="S471"/>
      <c r="T471"/>
      <c r="U471"/>
      <c r="V471"/>
      <c r="W471"/>
      <c r="X471"/>
      <c r="Y471"/>
    </row>
    <row r="472" spans="3:25" x14ac:dyDescent="0.25">
      <c r="C472"/>
      <c r="G472" s="16"/>
      <c r="H472"/>
      <c r="I472" s="167"/>
      <c r="J472" s="167"/>
      <c r="K472" s="171"/>
      <c r="L472" s="167"/>
      <c r="M472" s="167"/>
      <c r="N472" s="167"/>
      <c r="S472"/>
      <c r="T472"/>
      <c r="U472"/>
      <c r="V472"/>
      <c r="W472"/>
      <c r="X472"/>
      <c r="Y472"/>
    </row>
    <row r="473" spans="3:25" x14ac:dyDescent="0.25">
      <c r="C473"/>
      <c r="G473" s="16"/>
      <c r="H473"/>
      <c r="I473" s="167"/>
      <c r="J473" s="167"/>
      <c r="K473" s="171"/>
      <c r="L473" s="167"/>
      <c r="M473" s="167"/>
      <c r="N473" s="167"/>
      <c r="S473"/>
      <c r="T473"/>
      <c r="U473"/>
      <c r="V473"/>
      <c r="W473"/>
      <c r="X473"/>
      <c r="Y473"/>
    </row>
    <row r="474" spans="3:25" x14ac:dyDescent="0.25">
      <c r="C474"/>
      <c r="G474" s="16"/>
      <c r="H474"/>
      <c r="I474" s="167"/>
      <c r="J474" s="167"/>
      <c r="K474" s="171"/>
      <c r="L474" s="167"/>
      <c r="M474" s="167"/>
      <c r="N474" s="167"/>
      <c r="S474"/>
      <c r="T474"/>
      <c r="U474"/>
      <c r="V474"/>
      <c r="W474"/>
      <c r="X474"/>
      <c r="Y474"/>
    </row>
    <row r="475" spans="3:25" x14ac:dyDescent="0.25">
      <c r="C475"/>
      <c r="G475" s="16"/>
      <c r="H475"/>
      <c r="I475" s="167"/>
      <c r="J475" s="167"/>
      <c r="K475" s="171"/>
      <c r="L475" s="167"/>
      <c r="M475" s="167"/>
      <c r="N475" s="167"/>
      <c r="S475"/>
      <c r="T475"/>
      <c r="U475"/>
      <c r="V475"/>
      <c r="W475"/>
      <c r="X475"/>
      <c r="Y475"/>
    </row>
    <row r="476" spans="3:25" x14ac:dyDescent="0.25">
      <c r="C476"/>
      <c r="G476" s="16"/>
      <c r="H476"/>
      <c r="I476" s="167"/>
      <c r="J476" s="167"/>
      <c r="K476" s="171"/>
      <c r="L476" s="167"/>
      <c r="M476" s="167"/>
      <c r="N476" s="167"/>
      <c r="S476"/>
      <c r="T476"/>
      <c r="U476"/>
      <c r="V476"/>
      <c r="W476"/>
      <c r="X476"/>
      <c r="Y476"/>
    </row>
    <row r="477" spans="3:25" x14ac:dyDescent="0.25">
      <c r="C477"/>
      <c r="G477" s="16"/>
      <c r="H477"/>
      <c r="I477" s="167"/>
      <c r="J477" s="167"/>
      <c r="K477" s="171"/>
      <c r="L477" s="167"/>
      <c r="M477" s="167"/>
      <c r="N477" s="167"/>
      <c r="S477"/>
      <c r="T477"/>
      <c r="U477"/>
      <c r="V477"/>
      <c r="W477"/>
      <c r="X477"/>
      <c r="Y477"/>
    </row>
    <row r="478" spans="3:25" x14ac:dyDescent="0.25">
      <c r="C478"/>
      <c r="G478" s="16"/>
      <c r="H478"/>
      <c r="I478" s="167"/>
      <c r="J478" s="167"/>
      <c r="K478" s="171"/>
      <c r="L478" s="167"/>
      <c r="M478" s="167"/>
      <c r="N478" s="167"/>
      <c r="S478"/>
      <c r="T478"/>
      <c r="U478"/>
      <c r="V478"/>
      <c r="W478"/>
      <c r="X478"/>
      <c r="Y478"/>
    </row>
    <row r="479" spans="3:25" x14ac:dyDescent="0.25">
      <c r="C479"/>
      <c r="G479" s="16"/>
      <c r="H479"/>
      <c r="I479" s="167"/>
      <c r="J479" s="167"/>
      <c r="K479" s="171"/>
      <c r="L479" s="167"/>
      <c r="M479" s="167"/>
      <c r="N479" s="167"/>
      <c r="S479"/>
      <c r="T479"/>
      <c r="U479"/>
      <c r="V479"/>
      <c r="W479"/>
      <c r="X479"/>
      <c r="Y479"/>
    </row>
    <row r="480" spans="3:25" x14ac:dyDescent="0.25">
      <c r="C480"/>
      <c r="G480" s="16"/>
      <c r="H480"/>
      <c r="I480" s="167"/>
      <c r="J480" s="167"/>
      <c r="K480" s="171"/>
      <c r="L480" s="167"/>
      <c r="M480" s="167"/>
      <c r="N480" s="167"/>
      <c r="S480"/>
      <c r="T480"/>
      <c r="U480"/>
      <c r="V480"/>
      <c r="W480"/>
      <c r="X480"/>
      <c r="Y480"/>
    </row>
    <row r="481" spans="3:25" x14ac:dyDescent="0.25">
      <c r="C481"/>
      <c r="G481" s="16"/>
      <c r="H481"/>
      <c r="I481" s="167"/>
      <c r="J481" s="167"/>
      <c r="K481" s="171"/>
      <c r="L481" s="167"/>
      <c r="M481" s="167"/>
      <c r="N481" s="167"/>
      <c r="S481"/>
      <c r="T481"/>
      <c r="U481"/>
      <c r="V481"/>
      <c r="W481"/>
      <c r="X481"/>
      <c r="Y481"/>
    </row>
    <row r="482" spans="3:25" x14ac:dyDescent="0.25">
      <c r="C482"/>
      <c r="G482" s="16"/>
      <c r="H482"/>
      <c r="I482" s="167"/>
      <c r="J482" s="167"/>
      <c r="K482" s="171"/>
      <c r="L482" s="167"/>
      <c r="M482" s="167"/>
      <c r="N482" s="167"/>
      <c r="S482"/>
      <c r="T482"/>
      <c r="U482"/>
      <c r="V482"/>
      <c r="W482"/>
      <c r="X482"/>
      <c r="Y482"/>
    </row>
    <row r="483" spans="3:25" x14ac:dyDescent="0.25">
      <c r="C483"/>
      <c r="G483" s="16"/>
      <c r="H483"/>
      <c r="I483" s="167"/>
      <c r="J483" s="167"/>
      <c r="K483" s="171"/>
      <c r="L483" s="167"/>
      <c r="M483" s="167"/>
      <c r="N483" s="167"/>
      <c r="S483"/>
      <c r="T483"/>
      <c r="U483"/>
      <c r="V483"/>
      <c r="W483"/>
      <c r="X483"/>
      <c r="Y483"/>
    </row>
    <row r="484" spans="3:25" x14ac:dyDescent="0.25">
      <c r="C484"/>
      <c r="G484" s="16"/>
      <c r="H484"/>
      <c r="I484" s="167"/>
      <c r="J484" s="167"/>
      <c r="K484" s="171"/>
      <c r="L484" s="167"/>
      <c r="M484" s="167"/>
      <c r="N484" s="167"/>
      <c r="S484"/>
      <c r="T484"/>
      <c r="U484"/>
      <c r="V484"/>
      <c r="W484"/>
      <c r="X484"/>
      <c r="Y484"/>
    </row>
    <row r="485" spans="3:25" x14ac:dyDescent="0.25">
      <c r="C485"/>
      <c r="G485" s="16"/>
      <c r="H485"/>
      <c r="I485" s="167"/>
      <c r="J485" s="167"/>
      <c r="K485" s="171"/>
      <c r="L485" s="167"/>
      <c r="M485" s="167"/>
      <c r="N485" s="167"/>
      <c r="S485"/>
      <c r="T485"/>
      <c r="U485"/>
      <c r="V485"/>
      <c r="W485"/>
      <c r="X485"/>
      <c r="Y485"/>
    </row>
    <row r="486" spans="3:25" x14ac:dyDescent="0.25">
      <c r="C486"/>
      <c r="G486" s="16"/>
      <c r="H486"/>
      <c r="I486" s="167"/>
      <c r="J486" s="167"/>
      <c r="K486" s="171"/>
      <c r="L486" s="167"/>
      <c r="M486" s="167"/>
      <c r="N486" s="167"/>
      <c r="S486"/>
      <c r="T486"/>
      <c r="U486"/>
      <c r="V486"/>
      <c r="W486"/>
      <c r="X486"/>
      <c r="Y486"/>
    </row>
    <row r="487" spans="3:25" x14ac:dyDescent="0.25">
      <c r="C487"/>
      <c r="G487" s="16"/>
      <c r="H487"/>
      <c r="I487" s="167"/>
      <c r="J487" s="167"/>
      <c r="K487" s="171"/>
      <c r="L487" s="167"/>
      <c r="M487" s="167"/>
      <c r="N487" s="167"/>
      <c r="S487"/>
      <c r="T487"/>
      <c r="U487"/>
      <c r="V487"/>
      <c r="W487"/>
      <c r="X487"/>
      <c r="Y487"/>
    </row>
    <row r="488" spans="3:25" x14ac:dyDescent="0.25">
      <c r="C488"/>
      <c r="G488" s="16"/>
      <c r="H488"/>
      <c r="I488" s="167"/>
      <c r="J488" s="167"/>
      <c r="K488" s="171"/>
      <c r="L488" s="167"/>
      <c r="M488" s="167"/>
      <c r="N488" s="167"/>
      <c r="S488"/>
      <c r="T488"/>
      <c r="U488"/>
      <c r="V488"/>
      <c r="W488"/>
      <c r="X488"/>
      <c r="Y488"/>
    </row>
    <row r="489" spans="3:25" x14ac:dyDescent="0.25">
      <c r="C489"/>
      <c r="G489" s="16"/>
      <c r="H489"/>
      <c r="I489" s="167"/>
      <c r="J489" s="167"/>
      <c r="K489" s="171"/>
      <c r="L489" s="167"/>
      <c r="M489" s="167"/>
      <c r="N489" s="167"/>
      <c r="S489"/>
      <c r="T489"/>
      <c r="U489"/>
      <c r="V489"/>
      <c r="W489"/>
      <c r="X489"/>
      <c r="Y489"/>
    </row>
    <row r="490" spans="3:25" x14ac:dyDescent="0.25">
      <c r="C490"/>
      <c r="G490" s="16"/>
      <c r="H490"/>
      <c r="I490" s="167"/>
      <c r="J490" s="167"/>
      <c r="K490" s="171"/>
      <c r="L490" s="167"/>
      <c r="M490" s="167"/>
      <c r="N490" s="167"/>
      <c r="S490"/>
      <c r="T490"/>
      <c r="U490"/>
      <c r="V490"/>
      <c r="W490"/>
      <c r="X490"/>
      <c r="Y490"/>
    </row>
    <row r="491" spans="3:25" x14ac:dyDescent="0.25">
      <c r="C491"/>
      <c r="G491" s="16"/>
      <c r="H491"/>
      <c r="I491" s="167"/>
      <c r="J491" s="167"/>
      <c r="K491" s="171"/>
      <c r="L491" s="167"/>
      <c r="M491" s="167"/>
      <c r="N491" s="167"/>
      <c r="S491"/>
      <c r="T491"/>
      <c r="U491"/>
      <c r="V491"/>
      <c r="W491"/>
      <c r="X491"/>
      <c r="Y491"/>
    </row>
    <row r="492" spans="3:25" x14ac:dyDescent="0.25">
      <c r="C492"/>
      <c r="G492" s="16"/>
      <c r="H492"/>
      <c r="I492" s="167"/>
      <c r="J492" s="167"/>
      <c r="K492" s="171"/>
      <c r="L492" s="167"/>
      <c r="M492" s="167"/>
      <c r="N492" s="167"/>
      <c r="S492"/>
      <c r="T492"/>
      <c r="U492"/>
      <c r="V492"/>
      <c r="W492"/>
      <c r="X492"/>
      <c r="Y492"/>
    </row>
    <row r="493" spans="3:25" x14ac:dyDescent="0.25">
      <c r="C493"/>
      <c r="G493" s="16"/>
      <c r="H493"/>
      <c r="I493" s="167"/>
      <c r="J493" s="167"/>
      <c r="K493" s="171"/>
      <c r="L493" s="167"/>
      <c r="M493" s="167"/>
      <c r="N493" s="167"/>
      <c r="S493"/>
      <c r="T493"/>
      <c r="U493"/>
      <c r="V493"/>
      <c r="W493"/>
      <c r="X493"/>
      <c r="Y493"/>
    </row>
    <row r="494" spans="3:25" x14ac:dyDescent="0.25">
      <c r="C494"/>
      <c r="G494" s="16"/>
      <c r="H494"/>
      <c r="I494" s="167"/>
      <c r="J494" s="167"/>
      <c r="K494" s="171"/>
      <c r="L494" s="167"/>
      <c r="M494" s="167"/>
      <c r="N494" s="167"/>
      <c r="S494"/>
      <c r="T494"/>
      <c r="U494"/>
      <c r="V494"/>
      <c r="W494"/>
      <c r="X494"/>
      <c r="Y494"/>
    </row>
    <row r="495" spans="3:25" x14ac:dyDescent="0.25">
      <c r="C495"/>
      <c r="G495" s="16"/>
      <c r="H495"/>
      <c r="I495" s="167"/>
      <c r="J495" s="167"/>
      <c r="K495" s="171"/>
      <c r="L495" s="167"/>
      <c r="M495" s="167"/>
      <c r="N495" s="167"/>
      <c r="S495"/>
      <c r="T495"/>
      <c r="U495"/>
      <c r="V495"/>
      <c r="W495"/>
      <c r="X495"/>
      <c r="Y495"/>
    </row>
    <row r="496" spans="3:25" x14ac:dyDescent="0.25">
      <c r="C496"/>
      <c r="G496" s="16"/>
      <c r="H496"/>
      <c r="I496" s="167"/>
      <c r="J496" s="167"/>
      <c r="K496" s="171"/>
      <c r="L496" s="167"/>
      <c r="M496" s="167"/>
      <c r="N496" s="167"/>
      <c r="S496"/>
      <c r="T496"/>
      <c r="U496"/>
      <c r="V496"/>
      <c r="W496"/>
      <c r="X496"/>
      <c r="Y496"/>
    </row>
    <row r="497" spans="3:25" x14ac:dyDescent="0.25">
      <c r="C497"/>
      <c r="G497" s="16"/>
      <c r="H497"/>
      <c r="I497" s="167"/>
      <c r="J497" s="167"/>
      <c r="K497" s="171"/>
      <c r="L497" s="167"/>
      <c r="M497" s="167"/>
      <c r="N497" s="167"/>
      <c r="S497"/>
      <c r="T497"/>
      <c r="U497"/>
      <c r="V497"/>
      <c r="W497"/>
      <c r="X497"/>
      <c r="Y497"/>
    </row>
    <row r="498" spans="3:25" x14ac:dyDescent="0.25">
      <c r="C498"/>
      <c r="G498" s="16"/>
      <c r="H498"/>
      <c r="I498" s="167"/>
      <c r="J498" s="167"/>
      <c r="K498" s="171"/>
      <c r="L498" s="167"/>
      <c r="M498" s="167"/>
      <c r="N498" s="167"/>
      <c r="S498"/>
      <c r="T498"/>
      <c r="U498"/>
      <c r="V498"/>
      <c r="W498"/>
      <c r="X498"/>
      <c r="Y498"/>
    </row>
    <row r="499" spans="3:25" x14ac:dyDescent="0.25">
      <c r="C499"/>
      <c r="G499" s="16"/>
      <c r="H499"/>
      <c r="I499" s="167"/>
      <c r="J499" s="167"/>
      <c r="K499" s="171"/>
      <c r="L499" s="167"/>
      <c r="M499" s="167"/>
      <c r="N499" s="167"/>
      <c r="S499"/>
      <c r="T499"/>
      <c r="U499"/>
      <c r="V499"/>
      <c r="W499"/>
      <c r="X499"/>
      <c r="Y499"/>
    </row>
    <row r="500" spans="3:25" x14ac:dyDescent="0.25">
      <c r="C500"/>
      <c r="G500" s="16"/>
      <c r="H500"/>
      <c r="I500" s="167"/>
      <c r="J500" s="167"/>
      <c r="K500" s="171"/>
      <c r="L500" s="167"/>
      <c r="M500" s="167"/>
      <c r="N500" s="167"/>
      <c r="S500"/>
      <c r="T500"/>
      <c r="U500"/>
      <c r="V500"/>
      <c r="W500"/>
      <c r="X500"/>
      <c r="Y500"/>
    </row>
    <row r="501" spans="3:25" x14ac:dyDescent="0.25">
      <c r="C501"/>
      <c r="G501" s="16"/>
      <c r="H501"/>
      <c r="I501" s="167"/>
      <c r="J501" s="167"/>
      <c r="K501" s="171"/>
      <c r="L501" s="167"/>
      <c r="M501" s="167"/>
      <c r="N501" s="167"/>
      <c r="S501"/>
      <c r="T501"/>
      <c r="U501"/>
      <c r="V501"/>
      <c r="W501"/>
      <c r="X501"/>
      <c r="Y501"/>
    </row>
    <row r="502" spans="3:25" x14ac:dyDescent="0.25">
      <c r="C502"/>
      <c r="G502" s="16"/>
      <c r="H502"/>
      <c r="I502" s="167"/>
      <c r="J502" s="167"/>
      <c r="K502" s="171"/>
      <c r="L502" s="167"/>
      <c r="M502" s="167"/>
      <c r="N502" s="167"/>
      <c r="S502"/>
      <c r="T502"/>
      <c r="U502"/>
      <c r="V502"/>
      <c r="W502"/>
      <c r="X502"/>
      <c r="Y502"/>
    </row>
    <row r="503" spans="3:25" x14ac:dyDescent="0.25">
      <c r="C503"/>
      <c r="G503" s="16"/>
      <c r="H503"/>
      <c r="I503" s="167"/>
      <c r="J503" s="167"/>
      <c r="K503" s="171"/>
      <c r="L503" s="167"/>
      <c r="M503" s="167"/>
      <c r="N503" s="167"/>
      <c r="S503"/>
      <c r="T503"/>
      <c r="U503"/>
      <c r="V503"/>
      <c r="W503"/>
      <c r="X503"/>
      <c r="Y503"/>
    </row>
    <row r="504" spans="3:25" x14ac:dyDescent="0.25">
      <c r="C504"/>
      <c r="G504" s="16"/>
      <c r="H504"/>
      <c r="I504" s="167"/>
      <c r="J504" s="167"/>
      <c r="K504" s="171"/>
      <c r="L504" s="167"/>
      <c r="M504" s="167"/>
      <c r="N504" s="167"/>
      <c r="S504"/>
      <c r="T504"/>
      <c r="U504"/>
      <c r="V504"/>
      <c r="W504"/>
      <c r="X504"/>
      <c r="Y504"/>
    </row>
    <row r="505" spans="3:25" x14ac:dyDescent="0.25">
      <c r="C505"/>
      <c r="G505" s="16"/>
      <c r="H505"/>
      <c r="I505" s="167"/>
      <c r="J505" s="167"/>
      <c r="K505" s="171"/>
      <c r="L505" s="167"/>
      <c r="M505" s="167"/>
      <c r="N505" s="167"/>
      <c r="S505"/>
      <c r="T505"/>
      <c r="U505"/>
      <c r="V505"/>
      <c r="W505"/>
      <c r="X505"/>
      <c r="Y505"/>
    </row>
    <row r="506" spans="3:25" x14ac:dyDescent="0.25">
      <c r="C506"/>
      <c r="G506" s="16"/>
      <c r="H506"/>
      <c r="I506" s="167"/>
      <c r="J506" s="167"/>
      <c r="K506" s="171"/>
      <c r="L506" s="167"/>
      <c r="M506" s="167"/>
      <c r="N506" s="167"/>
      <c r="S506"/>
      <c r="T506"/>
      <c r="U506"/>
      <c r="V506"/>
      <c r="W506"/>
      <c r="X506"/>
      <c r="Y506"/>
    </row>
    <row r="507" spans="3:25" x14ac:dyDescent="0.25">
      <c r="C507"/>
      <c r="G507" s="16"/>
      <c r="H507"/>
      <c r="I507" s="167"/>
      <c r="J507" s="167"/>
      <c r="K507" s="171"/>
      <c r="L507" s="167"/>
      <c r="M507" s="167"/>
      <c r="N507" s="167"/>
      <c r="S507"/>
      <c r="T507"/>
      <c r="U507"/>
      <c r="V507"/>
      <c r="W507"/>
      <c r="X507"/>
      <c r="Y507"/>
    </row>
    <row r="508" spans="3:25" x14ac:dyDescent="0.25">
      <c r="C508"/>
      <c r="G508" s="16"/>
      <c r="H508"/>
      <c r="I508" s="167"/>
      <c r="J508" s="167"/>
      <c r="K508" s="171"/>
      <c r="L508" s="167"/>
      <c r="M508" s="167"/>
      <c r="N508" s="167"/>
      <c r="S508"/>
      <c r="T508"/>
      <c r="U508"/>
      <c r="V508"/>
      <c r="W508"/>
      <c r="X508"/>
      <c r="Y508"/>
    </row>
    <row r="509" spans="3:25" x14ac:dyDescent="0.25">
      <c r="C509"/>
      <c r="G509" s="16"/>
      <c r="H509"/>
      <c r="I509" s="167"/>
      <c r="J509" s="167"/>
      <c r="K509" s="171"/>
      <c r="L509" s="167"/>
      <c r="M509" s="167"/>
      <c r="N509" s="167"/>
      <c r="S509"/>
      <c r="T509"/>
      <c r="U509"/>
      <c r="V509"/>
      <c r="W509"/>
      <c r="X509"/>
      <c r="Y509"/>
    </row>
    <row r="510" spans="3:25" x14ac:dyDescent="0.25">
      <c r="C510"/>
      <c r="G510" s="16"/>
      <c r="H510"/>
      <c r="I510" s="167"/>
      <c r="J510" s="167"/>
      <c r="K510" s="171"/>
      <c r="L510" s="167"/>
      <c r="M510" s="167"/>
      <c r="N510" s="167"/>
      <c r="S510"/>
      <c r="T510"/>
      <c r="U510"/>
      <c r="V510"/>
      <c r="W510"/>
      <c r="X510"/>
      <c r="Y510"/>
    </row>
    <row r="511" spans="3:25" x14ac:dyDescent="0.25">
      <c r="C511"/>
      <c r="G511" s="16"/>
      <c r="H511"/>
      <c r="I511" s="167"/>
      <c r="J511" s="167"/>
      <c r="K511" s="171"/>
      <c r="L511" s="167"/>
      <c r="M511" s="167"/>
      <c r="N511" s="167"/>
      <c r="S511"/>
      <c r="T511"/>
      <c r="U511"/>
      <c r="V511"/>
      <c r="W511"/>
      <c r="X511"/>
      <c r="Y511"/>
    </row>
    <row r="512" spans="3:25" x14ac:dyDescent="0.25">
      <c r="C512"/>
      <c r="G512" s="16"/>
      <c r="H512"/>
      <c r="I512" s="167"/>
      <c r="J512" s="167"/>
      <c r="K512" s="171"/>
      <c r="L512" s="167"/>
      <c r="M512" s="167"/>
      <c r="N512" s="167"/>
      <c r="S512"/>
      <c r="T512"/>
      <c r="U512"/>
      <c r="V512"/>
      <c r="W512"/>
      <c r="X512"/>
      <c r="Y512"/>
    </row>
    <row r="513" spans="3:25" x14ac:dyDescent="0.25">
      <c r="C513"/>
      <c r="G513" s="16"/>
      <c r="H513"/>
      <c r="I513" s="167"/>
      <c r="J513" s="167"/>
      <c r="K513" s="171"/>
      <c r="L513" s="167"/>
      <c r="M513" s="167"/>
      <c r="N513" s="167"/>
      <c r="S513"/>
      <c r="T513"/>
      <c r="U513"/>
      <c r="V513"/>
      <c r="W513"/>
      <c r="X513"/>
      <c r="Y513"/>
    </row>
    <row r="514" spans="3:25" x14ac:dyDescent="0.25">
      <c r="C514"/>
      <c r="G514" s="16"/>
      <c r="H514"/>
      <c r="I514" s="167"/>
      <c r="J514" s="167"/>
      <c r="K514" s="171"/>
      <c r="L514" s="167"/>
      <c r="M514" s="167"/>
      <c r="N514" s="167"/>
      <c r="S514"/>
      <c r="T514"/>
      <c r="U514"/>
      <c r="V514"/>
      <c r="W514"/>
      <c r="X514"/>
      <c r="Y514"/>
    </row>
    <row r="515" spans="3:25" x14ac:dyDescent="0.25">
      <c r="C515"/>
      <c r="G515" s="16"/>
      <c r="H515"/>
      <c r="I515" s="167"/>
      <c r="J515" s="167"/>
      <c r="K515" s="171"/>
      <c r="L515" s="167"/>
      <c r="M515" s="167"/>
      <c r="N515" s="167"/>
      <c r="S515"/>
      <c r="T515"/>
      <c r="U515"/>
      <c r="V515"/>
      <c r="W515"/>
      <c r="X515"/>
      <c r="Y515"/>
    </row>
    <row r="516" spans="3:25" x14ac:dyDescent="0.25">
      <c r="C516"/>
      <c r="G516" s="16"/>
      <c r="H516"/>
      <c r="I516" s="167"/>
      <c r="J516" s="167"/>
      <c r="K516" s="171"/>
      <c r="L516" s="167"/>
      <c r="M516" s="167"/>
      <c r="N516" s="167"/>
      <c r="S516"/>
      <c r="T516"/>
      <c r="U516"/>
      <c r="V516"/>
      <c r="W516"/>
      <c r="X516"/>
      <c r="Y516"/>
    </row>
    <row r="517" spans="3:25" x14ac:dyDescent="0.25">
      <c r="C517"/>
      <c r="G517" s="16"/>
      <c r="H517"/>
      <c r="I517" s="167"/>
      <c r="J517" s="167"/>
      <c r="K517" s="171"/>
      <c r="L517" s="167"/>
      <c r="M517" s="167"/>
      <c r="N517" s="167"/>
      <c r="S517"/>
      <c r="T517"/>
      <c r="U517"/>
      <c r="V517"/>
      <c r="W517"/>
      <c r="X517"/>
      <c r="Y517"/>
    </row>
    <row r="518" spans="3:25" x14ac:dyDescent="0.25">
      <c r="C518"/>
      <c r="G518" s="16"/>
      <c r="H518"/>
      <c r="I518" s="167"/>
      <c r="J518" s="167"/>
      <c r="K518" s="171"/>
      <c r="L518" s="167"/>
      <c r="M518" s="167"/>
      <c r="N518" s="167"/>
      <c r="S518"/>
      <c r="T518"/>
      <c r="U518"/>
      <c r="V518"/>
      <c r="W518"/>
      <c r="X518"/>
      <c r="Y518"/>
    </row>
    <row r="519" spans="3:25" x14ac:dyDescent="0.25">
      <c r="C519"/>
      <c r="G519" s="16"/>
      <c r="H519"/>
      <c r="I519" s="167"/>
      <c r="J519" s="167"/>
      <c r="K519" s="171"/>
      <c r="L519" s="167"/>
      <c r="M519" s="167"/>
      <c r="N519" s="167"/>
      <c r="S519"/>
      <c r="T519"/>
      <c r="U519"/>
      <c r="V519"/>
      <c r="W519"/>
      <c r="X519"/>
      <c r="Y519"/>
    </row>
    <row r="520" spans="3:25" x14ac:dyDescent="0.25">
      <c r="C520"/>
      <c r="G520" s="16"/>
      <c r="H520"/>
      <c r="I520" s="167"/>
      <c r="J520" s="167"/>
      <c r="K520" s="171"/>
      <c r="L520" s="167"/>
      <c r="M520" s="167"/>
      <c r="N520" s="167"/>
      <c r="S520"/>
      <c r="T520"/>
      <c r="U520"/>
      <c r="V520"/>
      <c r="W520"/>
      <c r="X520"/>
      <c r="Y520"/>
    </row>
    <row r="521" spans="3:25" x14ac:dyDescent="0.25">
      <c r="C521"/>
      <c r="G521" s="16"/>
      <c r="H521"/>
      <c r="I521" s="167"/>
      <c r="J521" s="167"/>
      <c r="K521" s="171"/>
      <c r="L521" s="167"/>
      <c r="M521" s="167"/>
      <c r="N521" s="167"/>
      <c r="S521"/>
      <c r="T521"/>
      <c r="U521"/>
      <c r="V521"/>
      <c r="W521"/>
      <c r="X521"/>
      <c r="Y521"/>
    </row>
    <row r="522" spans="3:25" x14ac:dyDescent="0.25">
      <c r="C522"/>
      <c r="G522" s="16"/>
      <c r="H522"/>
      <c r="I522" s="167"/>
      <c r="J522" s="167"/>
      <c r="K522" s="171"/>
      <c r="L522" s="167"/>
      <c r="M522" s="167"/>
      <c r="N522" s="167"/>
      <c r="S522"/>
      <c r="T522"/>
      <c r="U522"/>
      <c r="V522"/>
      <c r="W522"/>
      <c r="X522"/>
      <c r="Y522"/>
    </row>
    <row r="523" spans="3:25" x14ac:dyDescent="0.25">
      <c r="C523"/>
      <c r="G523" s="16"/>
      <c r="H523"/>
      <c r="I523" s="167"/>
      <c r="J523" s="167"/>
      <c r="K523" s="171"/>
      <c r="L523" s="167"/>
      <c r="M523" s="167"/>
      <c r="N523" s="167"/>
      <c r="S523"/>
      <c r="T523"/>
      <c r="U523"/>
      <c r="V523"/>
      <c r="W523"/>
      <c r="X523"/>
      <c r="Y523"/>
    </row>
    <row r="524" spans="3:25" x14ac:dyDescent="0.25">
      <c r="C524"/>
      <c r="G524" s="16"/>
      <c r="H524"/>
      <c r="I524" s="167"/>
      <c r="J524" s="167"/>
      <c r="K524" s="171"/>
      <c r="L524" s="167"/>
      <c r="M524" s="167"/>
      <c r="N524" s="167"/>
      <c r="S524"/>
      <c r="T524"/>
      <c r="U524"/>
      <c r="V524"/>
      <c r="W524"/>
      <c r="X524"/>
      <c r="Y524"/>
    </row>
    <row r="525" spans="3:25" x14ac:dyDescent="0.25">
      <c r="C525"/>
      <c r="G525" s="16"/>
      <c r="H525"/>
      <c r="I525" s="167"/>
      <c r="J525" s="167"/>
      <c r="K525" s="171"/>
      <c r="L525" s="167"/>
      <c r="M525" s="167"/>
      <c r="N525" s="167"/>
      <c r="S525"/>
      <c r="T525"/>
      <c r="U525"/>
      <c r="V525"/>
      <c r="W525"/>
      <c r="X525"/>
      <c r="Y525"/>
    </row>
    <row r="526" spans="3:25" x14ac:dyDescent="0.25">
      <c r="C526"/>
      <c r="G526" s="16"/>
      <c r="H526"/>
      <c r="I526" s="167"/>
      <c r="J526" s="167"/>
      <c r="K526" s="171"/>
      <c r="L526" s="167"/>
      <c r="M526" s="167"/>
      <c r="N526" s="167"/>
      <c r="S526"/>
      <c r="T526"/>
      <c r="U526"/>
      <c r="V526"/>
      <c r="W526"/>
      <c r="X526"/>
      <c r="Y526"/>
    </row>
    <row r="527" spans="3:25" x14ac:dyDescent="0.25">
      <c r="C527"/>
      <c r="G527" s="16"/>
      <c r="H527"/>
      <c r="I527" s="167"/>
      <c r="J527" s="167"/>
      <c r="K527" s="171"/>
      <c r="L527" s="167"/>
      <c r="M527" s="167"/>
      <c r="N527" s="167"/>
      <c r="S527"/>
      <c r="T527"/>
      <c r="U527"/>
      <c r="V527"/>
      <c r="W527"/>
      <c r="X527"/>
      <c r="Y527"/>
    </row>
    <row r="528" spans="3:25" x14ac:dyDescent="0.25">
      <c r="C528"/>
      <c r="G528" s="16"/>
      <c r="H528"/>
      <c r="I528" s="167"/>
      <c r="J528" s="167"/>
      <c r="K528" s="171"/>
      <c r="L528" s="167"/>
      <c r="M528" s="167"/>
      <c r="N528" s="167"/>
      <c r="S528"/>
      <c r="T528"/>
      <c r="U528"/>
      <c r="V528"/>
      <c r="W528"/>
      <c r="X528"/>
      <c r="Y528"/>
    </row>
    <row r="529" spans="3:25" x14ac:dyDescent="0.25">
      <c r="C529"/>
      <c r="G529" s="16"/>
      <c r="H529"/>
      <c r="I529" s="167"/>
      <c r="J529" s="167"/>
      <c r="K529" s="171"/>
      <c r="L529" s="167"/>
      <c r="M529" s="167"/>
      <c r="N529" s="167"/>
      <c r="S529"/>
      <c r="T529"/>
      <c r="U529"/>
      <c r="V529"/>
      <c r="W529"/>
      <c r="X529"/>
      <c r="Y529"/>
    </row>
    <row r="530" spans="3:25" x14ac:dyDescent="0.25">
      <c r="C530"/>
      <c r="G530" s="16"/>
      <c r="H530"/>
      <c r="I530" s="167"/>
      <c r="J530" s="167"/>
      <c r="K530" s="171"/>
      <c r="L530" s="167"/>
      <c r="M530" s="167"/>
      <c r="N530" s="167"/>
      <c r="S530"/>
      <c r="T530"/>
      <c r="U530"/>
      <c r="V530"/>
      <c r="W530"/>
      <c r="X530"/>
      <c r="Y530"/>
    </row>
    <row r="531" spans="3:25" x14ac:dyDescent="0.25">
      <c r="C531"/>
      <c r="G531" s="16"/>
      <c r="H531"/>
      <c r="I531" s="167"/>
      <c r="J531" s="167"/>
      <c r="K531" s="171"/>
      <c r="L531" s="167"/>
      <c r="M531" s="167"/>
      <c r="N531" s="167"/>
      <c r="S531"/>
      <c r="T531"/>
      <c r="U531"/>
      <c r="V531"/>
      <c r="W531"/>
      <c r="X531"/>
      <c r="Y531"/>
    </row>
    <row r="532" spans="3:25" x14ac:dyDescent="0.25">
      <c r="C532"/>
      <c r="G532" s="16"/>
      <c r="H532"/>
      <c r="I532" s="167"/>
      <c r="J532" s="167"/>
      <c r="K532" s="171"/>
      <c r="L532" s="167"/>
      <c r="M532" s="167"/>
      <c r="N532" s="167"/>
      <c r="S532"/>
      <c r="T532"/>
      <c r="U532"/>
      <c r="V532"/>
      <c r="W532"/>
      <c r="X532"/>
      <c r="Y532"/>
    </row>
    <row r="533" spans="3:25" x14ac:dyDescent="0.25">
      <c r="C533"/>
      <c r="G533" s="16"/>
      <c r="H533"/>
      <c r="I533" s="167"/>
      <c r="J533" s="167"/>
      <c r="K533" s="171"/>
      <c r="L533" s="167"/>
      <c r="M533" s="167"/>
      <c r="N533" s="167"/>
      <c r="S533"/>
      <c r="T533"/>
      <c r="U533"/>
      <c r="V533"/>
      <c r="W533"/>
      <c r="X533"/>
      <c r="Y533"/>
    </row>
    <row r="534" spans="3:25" x14ac:dyDescent="0.25">
      <c r="C534"/>
      <c r="G534" s="16"/>
      <c r="H534"/>
      <c r="I534" s="167"/>
      <c r="J534" s="167"/>
      <c r="K534" s="171"/>
      <c r="L534" s="167"/>
      <c r="M534" s="167"/>
      <c r="N534" s="167"/>
      <c r="S534"/>
      <c r="T534"/>
      <c r="U534"/>
      <c r="V534"/>
      <c r="W534"/>
      <c r="X534"/>
      <c r="Y534"/>
    </row>
    <row r="535" spans="3:25" x14ac:dyDescent="0.25">
      <c r="C535"/>
      <c r="G535" s="16"/>
      <c r="H535"/>
      <c r="I535" s="167"/>
      <c r="J535" s="167"/>
      <c r="K535" s="171"/>
      <c r="L535" s="167"/>
      <c r="M535" s="167"/>
      <c r="N535" s="167"/>
      <c r="S535"/>
      <c r="T535"/>
      <c r="U535"/>
      <c r="V535"/>
      <c r="W535"/>
      <c r="X535"/>
      <c r="Y535"/>
    </row>
    <row r="536" spans="3:25" x14ac:dyDescent="0.25">
      <c r="C536"/>
      <c r="G536" s="16"/>
      <c r="H536"/>
      <c r="I536" s="167"/>
      <c r="J536" s="167"/>
      <c r="K536" s="171"/>
      <c r="L536" s="167"/>
      <c r="M536" s="167"/>
      <c r="N536" s="167"/>
      <c r="S536"/>
      <c r="T536"/>
      <c r="U536"/>
      <c r="V536"/>
      <c r="W536"/>
      <c r="X536"/>
      <c r="Y536"/>
    </row>
    <row r="537" spans="3:25" x14ac:dyDescent="0.25">
      <c r="C537"/>
      <c r="G537" s="16"/>
      <c r="H537"/>
      <c r="I537" s="167"/>
      <c r="J537" s="167"/>
      <c r="K537" s="171"/>
      <c r="L537" s="167"/>
      <c r="M537" s="167"/>
      <c r="N537" s="167"/>
      <c r="S537"/>
      <c r="T537"/>
      <c r="U537"/>
      <c r="V537"/>
      <c r="W537"/>
      <c r="X537"/>
      <c r="Y537"/>
    </row>
    <row r="538" spans="3:25" x14ac:dyDescent="0.25">
      <c r="C538"/>
      <c r="G538" s="16"/>
      <c r="H538"/>
      <c r="I538" s="167"/>
      <c r="J538" s="167"/>
      <c r="K538" s="171"/>
      <c r="L538" s="167"/>
      <c r="M538" s="167"/>
      <c r="N538" s="167"/>
      <c r="S538"/>
      <c r="T538"/>
      <c r="U538"/>
      <c r="V538"/>
      <c r="W538"/>
      <c r="X538"/>
      <c r="Y538"/>
    </row>
    <row r="539" spans="3:25" x14ac:dyDescent="0.25">
      <c r="C539"/>
      <c r="G539" s="16"/>
      <c r="H539"/>
      <c r="I539" s="167"/>
      <c r="J539" s="167"/>
      <c r="K539" s="171"/>
      <c r="L539" s="167"/>
      <c r="M539" s="167"/>
      <c r="N539" s="167"/>
      <c r="S539"/>
      <c r="T539"/>
      <c r="U539"/>
      <c r="V539"/>
      <c r="W539"/>
      <c r="X539"/>
      <c r="Y539"/>
    </row>
    <row r="540" spans="3:25" x14ac:dyDescent="0.25">
      <c r="C540"/>
      <c r="G540" s="16"/>
      <c r="H540"/>
      <c r="I540" s="167"/>
      <c r="J540" s="167"/>
      <c r="K540" s="171"/>
      <c r="L540" s="167"/>
      <c r="M540" s="167"/>
      <c r="N540" s="167"/>
      <c r="S540"/>
      <c r="T540"/>
      <c r="U540"/>
      <c r="V540"/>
      <c r="W540"/>
      <c r="X540"/>
      <c r="Y540"/>
    </row>
    <row r="541" spans="3:25" x14ac:dyDescent="0.25">
      <c r="C541"/>
      <c r="G541" s="16"/>
      <c r="H541"/>
      <c r="I541" s="167"/>
      <c r="J541" s="167"/>
      <c r="K541" s="171"/>
      <c r="L541" s="167"/>
      <c r="M541" s="167"/>
      <c r="N541" s="167"/>
      <c r="S541"/>
      <c r="T541"/>
      <c r="U541"/>
      <c r="V541"/>
      <c r="W541"/>
      <c r="X541"/>
      <c r="Y541"/>
    </row>
    <row r="542" spans="3:25" x14ac:dyDescent="0.25">
      <c r="C542"/>
      <c r="G542" s="16"/>
      <c r="H542"/>
      <c r="I542" s="167"/>
      <c r="J542" s="167"/>
      <c r="K542" s="171"/>
      <c r="L542" s="167"/>
      <c r="M542" s="167"/>
      <c r="N542" s="167"/>
      <c r="S542"/>
      <c r="T542"/>
      <c r="U542"/>
      <c r="V542"/>
      <c r="W542"/>
      <c r="X542"/>
      <c r="Y542"/>
    </row>
    <row r="543" spans="3:25" x14ac:dyDescent="0.25">
      <c r="C543"/>
      <c r="G543" s="16"/>
      <c r="H543"/>
      <c r="I543" s="167"/>
      <c r="J543" s="167"/>
      <c r="K543" s="171"/>
      <c r="L543" s="167"/>
      <c r="M543" s="167"/>
      <c r="N543" s="167"/>
      <c r="S543"/>
      <c r="T543"/>
      <c r="U543"/>
      <c r="V543"/>
      <c r="W543"/>
      <c r="X543"/>
      <c r="Y543"/>
    </row>
    <row r="544" spans="3:25" x14ac:dyDescent="0.25">
      <c r="C544"/>
      <c r="G544" s="16"/>
      <c r="H544"/>
      <c r="I544" s="167"/>
      <c r="J544" s="167"/>
      <c r="K544" s="171"/>
      <c r="L544" s="167"/>
      <c r="M544" s="167"/>
      <c r="N544" s="167"/>
      <c r="S544"/>
      <c r="T544"/>
      <c r="U544"/>
      <c r="V544"/>
      <c r="W544"/>
      <c r="X544"/>
      <c r="Y544"/>
    </row>
    <row r="545" spans="3:25" x14ac:dyDescent="0.25">
      <c r="C545"/>
      <c r="G545" s="16"/>
      <c r="H545"/>
      <c r="I545" s="167"/>
      <c r="J545" s="167"/>
      <c r="K545" s="171"/>
      <c r="L545" s="167"/>
      <c r="M545" s="167"/>
      <c r="N545" s="167"/>
      <c r="S545"/>
      <c r="T545"/>
      <c r="U545"/>
      <c r="V545"/>
      <c r="W545"/>
      <c r="X545"/>
      <c r="Y545"/>
    </row>
    <row r="546" spans="3:25" x14ac:dyDescent="0.25">
      <c r="C546"/>
      <c r="G546" s="16"/>
      <c r="H546"/>
      <c r="I546" s="167"/>
      <c r="J546" s="167"/>
      <c r="K546" s="171"/>
      <c r="L546" s="167"/>
      <c r="M546" s="167"/>
      <c r="N546" s="167"/>
      <c r="S546"/>
      <c r="T546"/>
      <c r="U546"/>
      <c r="V546"/>
      <c r="W546"/>
      <c r="X546"/>
      <c r="Y546"/>
    </row>
    <row r="547" spans="3:25" x14ac:dyDescent="0.25">
      <c r="C547"/>
      <c r="G547" s="16"/>
      <c r="H547"/>
      <c r="I547" s="167"/>
      <c r="J547" s="167"/>
      <c r="K547" s="171"/>
      <c r="L547" s="167"/>
      <c r="M547" s="167"/>
      <c r="N547" s="167"/>
      <c r="S547"/>
      <c r="T547"/>
      <c r="U547"/>
      <c r="V547"/>
      <c r="W547"/>
      <c r="X547"/>
      <c r="Y547"/>
    </row>
    <row r="548" spans="3:25" x14ac:dyDescent="0.25">
      <c r="C548"/>
      <c r="G548" s="16"/>
      <c r="H548"/>
      <c r="I548" s="167"/>
      <c r="J548" s="167"/>
      <c r="K548" s="171"/>
      <c r="L548" s="167"/>
      <c r="M548" s="167"/>
      <c r="N548" s="167"/>
      <c r="S548"/>
      <c r="T548"/>
      <c r="U548"/>
      <c r="V548"/>
      <c r="W548"/>
      <c r="X548"/>
      <c r="Y548"/>
    </row>
    <row r="549" spans="3:25" x14ac:dyDescent="0.25">
      <c r="C549"/>
      <c r="G549" s="16"/>
      <c r="H549"/>
      <c r="I549" s="167"/>
      <c r="J549" s="167"/>
      <c r="K549" s="171"/>
      <c r="L549" s="167"/>
      <c r="M549" s="167"/>
      <c r="N549" s="167"/>
      <c r="S549"/>
      <c r="T549"/>
      <c r="U549"/>
      <c r="V549"/>
      <c r="W549"/>
      <c r="X549"/>
      <c r="Y549"/>
    </row>
    <row r="550" spans="3:25" x14ac:dyDescent="0.25">
      <c r="C550"/>
      <c r="G550" s="16"/>
      <c r="H550"/>
      <c r="I550" s="167"/>
      <c r="J550" s="167"/>
      <c r="K550" s="171"/>
      <c r="L550" s="167"/>
      <c r="M550" s="167"/>
      <c r="N550" s="167"/>
      <c r="S550"/>
      <c r="T550"/>
      <c r="U550"/>
      <c r="V550"/>
      <c r="W550"/>
      <c r="X550"/>
      <c r="Y550"/>
    </row>
    <row r="551" spans="3:25" x14ac:dyDescent="0.25">
      <c r="C551"/>
      <c r="G551" s="16"/>
      <c r="H551"/>
      <c r="I551" s="167"/>
      <c r="J551" s="167"/>
      <c r="K551" s="171"/>
      <c r="L551" s="167"/>
      <c r="M551" s="167"/>
      <c r="N551" s="167"/>
      <c r="S551"/>
      <c r="T551"/>
      <c r="U551"/>
      <c r="V551"/>
      <c r="W551"/>
      <c r="X551"/>
      <c r="Y551"/>
    </row>
    <row r="552" spans="3:25" x14ac:dyDescent="0.25">
      <c r="C552"/>
      <c r="G552" s="16"/>
      <c r="H552"/>
      <c r="I552" s="167"/>
      <c r="J552" s="167"/>
      <c r="K552" s="171"/>
      <c r="L552" s="167"/>
      <c r="M552" s="167"/>
      <c r="N552" s="167"/>
      <c r="S552"/>
      <c r="T552"/>
      <c r="U552"/>
      <c r="V552"/>
      <c r="W552"/>
      <c r="X552"/>
      <c r="Y552"/>
    </row>
    <row r="553" spans="3:25" x14ac:dyDescent="0.25">
      <c r="C553"/>
      <c r="G553" s="16"/>
      <c r="H553"/>
      <c r="I553" s="167"/>
      <c r="J553" s="167"/>
      <c r="K553" s="171"/>
      <c r="L553" s="167"/>
      <c r="M553" s="167"/>
      <c r="N553" s="167"/>
      <c r="S553"/>
      <c r="T553"/>
      <c r="U553"/>
      <c r="V553"/>
      <c r="W553"/>
      <c r="X553"/>
      <c r="Y553"/>
    </row>
    <row r="554" spans="3:25" x14ac:dyDescent="0.25">
      <c r="C554"/>
      <c r="G554" s="16"/>
      <c r="H554"/>
      <c r="I554" s="167"/>
      <c r="J554" s="167"/>
      <c r="K554" s="171"/>
      <c r="L554" s="167"/>
      <c r="M554" s="167"/>
      <c r="N554" s="167"/>
      <c r="S554"/>
      <c r="T554"/>
      <c r="U554"/>
      <c r="V554"/>
      <c r="W554"/>
      <c r="X554"/>
      <c r="Y554"/>
    </row>
    <row r="555" spans="3:25" x14ac:dyDescent="0.25">
      <c r="C555"/>
      <c r="G555" s="16"/>
      <c r="H555"/>
      <c r="I555" s="167"/>
      <c r="J555" s="167"/>
      <c r="K555" s="171"/>
      <c r="L555" s="167"/>
      <c r="M555" s="167"/>
      <c r="N555" s="167"/>
      <c r="S555"/>
      <c r="T555"/>
      <c r="U555"/>
      <c r="V555"/>
      <c r="W555"/>
      <c r="X555"/>
      <c r="Y555"/>
    </row>
    <row r="556" spans="3:25" x14ac:dyDescent="0.25">
      <c r="C556"/>
      <c r="G556" s="16"/>
      <c r="H556"/>
      <c r="I556" s="167"/>
      <c r="J556" s="167"/>
      <c r="K556" s="171"/>
      <c r="L556" s="167"/>
      <c r="M556" s="167"/>
      <c r="N556" s="167"/>
      <c r="S556"/>
      <c r="T556"/>
      <c r="U556"/>
      <c r="V556"/>
      <c r="W556"/>
      <c r="X556"/>
      <c r="Y556"/>
    </row>
    <row r="557" spans="3:25" x14ac:dyDescent="0.25">
      <c r="C557"/>
      <c r="G557" s="16"/>
      <c r="H557"/>
      <c r="I557" s="167"/>
      <c r="J557" s="167"/>
      <c r="K557" s="171"/>
      <c r="L557" s="167"/>
      <c r="M557" s="167"/>
      <c r="N557" s="167"/>
      <c r="S557"/>
      <c r="T557"/>
      <c r="U557"/>
      <c r="V557"/>
      <c r="W557"/>
      <c r="X557"/>
      <c r="Y557"/>
    </row>
    <row r="558" spans="3:25" x14ac:dyDescent="0.25">
      <c r="C558"/>
      <c r="G558" s="16"/>
      <c r="H558"/>
      <c r="I558" s="167"/>
      <c r="J558" s="167"/>
      <c r="K558" s="171"/>
      <c r="L558" s="167"/>
      <c r="M558" s="167"/>
      <c r="N558" s="167"/>
      <c r="S558"/>
      <c r="T558"/>
      <c r="U558"/>
      <c r="V558"/>
      <c r="W558"/>
      <c r="X558"/>
      <c r="Y558"/>
    </row>
    <row r="559" spans="3:25" x14ac:dyDescent="0.25">
      <c r="C559"/>
      <c r="G559" s="16"/>
      <c r="H559"/>
      <c r="I559" s="167"/>
      <c r="J559" s="167"/>
      <c r="K559" s="171"/>
      <c r="L559" s="167"/>
      <c r="M559" s="167"/>
      <c r="N559" s="167"/>
      <c r="S559"/>
      <c r="T559"/>
      <c r="U559"/>
      <c r="V559"/>
      <c r="W559"/>
      <c r="X559"/>
      <c r="Y559"/>
    </row>
    <row r="560" spans="3:25" x14ac:dyDescent="0.25">
      <c r="C560"/>
      <c r="G560" s="16"/>
      <c r="H560"/>
      <c r="I560" s="167"/>
      <c r="J560" s="167"/>
      <c r="K560" s="171"/>
      <c r="L560" s="167"/>
      <c r="M560" s="167"/>
      <c r="N560" s="167"/>
      <c r="S560"/>
      <c r="T560"/>
      <c r="U560"/>
      <c r="V560"/>
      <c r="W560"/>
      <c r="X560"/>
      <c r="Y560"/>
    </row>
    <row r="561" spans="3:25" x14ac:dyDescent="0.25">
      <c r="C561"/>
      <c r="G561" s="16"/>
      <c r="H561"/>
      <c r="I561" s="167"/>
      <c r="J561" s="167"/>
      <c r="K561" s="171"/>
      <c r="L561" s="167"/>
      <c r="M561" s="167"/>
      <c r="N561" s="167"/>
      <c r="S561"/>
      <c r="T561"/>
      <c r="U561"/>
      <c r="V561"/>
      <c r="W561"/>
      <c r="X561"/>
      <c r="Y561"/>
    </row>
    <row r="562" spans="3:25" x14ac:dyDescent="0.25">
      <c r="C562"/>
      <c r="G562" s="16"/>
      <c r="H562"/>
      <c r="I562" s="167"/>
      <c r="J562" s="167"/>
      <c r="K562" s="171"/>
      <c r="L562" s="167"/>
      <c r="M562" s="167"/>
      <c r="N562" s="167"/>
      <c r="S562"/>
      <c r="T562"/>
      <c r="U562"/>
      <c r="V562"/>
      <c r="W562"/>
      <c r="X562"/>
      <c r="Y562"/>
    </row>
    <row r="563" spans="3:25" x14ac:dyDescent="0.25">
      <c r="C563"/>
      <c r="G563" s="16"/>
      <c r="H563"/>
      <c r="I563" s="167"/>
      <c r="J563" s="167"/>
      <c r="K563" s="171"/>
      <c r="L563" s="167"/>
      <c r="M563" s="167"/>
      <c r="N563" s="167"/>
      <c r="S563"/>
      <c r="T563"/>
      <c r="U563"/>
      <c r="V563"/>
      <c r="W563"/>
      <c r="X563"/>
      <c r="Y563"/>
    </row>
    <row r="564" spans="3:25" x14ac:dyDescent="0.25">
      <c r="C564"/>
      <c r="G564" s="16"/>
      <c r="H564"/>
      <c r="I564" s="167"/>
      <c r="J564" s="167"/>
      <c r="K564" s="171"/>
      <c r="L564" s="167"/>
      <c r="M564" s="167"/>
      <c r="N564" s="167"/>
      <c r="S564"/>
      <c r="T564"/>
      <c r="U564"/>
      <c r="V564"/>
      <c r="W564"/>
      <c r="X564"/>
      <c r="Y564"/>
    </row>
    <row r="565" spans="3:25" x14ac:dyDescent="0.25">
      <c r="C565"/>
      <c r="G565" s="16"/>
      <c r="H565"/>
      <c r="I565" s="167"/>
      <c r="J565" s="167"/>
      <c r="K565" s="171"/>
      <c r="L565" s="167"/>
      <c r="M565" s="167"/>
      <c r="N565" s="167"/>
      <c r="S565"/>
      <c r="T565"/>
      <c r="U565"/>
      <c r="V565"/>
      <c r="W565"/>
      <c r="X565"/>
      <c r="Y565"/>
    </row>
    <row r="566" spans="3:25" x14ac:dyDescent="0.25">
      <c r="C566"/>
      <c r="G566" s="16"/>
      <c r="H566"/>
      <c r="I566" s="167"/>
      <c r="J566" s="167"/>
      <c r="K566" s="171"/>
      <c r="L566" s="167"/>
      <c r="M566" s="167"/>
      <c r="N566" s="167"/>
      <c r="S566"/>
      <c r="T566"/>
      <c r="U566"/>
      <c r="V566"/>
      <c r="W566"/>
      <c r="X566"/>
      <c r="Y566"/>
    </row>
    <row r="567" spans="3:25" x14ac:dyDescent="0.25">
      <c r="C567"/>
      <c r="G567" s="16"/>
      <c r="H567"/>
      <c r="I567" s="167"/>
      <c r="J567" s="167"/>
      <c r="K567" s="171"/>
      <c r="L567" s="167"/>
      <c r="M567" s="167"/>
      <c r="N567" s="167"/>
      <c r="S567"/>
      <c r="T567"/>
      <c r="U567"/>
      <c r="V567"/>
      <c r="W567"/>
      <c r="X567"/>
      <c r="Y567"/>
    </row>
    <row r="568" spans="3:25" x14ac:dyDescent="0.25">
      <c r="C568"/>
      <c r="G568" s="16"/>
      <c r="H568"/>
      <c r="I568" s="167"/>
      <c r="J568" s="167"/>
      <c r="K568" s="171"/>
      <c r="L568" s="167"/>
      <c r="M568" s="167"/>
      <c r="N568" s="167"/>
      <c r="S568"/>
      <c r="T568"/>
      <c r="U568"/>
      <c r="V568"/>
      <c r="W568"/>
      <c r="X568"/>
      <c r="Y568"/>
    </row>
    <row r="569" spans="3:25" x14ac:dyDescent="0.25">
      <c r="C569"/>
      <c r="G569" s="16"/>
      <c r="H569"/>
      <c r="I569" s="167"/>
      <c r="J569" s="167"/>
      <c r="K569" s="171"/>
      <c r="L569" s="167"/>
      <c r="M569" s="167"/>
      <c r="N569" s="167"/>
      <c r="S569"/>
      <c r="T569"/>
      <c r="U569"/>
      <c r="V569"/>
      <c r="W569"/>
      <c r="X569"/>
      <c r="Y569"/>
    </row>
    <row r="570" spans="3:25" x14ac:dyDescent="0.25">
      <c r="C570"/>
      <c r="G570" s="16"/>
      <c r="H570"/>
      <c r="I570" s="167"/>
      <c r="J570" s="167"/>
      <c r="K570" s="171"/>
      <c r="L570" s="167"/>
      <c r="M570" s="167"/>
      <c r="N570" s="167"/>
      <c r="S570"/>
      <c r="T570"/>
      <c r="U570"/>
      <c r="V570"/>
      <c r="W570"/>
      <c r="X570"/>
      <c r="Y570"/>
    </row>
    <row r="571" spans="3:25" x14ac:dyDescent="0.25">
      <c r="C571"/>
      <c r="G571" s="16"/>
      <c r="H571"/>
      <c r="I571" s="167"/>
      <c r="J571" s="167"/>
      <c r="K571" s="171"/>
      <c r="L571" s="167"/>
      <c r="M571" s="167"/>
      <c r="N571" s="167"/>
      <c r="S571"/>
      <c r="T571"/>
      <c r="U571"/>
      <c r="V571"/>
      <c r="W571"/>
      <c r="X571"/>
      <c r="Y571"/>
    </row>
    <row r="572" spans="3:25" x14ac:dyDescent="0.25">
      <c r="C572"/>
      <c r="G572" s="16"/>
      <c r="H572"/>
      <c r="I572" s="167"/>
      <c r="J572" s="167"/>
      <c r="K572" s="171"/>
      <c r="L572" s="167"/>
      <c r="M572" s="167"/>
      <c r="N572" s="167"/>
      <c r="S572"/>
      <c r="T572"/>
      <c r="U572"/>
      <c r="V572"/>
      <c r="W572"/>
      <c r="X572"/>
      <c r="Y572"/>
    </row>
    <row r="573" spans="3:25" x14ac:dyDescent="0.25">
      <c r="C573"/>
      <c r="G573" s="16"/>
      <c r="H573"/>
      <c r="I573" s="167"/>
      <c r="J573" s="167"/>
      <c r="K573" s="171"/>
      <c r="L573" s="167"/>
      <c r="M573" s="167"/>
      <c r="N573" s="167"/>
      <c r="S573"/>
      <c r="T573"/>
      <c r="U573"/>
      <c r="V573"/>
      <c r="W573"/>
      <c r="X573"/>
      <c r="Y573"/>
    </row>
    <row r="574" spans="3:25" x14ac:dyDescent="0.25">
      <c r="C574"/>
      <c r="G574" s="16"/>
      <c r="H574"/>
      <c r="I574" s="167"/>
      <c r="J574" s="167"/>
      <c r="K574" s="171"/>
      <c r="L574" s="167"/>
      <c r="M574" s="167"/>
      <c r="N574" s="167"/>
      <c r="S574"/>
      <c r="T574"/>
      <c r="U574"/>
      <c r="V574"/>
      <c r="W574"/>
      <c r="X574"/>
      <c r="Y574"/>
    </row>
    <row r="575" spans="3:25" x14ac:dyDescent="0.25">
      <c r="C575"/>
      <c r="G575" s="16"/>
      <c r="H575"/>
      <c r="I575" s="167"/>
      <c r="J575" s="167"/>
      <c r="K575" s="171"/>
      <c r="L575" s="167"/>
      <c r="M575" s="167"/>
      <c r="N575" s="167"/>
      <c r="S575"/>
      <c r="T575"/>
      <c r="U575"/>
      <c r="V575"/>
      <c r="W575"/>
      <c r="X575"/>
      <c r="Y575"/>
    </row>
    <row r="576" spans="3:25" x14ac:dyDescent="0.25">
      <c r="C576"/>
      <c r="G576" s="16"/>
      <c r="H576"/>
      <c r="I576" s="167"/>
      <c r="J576" s="167"/>
      <c r="K576" s="171"/>
      <c r="L576" s="167"/>
      <c r="M576" s="167"/>
      <c r="N576" s="167"/>
      <c r="S576"/>
      <c r="T576"/>
      <c r="U576"/>
      <c r="V576"/>
      <c r="W576"/>
      <c r="X576"/>
      <c r="Y576"/>
    </row>
    <row r="577" spans="3:25" x14ac:dyDescent="0.25">
      <c r="C577"/>
      <c r="G577" s="16"/>
      <c r="H577"/>
      <c r="I577" s="167"/>
      <c r="J577" s="167"/>
      <c r="K577" s="171"/>
      <c r="L577" s="167"/>
      <c r="M577" s="167"/>
      <c r="N577" s="167"/>
      <c r="S577"/>
      <c r="T577"/>
      <c r="U577"/>
      <c r="V577"/>
      <c r="W577"/>
      <c r="X577"/>
      <c r="Y577"/>
    </row>
    <row r="578" spans="3:25" x14ac:dyDescent="0.25">
      <c r="C578"/>
      <c r="G578" s="16"/>
      <c r="H578"/>
      <c r="I578" s="167"/>
      <c r="J578" s="167"/>
      <c r="K578" s="171"/>
      <c r="L578" s="167"/>
      <c r="M578" s="167"/>
      <c r="N578" s="167"/>
      <c r="S578"/>
      <c r="T578"/>
      <c r="U578"/>
      <c r="V578"/>
      <c r="W578"/>
      <c r="X578"/>
      <c r="Y578"/>
    </row>
    <row r="579" spans="3:25" x14ac:dyDescent="0.25">
      <c r="C579"/>
      <c r="G579" s="16"/>
      <c r="H579"/>
      <c r="I579" s="167"/>
      <c r="J579" s="167"/>
      <c r="K579" s="171"/>
      <c r="L579" s="167"/>
      <c r="M579" s="167"/>
      <c r="N579" s="167"/>
      <c r="S579"/>
      <c r="T579"/>
      <c r="U579"/>
      <c r="V579"/>
      <c r="W579"/>
      <c r="X579"/>
      <c r="Y579"/>
    </row>
    <row r="580" spans="3:25" x14ac:dyDescent="0.25">
      <c r="C580"/>
      <c r="G580" s="16"/>
      <c r="H580"/>
      <c r="I580" s="167"/>
      <c r="J580" s="167"/>
      <c r="K580" s="171"/>
      <c r="L580" s="167"/>
      <c r="M580" s="167"/>
      <c r="N580" s="167"/>
      <c r="S580"/>
      <c r="T580"/>
      <c r="U580"/>
      <c r="V580"/>
      <c r="W580"/>
      <c r="X580"/>
      <c r="Y580"/>
    </row>
    <row r="581" spans="3:25" x14ac:dyDescent="0.25">
      <c r="C581"/>
      <c r="G581" s="16"/>
      <c r="H581"/>
      <c r="I581" s="167"/>
      <c r="J581" s="167"/>
      <c r="K581" s="171"/>
      <c r="L581" s="167"/>
      <c r="M581" s="167"/>
      <c r="N581" s="167"/>
      <c r="S581"/>
      <c r="T581"/>
      <c r="U581"/>
      <c r="V581"/>
      <c r="W581"/>
      <c r="X581"/>
      <c r="Y581"/>
    </row>
    <row r="582" spans="3:25" x14ac:dyDescent="0.25">
      <c r="C582"/>
      <c r="G582" s="16"/>
      <c r="H582"/>
      <c r="I582" s="167"/>
      <c r="J582" s="167"/>
      <c r="K582" s="171"/>
      <c r="L582" s="167"/>
      <c r="M582" s="167"/>
      <c r="N582" s="167"/>
      <c r="S582"/>
      <c r="T582"/>
      <c r="U582"/>
      <c r="V582"/>
      <c r="W582"/>
      <c r="X582"/>
      <c r="Y582"/>
    </row>
    <row r="583" spans="3:25" x14ac:dyDescent="0.25">
      <c r="C583"/>
      <c r="G583" s="16"/>
      <c r="H583"/>
      <c r="I583" s="167"/>
      <c r="J583" s="167"/>
      <c r="K583" s="171"/>
      <c r="L583" s="167"/>
      <c r="M583" s="167"/>
      <c r="N583" s="167"/>
      <c r="S583"/>
      <c r="T583"/>
      <c r="U583"/>
      <c r="V583"/>
      <c r="W583"/>
      <c r="X583"/>
      <c r="Y583"/>
    </row>
    <row r="584" spans="3:25" x14ac:dyDescent="0.25">
      <c r="C584"/>
      <c r="G584" s="16"/>
      <c r="H584"/>
      <c r="I584" s="167"/>
      <c r="J584" s="167"/>
      <c r="K584" s="171"/>
      <c r="L584" s="167"/>
      <c r="M584" s="167"/>
      <c r="N584" s="167"/>
      <c r="S584"/>
      <c r="T584"/>
      <c r="U584"/>
      <c r="V584"/>
      <c r="W584"/>
      <c r="X584"/>
      <c r="Y584"/>
    </row>
    <row r="585" spans="3:25" x14ac:dyDescent="0.25">
      <c r="C585"/>
      <c r="G585" s="16"/>
      <c r="H585"/>
      <c r="I585" s="167"/>
      <c r="J585" s="167"/>
      <c r="K585" s="171"/>
      <c r="L585" s="167"/>
      <c r="M585" s="167"/>
      <c r="N585" s="167"/>
      <c r="S585"/>
      <c r="T585"/>
      <c r="U585"/>
      <c r="V585"/>
      <c r="W585"/>
      <c r="X585"/>
      <c r="Y585"/>
    </row>
    <row r="586" spans="3:25" x14ac:dyDescent="0.25">
      <c r="C586"/>
      <c r="G586" s="16"/>
      <c r="H586"/>
      <c r="I586" s="167"/>
      <c r="J586" s="167"/>
      <c r="K586" s="171"/>
      <c r="L586" s="167"/>
      <c r="M586" s="167"/>
      <c r="N586" s="167"/>
      <c r="S586"/>
      <c r="T586"/>
      <c r="U586"/>
      <c r="V586"/>
      <c r="W586"/>
      <c r="X586"/>
      <c r="Y586"/>
    </row>
    <row r="587" spans="3:25" x14ac:dyDescent="0.25">
      <c r="C587"/>
      <c r="G587" s="16"/>
      <c r="H587"/>
      <c r="I587" s="167"/>
      <c r="J587" s="167"/>
      <c r="K587" s="171"/>
      <c r="L587" s="167"/>
      <c r="M587" s="167"/>
      <c r="N587" s="167"/>
      <c r="S587"/>
      <c r="T587"/>
      <c r="U587"/>
      <c r="V587"/>
      <c r="W587"/>
      <c r="X587"/>
      <c r="Y587"/>
    </row>
    <row r="588" spans="3:25" x14ac:dyDescent="0.25">
      <c r="C588"/>
      <c r="G588" s="16"/>
      <c r="H588"/>
      <c r="I588" s="167"/>
      <c r="J588" s="167"/>
      <c r="K588" s="171"/>
      <c r="L588" s="167"/>
      <c r="M588" s="167"/>
      <c r="N588" s="167"/>
      <c r="S588"/>
      <c r="T588"/>
      <c r="U588"/>
      <c r="V588"/>
      <c r="W588"/>
      <c r="X588"/>
      <c r="Y588"/>
    </row>
    <row r="589" spans="3:25" x14ac:dyDescent="0.25">
      <c r="C589"/>
      <c r="G589" s="16"/>
      <c r="H589"/>
      <c r="I589" s="167"/>
      <c r="J589" s="167"/>
      <c r="K589" s="171"/>
      <c r="L589" s="167"/>
      <c r="M589" s="167"/>
      <c r="N589" s="167"/>
      <c r="S589"/>
      <c r="T589"/>
      <c r="U589"/>
      <c r="V589"/>
      <c r="W589"/>
      <c r="X589"/>
      <c r="Y589"/>
    </row>
    <row r="590" spans="3:25" x14ac:dyDescent="0.25">
      <c r="C590"/>
      <c r="G590" s="16"/>
      <c r="H590"/>
      <c r="I590" s="167"/>
      <c r="J590" s="167"/>
      <c r="K590" s="171"/>
      <c r="L590" s="167"/>
      <c r="M590" s="167"/>
      <c r="N590" s="167"/>
      <c r="S590"/>
      <c r="T590"/>
      <c r="U590"/>
      <c r="V590"/>
      <c r="W590"/>
      <c r="X590"/>
      <c r="Y590"/>
    </row>
    <row r="591" spans="3:25" x14ac:dyDescent="0.25">
      <c r="C591"/>
      <c r="G591" s="16"/>
      <c r="H591"/>
      <c r="I591" s="167"/>
      <c r="J591" s="167"/>
      <c r="K591" s="171"/>
      <c r="L591" s="167"/>
      <c r="M591" s="167"/>
      <c r="N591" s="167"/>
      <c r="S591"/>
      <c r="T591"/>
      <c r="U591"/>
      <c r="V591"/>
      <c r="W591"/>
      <c r="X591"/>
      <c r="Y591"/>
    </row>
    <row r="592" spans="3:25" x14ac:dyDescent="0.25">
      <c r="C592"/>
      <c r="G592" s="16"/>
      <c r="H592"/>
      <c r="I592" s="167"/>
      <c r="J592" s="167"/>
      <c r="K592" s="171"/>
      <c r="L592" s="167"/>
      <c r="M592" s="167"/>
      <c r="N592" s="167"/>
      <c r="S592"/>
      <c r="T592"/>
      <c r="U592"/>
      <c r="V592"/>
      <c r="W592"/>
      <c r="X592"/>
      <c r="Y592"/>
    </row>
    <row r="593" spans="3:25" x14ac:dyDescent="0.25">
      <c r="C593"/>
      <c r="G593" s="16"/>
      <c r="H593"/>
      <c r="I593" s="167"/>
      <c r="J593" s="167"/>
      <c r="K593" s="171"/>
      <c r="L593" s="167"/>
      <c r="M593" s="167"/>
      <c r="N593" s="167"/>
      <c r="S593"/>
      <c r="T593"/>
      <c r="U593"/>
      <c r="V593"/>
      <c r="W593"/>
      <c r="X593"/>
      <c r="Y593"/>
    </row>
    <row r="594" spans="3:25" x14ac:dyDescent="0.25">
      <c r="C594"/>
      <c r="G594" s="16"/>
      <c r="H594"/>
      <c r="I594" s="167"/>
      <c r="J594" s="167"/>
      <c r="K594" s="171"/>
      <c r="L594" s="167"/>
      <c r="M594" s="167"/>
      <c r="N594" s="167"/>
      <c r="S594"/>
      <c r="T594"/>
      <c r="U594"/>
      <c r="V594"/>
      <c r="W594"/>
      <c r="X594"/>
      <c r="Y594"/>
    </row>
    <row r="595" spans="3:25" x14ac:dyDescent="0.25">
      <c r="C595"/>
      <c r="G595" s="16"/>
      <c r="H595"/>
      <c r="I595" s="167"/>
      <c r="J595" s="167"/>
      <c r="K595" s="171"/>
      <c r="L595" s="167"/>
      <c r="M595" s="167"/>
      <c r="N595" s="167"/>
      <c r="S595"/>
      <c r="T595"/>
      <c r="U595"/>
      <c r="V595"/>
      <c r="W595"/>
      <c r="X595"/>
      <c r="Y595"/>
    </row>
    <row r="596" spans="3:25" x14ac:dyDescent="0.25">
      <c r="C596"/>
      <c r="G596" s="16"/>
      <c r="H596"/>
      <c r="I596" s="167"/>
      <c r="J596" s="167"/>
      <c r="K596" s="171"/>
      <c r="L596" s="167"/>
      <c r="M596" s="167"/>
      <c r="N596" s="167"/>
      <c r="S596"/>
      <c r="T596"/>
      <c r="U596"/>
      <c r="V596"/>
      <c r="W596"/>
      <c r="X596"/>
      <c r="Y596"/>
    </row>
    <row r="597" spans="3:25" x14ac:dyDescent="0.25">
      <c r="C597"/>
      <c r="G597" s="16"/>
      <c r="H597"/>
      <c r="I597" s="167"/>
      <c r="J597" s="167"/>
      <c r="K597" s="171"/>
      <c r="L597" s="167"/>
      <c r="M597" s="167"/>
      <c r="N597" s="167"/>
      <c r="S597"/>
      <c r="T597"/>
      <c r="U597"/>
      <c r="V597"/>
      <c r="W597"/>
      <c r="X597"/>
      <c r="Y597"/>
    </row>
    <row r="598" spans="3:25" x14ac:dyDescent="0.25">
      <c r="C598"/>
      <c r="G598" s="16"/>
      <c r="H598"/>
      <c r="I598" s="167"/>
      <c r="J598" s="167"/>
      <c r="K598" s="171"/>
      <c r="L598" s="167"/>
      <c r="M598" s="167"/>
      <c r="N598" s="167"/>
      <c r="S598"/>
      <c r="T598"/>
      <c r="U598"/>
      <c r="V598"/>
      <c r="W598"/>
      <c r="X598"/>
      <c r="Y598"/>
    </row>
    <row r="599" spans="3:25" x14ac:dyDescent="0.25">
      <c r="C599"/>
      <c r="G599" s="16"/>
      <c r="H599"/>
      <c r="I599" s="167"/>
      <c r="J599" s="167"/>
      <c r="K599" s="171"/>
      <c r="L599" s="167"/>
      <c r="M599" s="167"/>
      <c r="N599" s="167"/>
      <c r="S599"/>
      <c r="T599"/>
      <c r="U599"/>
      <c r="V599"/>
      <c r="W599"/>
      <c r="X599"/>
      <c r="Y599"/>
    </row>
    <row r="600" spans="3:25" x14ac:dyDescent="0.25">
      <c r="C600"/>
      <c r="G600" s="16"/>
      <c r="H600"/>
      <c r="I600" s="167"/>
      <c r="J600" s="167"/>
      <c r="K600" s="171"/>
      <c r="L600" s="167"/>
      <c r="M600" s="167"/>
      <c r="N600" s="167"/>
      <c r="S600"/>
      <c r="T600"/>
      <c r="U600"/>
      <c r="V600"/>
      <c r="W600"/>
      <c r="X600"/>
      <c r="Y600"/>
    </row>
    <row r="601" spans="3:25" x14ac:dyDescent="0.25">
      <c r="C601"/>
      <c r="G601" s="16"/>
      <c r="H601"/>
      <c r="I601" s="167"/>
      <c r="J601" s="167"/>
      <c r="K601" s="171"/>
      <c r="L601" s="167"/>
      <c r="M601" s="167"/>
      <c r="N601" s="167"/>
      <c r="S601"/>
      <c r="T601"/>
      <c r="U601"/>
      <c r="V601"/>
      <c r="W601"/>
      <c r="X601"/>
      <c r="Y601"/>
    </row>
    <row r="602" spans="3:25" x14ac:dyDescent="0.25">
      <c r="C602"/>
      <c r="G602" s="16"/>
      <c r="H602"/>
      <c r="I602" s="167"/>
      <c r="J602" s="167"/>
      <c r="K602" s="171"/>
      <c r="L602" s="167"/>
      <c r="M602" s="167"/>
      <c r="N602" s="167"/>
      <c r="S602"/>
      <c r="T602"/>
      <c r="U602"/>
      <c r="V602"/>
      <c r="W602"/>
      <c r="X602"/>
      <c r="Y602"/>
    </row>
    <row r="603" spans="3:25" x14ac:dyDescent="0.25">
      <c r="C603"/>
      <c r="G603" s="16"/>
      <c r="H603"/>
      <c r="I603" s="167"/>
      <c r="J603" s="167"/>
      <c r="K603" s="171"/>
      <c r="L603" s="167"/>
      <c r="M603" s="167"/>
      <c r="N603" s="167"/>
      <c r="S603"/>
      <c r="T603"/>
      <c r="U603"/>
      <c r="V603"/>
      <c r="W603"/>
      <c r="X603"/>
      <c r="Y603"/>
    </row>
    <row r="604" spans="3:25" x14ac:dyDescent="0.25">
      <c r="C604"/>
      <c r="G604" s="16"/>
      <c r="H604"/>
      <c r="I604" s="167"/>
      <c r="J604" s="167"/>
      <c r="K604" s="171"/>
      <c r="L604" s="167"/>
      <c r="M604" s="167"/>
      <c r="N604" s="167"/>
      <c r="S604"/>
      <c r="T604"/>
      <c r="U604"/>
      <c r="V604"/>
      <c r="W604"/>
      <c r="X604"/>
      <c r="Y604"/>
    </row>
    <row r="605" spans="3:25" x14ac:dyDescent="0.25">
      <c r="C605"/>
      <c r="G605" s="16"/>
      <c r="H605"/>
      <c r="I605" s="167"/>
      <c r="J605" s="167"/>
      <c r="K605" s="171"/>
      <c r="L605" s="167"/>
      <c r="M605" s="167"/>
      <c r="N605" s="167"/>
      <c r="S605"/>
      <c r="T605"/>
      <c r="U605"/>
      <c r="V605"/>
      <c r="W605"/>
      <c r="X605"/>
      <c r="Y605"/>
    </row>
    <row r="606" spans="3:25" x14ac:dyDescent="0.25">
      <c r="C606"/>
      <c r="G606" s="16"/>
      <c r="H606"/>
      <c r="I606" s="167"/>
      <c r="J606" s="167"/>
      <c r="K606" s="171"/>
      <c r="L606" s="167"/>
      <c r="M606" s="167"/>
      <c r="N606" s="167"/>
      <c r="S606"/>
      <c r="T606"/>
      <c r="U606"/>
      <c r="V606"/>
      <c r="W606"/>
      <c r="X606"/>
      <c r="Y606"/>
    </row>
    <row r="607" spans="3:25" x14ac:dyDescent="0.25">
      <c r="C607"/>
      <c r="G607" s="16"/>
      <c r="H607"/>
      <c r="I607" s="167"/>
      <c r="J607" s="167"/>
      <c r="K607" s="171"/>
      <c r="L607" s="167"/>
      <c r="M607" s="167"/>
      <c r="N607" s="167"/>
      <c r="S607"/>
      <c r="T607"/>
      <c r="U607"/>
      <c r="V607"/>
      <c r="W607"/>
      <c r="X607"/>
      <c r="Y607"/>
    </row>
    <row r="608" spans="3:25" x14ac:dyDescent="0.25">
      <c r="C608"/>
      <c r="G608" s="16"/>
      <c r="H608"/>
      <c r="I608" s="167"/>
      <c r="J608" s="167"/>
      <c r="K608" s="171"/>
      <c r="L608" s="167"/>
      <c r="M608" s="167"/>
      <c r="N608" s="167"/>
      <c r="S608"/>
      <c r="T608"/>
      <c r="U608"/>
      <c r="V608"/>
      <c r="W608"/>
      <c r="X608"/>
      <c r="Y608"/>
    </row>
    <row r="609" spans="3:25" x14ac:dyDescent="0.25">
      <c r="C609"/>
      <c r="G609" s="16"/>
      <c r="H609"/>
      <c r="I609" s="167"/>
      <c r="J609" s="167"/>
      <c r="K609" s="171"/>
      <c r="L609" s="167"/>
      <c r="M609" s="167"/>
      <c r="N609" s="167"/>
      <c r="S609"/>
      <c r="T609"/>
      <c r="U609"/>
      <c r="V609"/>
      <c r="W609"/>
      <c r="X609"/>
      <c r="Y609"/>
    </row>
    <row r="610" spans="3:25" x14ac:dyDescent="0.25">
      <c r="C610"/>
      <c r="G610" s="16"/>
      <c r="H610"/>
      <c r="I610" s="167"/>
      <c r="J610" s="167"/>
      <c r="K610" s="171"/>
      <c r="L610" s="167"/>
      <c r="M610" s="167"/>
      <c r="N610" s="167"/>
      <c r="S610"/>
      <c r="T610"/>
      <c r="U610"/>
      <c r="V610"/>
      <c r="W610"/>
      <c r="X610"/>
      <c r="Y610"/>
    </row>
    <row r="611" spans="3:25" x14ac:dyDescent="0.25">
      <c r="C611"/>
      <c r="G611" s="16"/>
      <c r="H611"/>
      <c r="I611" s="167"/>
      <c r="J611" s="167"/>
      <c r="K611" s="171"/>
      <c r="L611" s="167"/>
      <c r="M611" s="167"/>
      <c r="N611" s="167"/>
      <c r="S611"/>
      <c r="T611"/>
      <c r="U611"/>
      <c r="V611"/>
      <c r="W611"/>
      <c r="X611"/>
      <c r="Y611"/>
    </row>
    <row r="612" spans="3:25" x14ac:dyDescent="0.25">
      <c r="C612"/>
      <c r="G612" s="16"/>
      <c r="H612"/>
      <c r="I612" s="167"/>
      <c r="J612" s="167"/>
      <c r="K612" s="171"/>
      <c r="L612" s="167"/>
      <c r="M612" s="167"/>
      <c r="N612" s="167"/>
      <c r="S612"/>
      <c r="T612"/>
      <c r="U612"/>
      <c r="V612"/>
      <c r="W612"/>
      <c r="X612"/>
      <c r="Y612"/>
    </row>
    <row r="613" spans="3:25" x14ac:dyDescent="0.25">
      <c r="C613"/>
      <c r="G613" s="16"/>
      <c r="H613"/>
      <c r="I613" s="167"/>
      <c r="J613" s="167"/>
      <c r="K613" s="171"/>
      <c r="L613" s="167"/>
      <c r="M613" s="167"/>
      <c r="N613" s="167"/>
      <c r="S613"/>
      <c r="T613"/>
      <c r="U613"/>
      <c r="V613"/>
      <c r="W613"/>
      <c r="X613"/>
      <c r="Y613"/>
    </row>
    <row r="614" spans="3:25" x14ac:dyDescent="0.25">
      <c r="C614"/>
      <c r="G614" s="16"/>
      <c r="H614"/>
      <c r="I614" s="167"/>
      <c r="J614" s="167"/>
      <c r="K614" s="171"/>
      <c r="L614" s="167"/>
      <c r="M614" s="167"/>
      <c r="N614" s="167"/>
      <c r="S614"/>
      <c r="T614"/>
      <c r="U614"/>
      <c r="V614"/>
      <c r="W614"/>
      <c r="X614"/>
      <c r="Y614"/>
    </row>
    <row r="615" spans="3:25" x14ac:dyDescent="0.25">
      <c r="C615"/>
      <c r="G615" s="16"/>
      <c r="H615"/>
      <c r="I615" s="167"/>
      <c r="J615" s="167"/>
      <c r="K615" s="171"/>
      <c r="L615" s="167"/>
      <c r="M615" s="167"/>
      <c r="N615" s="167"/>
      <c r="S615"/>
      <c r="T615"/>
      <c r="U615"/>
      <c r="V615"/>
      <c r="W615"/>
      <c r="X615"/>
      <c r="Y615"/>
    </row>
    <row r="616" spans="3:25" x14ac:dyDescent="0.25">
      <c r="C616"/>
      <c r="G616" s="16"/>
      <c r="H616"/>
      <c r="I616" s="167"/>
      <c r="J616" s="167"/>
      <c r="K616" s="171"/>
      <c r="L616" s="167"/>
      <c r="M616" s="167"/>
      <c r="N616" s="167"/>
      <c r="S616"/>
      <c r="T616"/>
      <c r="U616"/>
      <c r="V616"/>
      <c r="W616"/>
      <c r="X616"/>
      <c r="Y616"/>
    </row>
    <row r="617" spans="3:25" x14ac:dyDescent="0.25">
      <c r="C617"/>
      <c r="G617" s="16"/>
      <c r="H617"/>
      <c r="I617" s="167"/>
      <c r="J617" s="167"/>
      <c r="K617" s="171"/>
      <c r="L617" s="167"/>
      <c r="M617" s="167"/>
      <c r="N617" s="167"/>
      <c r="S617"/>
      <c r="T617"/>
      <c r="U617"/>
      <c r="V617"/>
      <c r="W617"/>
      <c r="X617"/>
      <c r="Y617"/>
    </row>
    <row r="618" spans="3:25" x14ac:dyDescent="0.25">
      <c r="C618"/>
      <c r="G618" s="16"/>
      <c r="H618"/>
      <c r="I618" s="167"/>
      <c r="J618" s="167"/>
      <c r="K618" s="171"/>
      <c r="L618" s="167"/>
      <c r="M618" s="167"/>
      <c r="N618" s="167"/>
      <c r="S618"/>
      <c r="T618"/>
      <c r="U618"/>
      <c r="V618"/>
      <c r="W618"/>
      <c r="X618"/>
      <c r="Y618"/>
    </row>
    <row r="619" spans="3:25" x14ac:dyDescent="0.25">
      <c r="C619"/>
      <c r="G619" s="16"/>
      <c r="H619"/>
      <c r="I619" s="167"/>
      <c r="J619" s="167"/>
      <c r="K619" s="171"/>
      <c r="L619" s="167"/>
      <c r="M619" s="167"/>
      <c r="N619" s="167"/>
      <c r="S619"/>
      <c r="T619"/>
      <c r="U619"/>
      <c r="V619"/>
      <c r="W619"/>
      <c r="X619"/>
      <c r="Y619"/>
    </row>
    <row r="620" spans="3:25" x14ac:dyDescent="0.25">
      <c r="C620"/>
      <c r="G620" s="16"/>
      <c r="H620"/>
      <c r="I620" s="167"/>
      <c r="J620" s="167"/>
      <c r="K620" s="171"/>
      <c r="L620" s="167"/>
      <c r="M620" s="167"/>
      <c r="N620" s="167"/>
      <c r="S620"/>
      <c r="T620"/>
      <c r="U620"/>
      <c r="V620"/>
      <c r="W620"/>
      <c r="X620"/>
      <c r="Y620"/>
    </row>
    <row r="621" spans="3:25" x14ac:dyDescent="0.25">
      <c r="C621"/>
      <c r="G621" s="16"/>
      <c r="H621"/>
      <c r="I621" s="167"/>
      <c r="J621" s="167"/>
      <c r="K621" s="171"/>
      <c r="L621" s="167"/>
      <c r="M621" s="167"/>
      <c r="N621" s="167"/>
      <c r="S621"/>
      <c r="T621"/>
      <c r="U621"/>
      <c r="V621"/>
      <c r="W621"/>
      <c r="X621"/>
      <c r="Y621"/>
    </row>
    <row r="622" spans="3:25" x14ac:dyDescent="0.25">
      <c r="C622"/>
      <c r="G622" s="16"/>
      <c r="H622"/>
      <c r="I622" s="167"/>
      <c r="J622" s="167"/>
      <c r="K622" s="171"/>
      <c r="L622" s="167"/>
      <c r="M622" s="167"/>
      <c r="N622" s="167"/>
      <c r="S622"/>
      <c r="T622"/>
      <c r="U622"/>
      <c r="V622"/>
      <c r="W622"/>
      <c r="X622"/>
      <c r="Y622"/>
    </row>
    <row r="623" spans="3:25" x14ac:dyDescent="0.25">
      <c r="C623"/>
      <c r="G623" s="16"/>
      <c r="H623"/>
      <c r="I623" s="167"/>
      <c r="J623" s="167"/>
      <c r="K623" s="171"/>
      <c r="L623" s="167"/>
      <c r="M623" s="167"/>
      <c r="N623" s="167"/>
      <c r="S623"/>
      <c r="T623"/>
      <c r="U623"/>
      <c r="V623"/>
      <c r="W623"/>
      <c r="X623"/>
      <c r="Y623"/>
    </row>
    <row r="624" spans="3:25" x14ac:dyDescent="0.25">
      <c r="C624"/>
      <c r="G624" s="16"/>
      <c r="H624"/>
      <c r="I624" s="167"/>
      <c r="J624" s="167"/>
      <c r="K624" s="171"/>
      <c r="L624" s="167"/>
      <c r="M624" s="167"/>
      <c r="N624" s="167"/>
      <c r="S624"/>
      <c r="T624"/>
      <c r="U624"/>
      <c r="V624"/>
      <c r="W624"/>
      <c r="X624"/>
      <c r="Y624"/>
    </row>
    <row r="625" spans="3:25" x14ac:dyDescent="0.25">
      <c r="C625"/>
      <c r="G625" s="16"/>
      <c r="H625"/>
      <c r="I625" s="167"/>
      <c r="J625" s="167"/>
      <c r="K625" s="171"/>
      <c r="L625" s="167"/>
      <c r="M625" s="167"/>
      <c r="N625" s="167"/>
      <c r="S625"/>
      <c r="T625"/>
      <c r="U625"/>
      <c r="V625"/>
      <c r="W625"/>
      <c r="X625"/>
      <c r="Y625"/>
    </row>
    <row r="626" spans="3:25" x14ac:dyDescent="0.25">
      <c r="C626"/>
      <c r="G626" s="16"/>
      <c r="H626"/>
      <c r="I626" s="167"/>
      <c r="J626" s="167"/>
      <c r="K626" s="171"/>
      <c r="L626" s="167"/>
      <c r="M626" s="167"/>
      <c r="N626" s="167"/>
      <c r="S626"/>
      <c r="T626"/>
      <c r="U626"/>
      <c r="V626"/>
      <c r="W626"/>
      <c r="X626"/>
      <c r="Y626"/>
    </row>
    <row r="627" spans="3:25" x14ac:dyDescent="0.25">
      <c r="C627"/>
      <c r="G627" s="16"/>
      <c r="H627"/>
      <c r="I627" s="167"/>
      <c r="J627" s="167"/>
      <c r="K627" s="171"/>
      <c r="L627" s="167"/>
      <c r="M627" s="167"/>
      <c r="N627" s="167"/>
      <c r="S627"/>
      <c r="T627"/>
      <c r="U627"/>
      <c r="V627"/>
      <c r="W627"/>
      <c r="X627"/>
      <c r="Y627"/>
    </row>
    <row r="628" spans="3:25" x14ac:dyDescent="0.25">
      <c r="C628"/>
      <c r="G628" s="16"/>
      <c r="H628"/>
      <c r="I628" s="167"/>
      <c r="J628" s="167"/>
      <c r="K628" s="171"/>
      <c r="L628" s="167"/>
      <c r="M628" s="167"/>
      <c r="N628" s="167"/>
      <c r="S628"/>
      <c r="T628"/>
      <c r="U628"/>
      <c r="V628"/>
      <c r="W628"/>
      <c r="X628"/>
      <c r="Y628"/>
    </row>
    <row r="629" spans="3:25" x14ac:dyDescent="0.25">
      <c r="C629"/>
      <c r="G629" s="16"/>
      <c r="H629"/>
      <c r="I629" s="167"/>
      <c r="J629" s="167"/>
      <c r="K629" s="171"/>
      <c r="L629" s="167"/>
      <c r="M629" s="167"/>
      <c r="N629" s="167"/>
      <c r="S629"/>
      <c r="T629"/>
      <c r="U629"/>
      <c r="V629"/>
      <c r="W629"/>
      <c r="X629"/>
      <c r="Y629"/>
    </row>
    <row r="630" spans="3:25" x14ac:dyDescent="0.25">
      <c r="C630"/>
      <c r="G630" s="16"/>
      <c r="H630"/>
      <c r="I630" s="167"/>
      <c r="J630" s="167"/>
      <c r="K630" s="171"/>
      <c r="L630" s="167"/>
      <c r="M630" s="167"/>
      <c r="N630" s="167"/>
      <c r="S630"/>
      <c r="T630"/>
      <c r="U630"/>
      <c r="V630"/>
      <c r="W630"/>
      <c r="X630"/>
      <c r="Y630"/>
    </row>
    <row r="631" spans="3:25" x14ac:dyDescent="0.25">
      <c r="C631"/>
      <c r="G631" s="16"/>
      <c r="H631"/>
      <c r="I631" s="167"/>
      <c r="J631" s="167"/>
      <c r="K631" s="171"/>
      <c r="L631" s="167"/>
      <c r="M631" s="167"/>
      <c r="N631" s="167"/>
      <c r="S631"/>
      <c r="T631"/>
      <c r="U631"/>
      <c r="V631"/>
      <c r="W631"/>
      <c r="X631"/>
      <c r="Y631"/>
    </row>
    <row r="632" spans="3:25" x14ac:dyDescent="0.25">
      <c r="C632"/>
      <c r="G632" s="16"/>
      <c r="H632"/>
      <c r="I632" s="167"/>
      <c r="J632" s="167"/>
      <c r="K632" s="171"/>
      <c r="L632" s="167"/>
      <c r="M632" s="167"/>
      <c r="N632" s="167"/>
      <c r="S632"/>
      <c r="T632"/>
      <c r="U632"/>
      <c r="V632"/>
      <c r="W632"/>
      <c r="X632"/>
      <c r="Y632"/>
    </row>
    <row r="633" spans="3:25" x14ac:dyDescent="0.25">
      <c r="C633"/>
      <c r="G633" s="16"/>
      <c r="H633"/>
      <c r="I633" s="167"/>
      <c r="J633" s="167"/>
      <c r="K633" s="171"/>
      <c r="L633" s="167"/>
      <c r="M633" s="167"/>
      <c r="N633" s="167"/>
      <c r="S633"/>
      <c r="T633"/>
      <c r="U633"/>
      <c r="V633"/>
      <c r="W633"/>
      <c r="X633"/>
      <c r="Y633"/>
    </row>
    <row r="634" spans="3:25" x14ac:dyDescent="0.25">
      <c r="C634"/>
      <c r="G634" s="16"/>
      <c r="H634"/>
      <c r="I634" s="167"/>
      <c r="J634" s="167"/>
      <c r="K634" s="171"/>
      <c r="L634" s="167"/>
      <c r="M634" s="167"/>
      <c r="N634" s="167"/>
      <c r="S634"/>
      <c r="T634"/>
      <c r="U634"/>
      <c r="V634"/>
      <c r="W634"/>
      <c r="X634"/>
      <c r="Y634"/>
    </row>
    <row r="635" spans="3:25" x14ac:dyDescent="0.25">
      <c r="C635"/>
      <c r="G635" s="16"/>
      <c r="H635"/>
      <c r="I635" s="167"/>
      <c r="J635" s="167"/>
      <c r="K635" s="171"/>
      <c r="L635" s="167"/>
      <c r="M635" s="167"/>
      <c r="N635" s="167"/>
      <c r="S635"/>
      <c r="T635"/>
      <c r="U635"/>
      <c r="V635"/>
      <c r="W635"/>
      <c r="X635"/>
      <c r="Y635"/>
    </row>
    <row r="636" spans="3:25" x14ac:dyDescent="0.25">
      <c r="C636"/>
      <c r="G636" s="16"/>
      <c r="H636"/>
      <c r="I636" s="167"/>
      <c r="J636" s="167"/>
      <c r="K636" s="171"/>
      <c r="L636" s="167"/>
      <c r="M636" s="167"/>
      <c r="N636" s="167"/>
      <c r="S636"/>
      <c r="T636"/>
      <c r="U636"/>
      <c r="V636"/>
      <c r="W636"/>
      <c r="X636"/>
      <c r="Y636"/>
    </row>
    <row r="637" spans="3:25" x14ac:dyDescent="0.25">
      <c r="C637"/>
      <c r="G637" s="16"/>
      <c r="H637"/>
      <c r="I637" s="167"/>
      <c r="J637" s="167"/>
      <c r="K637" s="171"/>
      <c r="L637" s="167"/>
      <c r="M637" s="167"/>
      <c r="N637" s="167"/>
      <c r="S637"/>
      <c r="T637"/>
      <c r="U637"/>
      <c r="V637"/>
      <c r="W637"/>
      <c r="X637"/>
      <c r="Y637"/>
    </row>
    <row r="638" spans="3:25" x14ac:dyDescent="0.25">
      <c r="C638"/>
      <c r="G638" s="16"/>
      <c r="H638"/>
      <c r="I638" s="167"/>
      <c r="J638" s="167"/>
      <c r="K638" s="171"/>
      <c r="L638" s="167"/>
      <c r="M638" s="167"/>
      <c r="N638" s="167"/>
      <c r="S638"/>
      <c r="T638"/>
      <c r="U638"/>
      <c r="V638"/>
      <c r="W638"/>
      <c r="X638"/>
      <c r="Y638"/>
    </row>
    <row r="639" spans="3:25" x14ac:dyDescent="0.25">
      <c r="C639"/>
      <c r="G639" s="16"/>
      <c r="H639"/>
      <c r="I639" s="167"/>
      <c r="J639" s="167"/>
      <c r="K639" s="171"/>
      <c r="L639" s="167"/>
      <c r="M639" s="167"/>
      <c r="N639" s="167"/>
      <c r="S639"/>
      <c r="T639"/>
      <c r="U639"/>
      <c r="V639"/>
      <c r="W639"/>
      <c r="X639"/>
      <c r="Y639"/>
    </row>
    <row r="640" spans="3:25" x14ac:dyDescent="0.25">
      <c r="C640"/>
      <c r="G640" s="16"/>
      <c r="H640"/>
      <c r="I640" s="167"/>
      <c r="J640" s="167"/>
      <c r="K640" s="171"/>
      <c r="L640" s="167"/>
      <c r="M640" s="167"/>
      <c r="N640" s="167"/>
      <c r="S640"/>
      <c r="T640"/>
      <c r="U640"/>
      <c r="V640"/>
      <c r="W640"/>
      <c r="X640"/>
      <c r="Y640"/>
    </row>
    <row r="641" spans="3:25" x14ac:dyDescent="0.25">
      <c r="C641"/>
      <c r="G641" s="16"/>
      <c r="H641"/>
      <c r="I641" s="167"/>
      <c r="J641" s="167"/>
      <c r="K641" s="171"/>
      <c r="L641" s="167"/>
      <c r="M641" s="167"/>
      <c r="N641" s="167"/>
      <c r="S641"/>
      <c r="T641"/>
      <c r="U641"/>
      <c r="V641"/>
      <c r="W641"/>
      <c r="X641"/>
      <c r="Y641"/>
    </row>
    <row r="642" spans="3:25" x14ac:dyDescent="0.25">
      <c r="C642"/>
      <c r="G642" s="16"/>
      <c r="H642"/>
      <c r="I642" s="167"/>
      <c r="J642" s="167"/>
      <c r="K642" s="171"/>
      <c r="L642" s="167"/>
      <c r="M642" s="167"/>
      <c r="N642" s="167"/>
      <c r="S642"/>
      <c r="T642"/>
      <c r="U642"/>
      <c r="V642"/>
      <c r="W642"/>
      <c r="X642"/>
      <c r="Y642"/>
    </row>
    <row r="643" spans="3:25" x14ac:dyDescent="0.25">
      <c r="C643"/>
      <c r="G643" s="16"/>
      <c r="H643"/>
      <c r="I643" s="167"/>
      <c r="J643" s="167"/>
      <c r="K643" s="171"/>
      <c r="L643" s="167"/>
      <c r="M643" s="167"/>
      <c r="N643" s="167"/>
      <c r="S643"/>
      <c r="T643"/>
      <c r="U643"/>
      <c r="V643"/>
      <c r="W643"/>
      <c r="X643"/>
      <c r="Y643"/>
    </row>
    <row r="644" spans="3:25" x14ac:dyDescent="0.25">
      <c r="C644"/>
      <c r="G644" s="16"/>
      <c r="H644"/>
      <c r="I644" s="167"/>
      <c r="J644" s="167"/>
      <c r="K644" s="171"/>
      <c r="L644" s="167"/>
      <c r="M644" s="167"/>
      <c r="N644" s="167"/>
      <c r="S644"/>
      <c r="T644"/>
      <c r="U644"/>
      <c r="V644"/>
      <c r="W644"/>
      <c r="X644"/>
      <c r="Y644"/>
    </row>
    <row r="645" spans="3:25" x14ac:dyDescent="0.25">
      <c r="C645"/>
      <c r="G645" s="16"/>
      <c r="H645"/>
      <c r="I645" s="167"/>
      <c r="J645" s="167"/>
      <c r="K645" s="171"/>
      <c r="L645" s="167"/>
      <c r="M645" s="167"/>
      <c r="N645" s="167"/>
      <c r="S645"/>
      <c r="T645"/>
      <c r="U645"/>
      <c r="V645"/>
      <c r="W645"/>
      <c r="X645"/>
      <c r="Y645"/>
    </row>
    <row r="646" spans="3:25" x14ac:dyDescent="0.25">
      <c r="C646"/>
      <c r="G646" s="16"/>
      <c r="H646"/>
      <c r="I646" s="167"/>
      <c r="J646" s="167"/>
      <c r="K646" s="171"/>
      <c r="L646" s="167"/>
      <c r="M646" s="167"/>
      <c r="N646" s="167"/>
      <c r="S646"/>
      <c r="T646"/>
      <c r="U646"/>
      <c r="V646"/>
      <c r="W646"/>
      <c r="X646"/>
      <c r="Y646"/>
    </row>
    <row r="647" spans="3:25" x14ac:dyDescent="0.25">
      <c r="C647"/>
      <c r="G647" s="16"/>
      <c r="H647"/>
      <c r="I647" s="167"/>
      <c r="J647" s="167"/>
      <c r="K647" s="171"/>
      <c r="L647" s="167"/>
      <c r="M647" s="167"/>
      <c r="N647" s="167"/>
      <c r="S647"/>
      <c r="T647"/>
      <c r="U647"/>
      <c r="V647"/>
      <c r="W647"/>
      <c r="X647"/>
      <c r="Y647"/>
    </row>
  </sheetData>
  <sheetProtection sheet="1" objects="1" scenarios="1"/>
  <mergeCells count="1">
    <mergeCell ref="V1:AA2"/>
  </mergeCells>
  <phoneticPr fontId="0" type="noConversion"/>
  <conditionalFormatting sqref="AD5:XFD17">
    <cfRule type="cellIs" dxfId="46" priority="2" operator="equal">
      <formula>"(blank)"</formula>
    </cfRule>
    <cfRule type="cellIs" dxfId="45" priority="3" operator="equal">
      <formula>"(vuoto)"</formula>
    </cfRule>
  </conditionalFormatting>
  <conditionalFormatting sqref="A291:AB1048576 A1:AB2 A4:AB4 A5:F15 A3:R3 A16:H290 S30:AB290">
    <cfRule type="cellIs" dxfId="44" priority="1" operator="equal">
      <formula>"(vuoto)"</formula>
    </cfRule>
  </conditionalFormatting>
  <printOptions horizontalCentered="1"/>
  <pageMargins left="0.39370078740157483" right="0.39370078740157483" top="0.31496062992125984" bottom="0.62992125984251968" header="0.51181102362204722" footer="0.23622047244094491"/>
  <pageSetup paperSize="8" scale="83" fitToHeight="6" orientation="portrait" r:id="rId2"/>
  <headerFooter>
    <oddFooter xml:space="preserve">&amp;L&amp;Z&amp;F&amp;R&amp;D   &amp;T    &amp;P/&amp;N       </oddFooter>
  </headerFooter>
  <rowBreaks count="3" manualBreakCount="3">
    <brk id="68" max="16383" man="1"/>
    <brk id="133" max="16383" man="1"/>
    <brk id="191" max="16383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3"/>
  <sheetViews>
    <sheetView workbookViewId="0">
      <selection activeCell="A2" sqref="A2"/>
    </sheetView>
  </sheetViews>
  <sheetFormatPr defaultColWidth="9.1796875" defaultRowHeight="12.5" x14ac:dyDescent="0.25"/>
  <cols>
    <col min="1" max="1" width="34.7265625" style="53" customWidth="1"/>
    <col min="2" max="2" width="37.1796875" style="53" customWidth="1"/>
    <col min="3" max="16384" width="9.1796875" style="53"/>
  </cols>
  <sheetData>
    <row r="1" spans="1:1" ht="13" x14ac:dyDescent="0.3">
      <c r="A1" s="52" t="s">
        <v>36</v>
      </c>
    </row>
    <row r="2" spans="1:1" x14ac:dyDescent="0.25">
      <c r="A2" s="53" t="s">
        <v>77</v>
      </c>
    </row>
    <row r="3" spans="1:1" x14ac:dyDescent="0.25">
      <c r="A3" s="53" t="s">
        <v>83</v>
      </c>
    </row>
  </sheetData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BLD2" Type="http://schemas.openxmlformats.org/officeDocument/2006/relationships/image" Target="images/064a5aaa-db9f-4b47-b793-ab3d57453d25.png"/><Relationship Id="BLD7" Type="http://schemas.openxmlformats.org/officeDocument/2006/relationships/image" Target="images/ce2e8eda-8ab0-49d9-b84d-c9565b8df92a.png"/><Relationship Id="Save" Type="http://schemas.openxmlformats.org/officeDocument/2006/relationships/image" Target="images/df4ab33c-8864-44d9-b513-ffd31592081f.png"/><Relationship Id="BLD1" Type="http://schemas.openxmlformats.org/officeDocument/2006/relationships/image" Target="images/385564bc-88c9-4541-a6ba-5ac06f082dca.png"/><Relationship Id="BLD6" Type="http://schemas.openxmlformats.org/officeDocument/2006/relationships/image" Target="images/64ea190d-e0b0-41c6-9a72-3320a439aac0.png"/><Relationship Id="Write2" Type="http://schemas.openxmlformats.org/officeDocument/2006/relationships/image" Target="images/bf736ad3-3371-4c05-82b0-1f2f90da5669.png"/><Relationship Id="BLD5" Type="http://schemas.openxmlformats.org/officeDocument/2006/relationships/image" Target="images/cc36c457-14c3-4bd3-a8b3-ddf92359769b.png"/><Relationship Id="Clipboard" Type="http://schemas.openxmlformats.org/officeDocument/2006/relationships/image" Target="images/9b947327-b566-4d4c-a8cd-e45201eafc5a.png"/><Relationship Id="BLD4" Type="http://schemas.openxmlformats.org/officeDocument/2006/relationships/image" Target="images/49e24d00-8e2b-4569-9a14-401dde58fde4.png"/><Relationship Id="LOCK" Type="http://schemas.openxmlformats.org/officeDocument/2006/relationships/image" Target="images/16335850-a700-40fd-be4d-98ce2392e0d8.png"/><Relationship Id="BLD8" Type="http://schemas.openxmlformats.org/officeDocument/2006/relationships/image" Target="images/c5f5fa19-bea3-47f8-94ae-044a56682e8e.png"/><Relationship Id="Gear" Type="http://schemas.openxmlformats.org/officeDocument/2006/relationships/image" Target="images/70253665-f1c3-41ec-a8d2-1dce5875c7cc.png"/><Relationship Id="FOCCHI" Type="http://schemas.openxmlformats.org/officeDocument/2006/relationships/image" Target="images/06afda28-f2be-4810-9502-5a1deb283483.png"/><Relationship Id="BLD3" Type="http://schemas.openxmlformats.org/officeDocument/2006/relationships/image" Target="images/2392bf66-95d6-4c39-82f7-6de453eedf67.png"/><Relationship Id="UNLOCK" Type="http://schemas.openxmlformats.org/officeDocument/2006/relationships/image" Target="images/edf5506a-051e-4649-b855-65fb3b76366d.png"/></Relationships>
</file>

<file path=customUI/customUI.xml><?xml version="1.0" encoding="utf-8"?>
<customUI xmlns="http://schemas.microsoft.com/office/2006/01/customui" onLoad="ribbonLoaded">
  <ribbon startFromScratch="false">
    <tabs>
      <tab id="MyCustomTab5" label="Panel Take Off" insertBeforeMso="TabHome">
        <group id="customFocchiGroup1" label="PanelTakeOff 5.0.0">
          <button id="customFocchiButton1" label="Save" size="large" onAction="save" image="Save"/>
          <button id="customFocchiButton3" label="Rename Calculation" size="large" onAction="RenameCalculation" image="Write2"/>
          <button id="customFocchiButton4" label="Show/hide notes" size="large" onAction="SwitchNotes" image="Clipboard"/>
        </group>
        <group id="customFocchiGroup2" label="Jump To Building">
          <button id="customFocchiButton7" label="Bldg 1" size="large" onAction="JumpToBuilding1" image="BLD1"/>
          <button id="customFocchiButton8" label="Bldg 2" size="large" onAction="JumpToBuilding2" image="BLD2"/>
          <button id="customFocchiButton9" label="Bldg 3" size="large" onAction="JumpToBuilding3" image="BLD3"/>
          <button id="customFocchiButton10" label="Bldg 4" size="large" onAction="JumpToBuilding4" image="BLD4"/>
          <button id="customFocchiButton11" label="Bldg 5" size="large" onAction="JumpToBuilding5" image="BLD5"/>
          <button id="customFocchiButton12" label="Bldg 6" size="large" onAction="JumpToBuilding6" image="BLD6"/>
          <button id="customFocchiButton13" label="Bldg 7" size="large" onAction="JumpToBuilding7" image="BLD7"/>
          <button id="customFocchiButton14" label="Bldg 8" size="large" onAction="JumpToBuilding8" image="BLD8"/>
        </group>
        <group id="customFocchiGroup3" label="Protection">
          <button id="customFocchiButton15" label="Lock" size="large" onAction="btnMettiProtezioni" image="LOCK"/>
          <button id="customFocchiButton16" label="Unlock" size="large" onAction="btnTogliProtezioni" image="UNLO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5</vt:i4>
      </vt:variant>
    </vt:vector>
  </HeadingPairs>
  <TitlesOfParts>
    <vt:vector size="8" baseType="lpstr">
      <vt:lpstr>CELLS</vt:lpstr>
      <vt:lpstr>RESUMING</vt:lpstr>
      <vt:lpstr>Woset</vt:lpstr>
      <vt:lpstr>CELLS!Area_stampa</vt:lpstr>
      <vt:lpstr>RESUMING!Area_stampa</vt:lpstr>
      <vt:lpstr>RESUMINGSOURCE</vt:lpstr>
      <vt:lpstr>CELLS!Titoli_stampa</vt:lpstr>
      <vt:lpstr>RESUMING!Titoli_stampa</vt:lpstr>
    </vt:vector>
  </TitlesOfParts>
  <Company>Permasteelisa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Stefano.Pavan</dc:creator>
  <cp:lastModifiedBy>Massimo Cicognani</cp:lastModifiedBy>
  <cp:lastPrinted>2019-07-25T07:44:05Z</cp:lastPrinted>
  <dcterms:created xsi:type="dcterms:W3CDTF">2003-11-17T08:37:51Z</dcterms:created>
  <dcterms:modified xsi:type="dcterms:W3CDTF">2019-07-25T09:37:38Z</dcterms:modified>
</cp:coreProperties>
</file>