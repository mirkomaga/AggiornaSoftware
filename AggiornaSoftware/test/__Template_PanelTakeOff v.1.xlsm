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f51901486a7473a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_PROGETTI\FocchiStartup\bin\Debug\"/>
    </mc:Choice>
  </mc:AlternateContent>
  <bookViews>
    <workbookView xWindow="9590" yWindow="-20" windowWidth="9620" windowHeight="6780"/>
  </bookViews>
  <sheets>
    <sheet name="CELLS" sheetId="16" r:id="rId1"/>
    <sheet name="RESUMING" sheetId="18" r:id="rId2"/>
    <sheet name="Model" sheetId="19" state="hidden" r:id="rId3"/>
    <sheet name="Height_floors" sheetId="20" state="hidden" r:id="rId4"/>
    <sheet name="Woset" sheetId="21" state="hidden" r:id="rId5"/>
  </sheets>
  <definedNames>
    <definedName name="_xlnm._FilterDatabase" localSheetId="0" hidden="1">CELLS!$A$6:$HA$7</definedName>
    <definedName name="_xlnm.Print_Area" localSheetId="0">CELLS!$A:$AB</definedName>
    <definedName name="_xlnm.Criteria" localSheetId="0">CELLS!#REF!</definedName>
    <definedName name="RESUMINGSOURCE">CELLS!$A$5:'CELLS'!$AL$95</definedName>
    <definedName name="_xlnm.Print_Titles" localSheetId="0">CELLS!$3:$6</definedName>
    <definedName name="_xlnm.Print_Titles" localSheetId="1">RESUMING!$3:$3</definedName>
  </definedNames>
  <calcPr calcId="162913"/>
  <pivotCaches>
    <pivotCache cacheId="81" r:id="rId6"/>
  </pivotCaches>
</workbook>
</file>

<file path=xl/calcChain.xml><?xml version="1.0" encoding="utf-8"?>
<calcChain xmlns="http://schemas.openxmlformats.org/spreadsheetml/2006/main">
  <c r="GY14" i="16" l="1"/>
  <c r="AA14" i="16" s="1"/>
  <c r="GD14" i="16"/>
  <c r="Z14" i="16" s="1"/>
  <c r="FI14" i="16"/>
  <c r="Y14" i="16" s="1"/>
  <c r="DS14" i="16"/>
  <c r="BH14" i="16"/>
  <c r="T14" i="16" s="1"/>
  <c r="AM14" i="16"/>
  <c r="S14" i="16" s="1"/>
  <c r="AL14" i="16"/>
  <c r="AK14" i="16"/>
  <c r="AJ14" i="16"/>
  <c r="AI14" i="16"/>
  <c r="AH14" i="16"/>
  <c r="AG14" i="16"/>
  <c r="AF14" i="16"/>
  <c r="AE14" i="16"/>
  <c r="AD14" i="16"/>
  <c r="AC14" i="16"/>
  <c r="W14" i="16"/>
  <c r="R14" i="16"/>
  <c r="EN14" i="16" s="1"/>
  <c r="X14" i="16" s="1"/>
  <c r="O14" i="16"/>
  <c r="AB14" i="16" s="1"/>
  <c r="CC14" i="16" l="1"/>
  <c r="U14" i="16" s="1"/>
  <c r="CX14" i="16"/>
  <c r="V14" i="16" s="1"/>
  <c r="AL8" i="16" l="1"/>
  <c r="AK8" i="16"/>
  <c r="AJ8" i="16"/>
  <c r="AI8" i="16"/>
  <c r="AH8" i="16"/>
  <c r="AG8" i="16"/>
  <c r="AF8" i="16"/>
  <c r="AE8" i="16"/>
  <c r="AD8" i="16"/>
  <c r="AC8" i="16"/>
  <c r="R8" i="16"/>
  <c r="GD8" i="16" s="1"/>
  <c r="Z8" i="16" s="1"/>
  <c r="O8" i="16"/>
  <c r="AB8" i="16" s="1"/>
  <c r="AL9" i="16"/>
  <c r="AK9" i="16"/>
  <c r="AJ9" i="16"/>
  <c r="AI9" i="16"/>
  <c r="AH9" i="16"/>
  <c r="AG9" i="16"/>
  <c r="AF9" i="16"/>
  <c r="AE9" i="16"/>
  <c r="AD9" i="16"/>
  <c r="AC9" i="16"/>
  <c r="R9" i="16"/>
  <c r="GD9" i="16" s="1"/>
  <c r="Z9" i="16" s="1"/>
  <c r="O9" i="16"/>
  <c r="AB9" i="16" s="1"/>
  <c r="AL10" i="16"/>
  <c r="AK10" i="16"/>
  <c r="AJ10" i="16"/>
  <c r="AI10" i="16"/>
  <c r="AH10" i="16"/>
  <c r="AG10" i="16"/>
  <c r="AF10" i="16"/>
  <c r="AE10" i="16"/>
  <c r="AD10" i="16"/>
  <c r="AC10" i="16"/>
  <c r="R10" i="16"/>
  <c r="GD10" i="16" s="1"/>
  <c r="Z10" i="16" s="1"/>
  <c r="O10" i="16"/>
  <c r="AB10" i="16" s="1"/>
  <c r="AL11" i="16"/>
  <c r="AK11" i="16"/>
  <c r="AJ11" i="16"/>
  <c r="AI11" i="16"/>
  <c r="AH11" i="16"/>
  <c r="AG11" i="16"/>
  <c r="AF11" i="16"/>
  <c r="AE11" i="16"/>
  <c r="AD11" i="16"/>
  <c r="AC11" i="16"/>
  <c r="R11" i="16"/>
  <c r="GD11" i="16" s="1"/>
  <c r="Z11" i="16" s="1"/>
  <c r="O11" i="16"/>
  <c r="AB11" i="16" s="1"/>
  <c r="AL12" i="16"/>
  <c r="AK12" i="16"/>
  <c r="AJ12" i="16"/>
  <c r="AI12" i="16"/>
  <c r="AH12" i="16"/>
  <c r="AG12" i="16"/>
  <c r="AF12" i="16"/>
  <c r="AE12" i="16"/>
  <c r="AD12" i="16"/>
  <c r="AC12" i="16"/>
  <c r="R12" i="16"/>
  <c r="GD12" i="16" s="1"/>
  <c r="Z12" i="16" s="1"/>
  <c r="O12" i="16"/>
  <c r="AB12" i="16" s="1"/>
  <c r="AL13" i="16"/>
  <c r="AK13" i="16"/>
  <c r="AJ13" i="16"/>
  <c r="AI13" i="16"/>
  <c r="AH13" i="16"/>
  <c r="AG13" i="16"/>
  <c r="AF13" i="16"/>
  <c r="AE13" i="16"/>
  <c r="AD13" i="16"/>
  <c r="AC13" i="16"/>
  <c r="R13" i="16"/>
  <c r="GD13" i="16" s="1"/>
  <c r="Z13" i="16" s="1"/>
  <c r="O13" i="16"/>
  <c r="AB13" i="16" s="1"/>
  <c r="AL15" i="16"/>
  <c r="AK15" i="16"/>
  <c r="AJ15" i="16"/>
  <c r="AI15" i="16"/>
  <c r="AH15" i="16"/>
  <c r="AG15" i="16"/>
  <c r="AF15" i="16"/>
  <c r="AE15" i="16"/>
  <c r="AD15" i="16"/>
  <c r="AC15" i="16"/>
  <c r="R15" i="16"/>
  <c r="GD15" i="16" s="1"/>
  <c r="Z15" i="16" s="1"/>
  <c r="O15" i="16"/>
  <c r="AB15" i="16" s="1"/>
  <c r="AL16" i="16"/>
  <c r="AK16" i="16"/>
  <c r="AJ16" i="16"/>
  <c r="AI16" i="16"/>
  <c r="AH16" i="16"/>
  <c r="AG16" i="16"/>
  <c r="AF16" i="16"/>
  <c r="AE16" i="16"/>
  <c r="AD16" i="16"/>
  <c r="AC16" i="16"/>
  <c r="R16" i="16"/>
  <c r="GD16" i="16" s="1"/>
  <c r="Z16" i="16" s="1"/>
  <c r="O16" i="16"/>
  <c r="AB16" i="16" s="1"/>
  <c r="AL17" i="16"/>
  <c r="AK17" i="16"/>
  <c r="AJ17" i="16"/>
  <c r="AI17" i="16"/>
  <c r="AH17" i="16"/>
  <c r="AG17" i="16"/>
  <c r="AF17" i="16"/>
  <c r="AE17" i="16"/>
  <c r="AD17" i="16"/>
  <c r="AC17" i="16"/>
  <c r="R17" i="16"/>
  <c r="GD17" i="16" s="1"/>
  <c r="Z17" i="16" s="1"/>
  <c r="O17" i="16"/>
  <c r="AB17" i="16" s="1"/>
  <c r="AL18" i="16"/>
  <c r="AK18" i="16"/>
  <c r="AJ18" i="16"/>
  <c r="AI18" i="16"/>
  <c r="AH18" i="16"/>
  <c r="AG18" i="16"/>
  <c r="AF18" i="16"/>
  <c r="AE18" i="16"/>
  <c r="AD18" i="16"/>
  <c r="AC18" i="16"/>
  <c r="R18" i="16"/>
  <c r="GD18" i="16" s="1"/>
  <c r="Z18" i="16" s="1"/>
  <c r="O18" i="16"/>
  <c r="AB18" i="16" s="1"/>
  <c r="AL19" i="16"/>
  <c r="AK19" i="16"/>
  <c r="AJ19" i="16"/>
  <c r="AI19" i="16"/>
  <c r="AH19" i="16"/>
  <c r="AG19" i="16"/>
  <c r="AF19" i="16"/>
  <c r="AE19" i="16"/>
  <c r="AD19" i="16"/>
  <c r="AC19" i="16"/>
  <c r="R19" i="16"/>
  <c r="GD19" i="16" s="1"/>
  <c r="Z19" i="16" s="1"/>
  <c r="O19" i="16"/>
  <c r="AB19" i="16" s="1"/>
  <c r="AL20" i="16"/>
  <c r="AK20" i="16"/>
  <c r="AJ20" i="16"/>
  <c r="AI20" i="16"/>
  <c r="AH20" i="16"/>
  <c r="AG20" i="16"/>
  <c r="AF20" i="16"/>
  <c r="AE20" i="16"/>
  <c r="AD20" i="16"/>
  <c r="AC20" i="16"/>
  <c r="R20" i="16"/>
  <c r="GD20" i="16" s="1"/>
  <c r="Z20" i="16" s="1"/>
  <c r="O20" i="16"/>
  <c r="AB20" i="16" s="1"/>
  <c r="AL21" i="16"/>
  <c r="AK21" i="16"/>
  <c r="AJ21" i="16"/>
  <c r="AI21" i="16"/>
  <c r="AH21" i="16"/>
  <c r="AG21" i="16"/>
  <c r="AF21" i="16"/>
  <c r="AE21" i="16"/>
  <c r="AD21" i="16"/>
  <c r="AC21" i="16"/>
  <c r="R21" i="16"/>
  <c r="GD21" i="16" s="1"/>
  <c r="Z21" i="16" s="1"/>
  <c r="O21" i="16"/>
  <c r="AB21" i="16" s="1"/>
  <c r="AL22" i="16"/>
  <c r="AK22" i="16"/>
  <c r="AJ22" i="16"/>
  <c r="AI22" i="16"/>
  <c r="AH22" i="16"/>
  <c r="AG22" i="16"/>
  <c r="AF22" i="16"/>
  <c r="AE22" i="16"/>
  <c r="AD22" i="16"/>
  <c r="AC22" i="16"/>
  <c r="R22" i="16"/>
  <c r="GD22" i="16" s="1"/>
  <c r="Z22" i="16" s="1"/>
  <c r="O22" i="16"/>
  <c r="AB22" i="16" s="1"/>
  <c r="AL23" i="16"/>
  <c r="AK23" i="16"/>
  <c r="AJ23" i="16"/>
  <c r="AI23" i="16"/>
  <c r="AH23" i="16"/>
  <c r="AG23" i="16"/>
  <c r="AF23" i="16"/>
  <c r="AE23" i="16"/>
  <c r="AD23" i="16"/>
  <c r="AC23" i="16"/>
  <c r="R23" i="16"/>
  <c r="GD23" i="16" s="1"/>
  <c r="Z23" i="16" s="1"/>
  <c r="O23" i="16"/>
  <c r="AB23" i="16" s="1"/>
  <c r="AL24" i="16"/>
  <c r="AK24" i="16"/>
  <c r="AJ24" i="16"/>
  <c r="AI24" i="16"/>
  <c r="AH24" i="16"/>
  <c r="AG24" i="16"/>
  <c r="AF24" i="16"/>
  <c r="AE24" i="16"/>
  <c r="AD24" i="16"/>
  <c r="AC24" i="16"/>
  <c r="R24" i="16"/>
  <c r="GD24" i="16" s="1"/>
  <c r="Z24" i="16" s="1"/>
  <c r="O24" i="16"/>
  <c r="AB24" i="16" s="1"/>
  <c r="AL25" i="16"/>
  <c r="AK25" i="16"/>
  <c r="AJ25" i="16"/>
  <c r="AI25" i="16"/>
  <c r="AH25" i="16"/>
  <c r="AG25" i="16"/>
  <c r="AF25" i="16"/>
  <c r="AE25" i="16"/>
  <c r="AD25" i="16"/>
  <c r="AC25" i="16"/>
  <c r="R25" i="16"/>
  <c r="GD25" i="16" s="1"/>
  <c r="Z25" i="16" s="1"/>
  <c r="O25" i="16"/>
  <c r="AB25" i="16" s="1"/>
  <c r="AL26" i="16"/>
  <c r="AK26" i="16"/>
  <c r="AJ26" i="16"/>
  <c r="AI26" i="16"/>
  <c r="AH26" i="16"/>
  <c r="AG26" i="16"/>
  <c r="AF26" i="16"/>
  <c r="AE26" i="16"/>
  <c r="AD26" i="16"/>
  <c r="AC26" i="16"/>
  <c r="R26" i="16"/>
  <c r="GD26" i="16" s="1"/>
  <c r="Z26" i="16" s="1"/>
  <c r="O26" i="16"/>
  <c r="AB26" i="16" s="1"/>
  <c r="AL27" i="16"/>
  <c r="AK27" i="16"/>
  <c r="AJ27" i="16"/>
  <c r="AI27" i="16"/>
  <c r="AH27" i="16"/>
  <c r="AG27" i="16"/>
  <c r="AF27" i="16"/>
  <c r="AE27" i="16"/>
  <c r="AD27" i="16"/>
  <c r="AC27" i="16"/>
  <c r="R27" i="16"/>
  <c r="GD27" i="16" s="1"/>
  <c r="Z27" i="16" s="1"/>
  <c r="O27" i="16"/>
  <c r="AB27" i="16" s="1"/>
  <c r="AL28" i="16"/>
  <c r="AK28" i="16"/>
  <c r="AJ28" i="16"/>
  <c r="AI28" i="16"/>
  <c r="AH28" i="16"/>
  <c r="AG28" i="16"/>
  <c r="AF28" i="16"/>
  <c r="AE28" i="16"/>
  <c r="AD28" i="16"/>
  <c r="AC28" i="16"/>
  <c r="R28" i="16"/>
  <c r="GD28" i="16" s="1"/>
  <c r="Z28" i="16" s="1"/>
  <c r="O28" i="16"/>
  <c r="AB28" i="16" s="1"/>
  <c r="AL29" i="16"/>
  <c r="AK29" i="16"/>
  <c r="AJ29" i="16"/>
  <c r="AI29" i="16"/>
  <c r="AH29" i="16"/>
  <c r="AG29" i="16"/>
  <c r="AF29" i="16"/>
  <c r="AE29" i="16"/>
  <c r="AD29" i="16"/>
  <c r="AC29" i="16"/>
  <c r="R29" i="16"/>
  <c r="GD29" i="16" s="1"/>
  <c r="Z29" i="16" s="1"/>
  <c r="O29" i="16"/>
  <c r="AB29" i="16" s="1"/>
  <c r="AL30" i="16"/>
  <c r="AK30" i="16"/>
  <c r="AJ30" i="16"/>
  <c r="AI30" i="16"/>
  <c r="AH30" i="16"/>
  <c r="AG30" i="16"/>
  <c r="AF30" i="16"/>
  <c r="AE30" i="16"/>
  <c r="AD30" i="16"/>
  <c r="AC30" i="16"/>
  <c r="R30" i="16"/>
  <c r="GD30" i="16" s="1"/>
  <c r="Z30" i="16" s="1"/>
  <c r="O30" i="16"/>
  <c r="AB30" i="16" s="1"/>
  <c r="AL31" i="16"/>
  <c r="AK31" i="16"/>
  <c r="AJ31" i="16"/>
  <c r="AI31" i="16"/>
  <c r="AH31" i="16"/>
  <c r="AG31" i="16"/>
  <c r="AF31" i="16"/>
  <c r="AE31" i="16"/>
  <c r="AD31" i="16"/>
  <c r="AC31" i="16"/>
  <c r="R31" i="16"/>
  <c r="GD31" i="16" s="1"/>
  <c r="Z31" i="16" s="1"/>
  <c r="O31" i="16"/>
  <c r="AB31" i="16" s="1"/>
  <c r="AL32" i="16"/>
  <c r="AK32" i="16"/>
  <c r="AJ32" i="16"/>
  <c r="AI32" i="16"/>
  <c r="AH32" i="16"/>
  <c r="AG32" i="16"/>
  <c r="AF32" i="16"/>
  <c r="AE32" i="16"/>
  <c r="AD32" i="16"/>
  <c r="AC32" i="16"/>
  <c r="R32" i="16"/>
  <c r="GD32" i="16" s="1"/>
  <c r="Z32" i="16" s="1"/>
  <c r="O32" i="16"/>
  <c r="AB32" i="16" s="1"/>
  <c r="AL33" i="16"/>
  <c r="AK33" i="16"/>
  <c r="AJ33" i="16"/>
  <c r="AI33" i="16"/>
  <c r="AH33" i="16"/>
  <c r="AG33" i="16"/>
  <c r="AF33" i="16"/>
  <c r="AE33" i="16"/>
  <c r="AD33" i="16"/>
  <c r="AC33" i="16"/>
  <c r="R33" i="16"/>
  <c r="GD33" i="16" s="1"/>
  <c r="Z33" i="16" s="1"/>
  <c r="O33" i="16"/>
  <c r="AB33" i="16" s="1"/>
  <c r="AL34" i="16"/>
  <c r="AK34" i="16"/>
  <c r="AJ34" i="16"/>
  <c r="AI34" i="16"/>
  <c r="AH34" i="16"/>
  <c r="AG34" i="16"/>
  <c r="AF34" i="16"/>
  <c r="AE34" i="16"/>
  <c r="AD34" i="16"/>
  <c r="AC34" i="16"/>
  <c r="R34" i="16"/>
  <c r="GD34" i="16" s="1"/>
  <c r="Z34" i="16" s="1"/>
  <c r="O34" i="16"/>
  <c r="AB34" i="16" s="1"/>
  <c r="AL35" i="16"/>
  <c r="AK35" i="16"/>
  <c r="AJ35" i="16"/>
  <c r="AI35" i="16"/>
  <c r="AH35" i="16"/>
  <c r="AG35" i="16"/>
  <c r="AF35" i="16"/>
  <c r="AE35" i="16"/>
  <c r="AD35" i="16"/>
  <c r="AC35" i="16"/>
  <c r="R35" i="16"/>
  <c r="GD35" i="16" s="1"/>
  <c r="Z35" i="16" s="1"/>
  <c r="O35" i="16"/>
  <c r="AB35" i="16" s="1"/>
  <c r="AL36" i="16"/>
  <c r="AK36" i="16"/>
  <c r="AJ36" i="16"/>
  <c r="AI36" i="16"/>
  <c r="AH36" i="16"/>
  <c r="AG36" i="16"/>
  <c r="AF36" i="16"/>
  <c r="AE36" i="16"/>
  <c r="AD36" i="16"/>
  <c r="AC36" i="16"/>
  <c r="R36" i="16"/>
  <c r="GD36" i="16" s="1"/>
  <c r="Z36" i="16" s="1"/>
  <c r="O36" i="16"/>
  <c r="AB36" i="16" s="1"/>
  <c r="AL37" i="16"/>
  <c r="AK37" i="16"/>
  <c r="AJ37" i="16"/>
  <c r="AI37" i="16"/>
  <c r="AH37" i="16"/>
  <c r="AG37" i="16"/>
  <c r="AF37" i="16"/>
  <c r="AE37" i="16"/>
  <c r="AD37" i="16"/>
  <c r="AC37" i="16"/>
  <c r="R37" i="16"/>
  <c r="GD37" i="16" s="1"/>
  <c r="Z37" i="16" s="1"/>
  <c r="O37" i="16"/>
  <c r="AB37" i="16" s="1"/>
  <c r="AL38" i="16"/>
  <c r="AK38" i="16"/>
  <c r="AJ38" i="16"/>
  <c r="AI38" i="16"/>
  <c r="AH38" i="16"/>
  <c r="AG38" i="16"/>
  <c r="AF38" i="16"/>
  <c r="AE38" i="16"/>
  <c r="AD38" i="16"/>
  <c r="AC38" i="16"/>
  <c r="R38" i="16"/>
  <c r="GD38" i="16" s="1"/>
  <c r="Z38" i="16" s="1"/>
  <c r="O38" i="16"/>
  <c r="AB38" i="16" s="1"/>
  <c r="AL39" i="16"/>
  <c r="AK39" i="16"/>
  <c r="AJ39" i="16"/>
  <c r="AI39" i="16"/>
  <c r="AH39" i="16"/>
  <c r="AG39" i="16"/>
  <c r="AF39" i="16"/>
  <c r="AE39" i="16"/>
  <c r="AD39" i="16"/>
  <c r="AC39" i="16"/>
  <c r="R39" i="16"/>
  <c r="GD39" i="16" s="1"/>
  <c r="Z39" i="16" s="1"/>
  <c r="O39" i="16"/>
  <c r="AB39" i="16" s="1"/>
  <c r="AL40" i="16"/>
  <c r="AK40" i="16"/>
  <c r="AJ40" i="16"/>
  <c r="AI40" i="16"/>
  <c r="AH40" i="16"/>
  <c r="AG40" i="16"/>
  <c r="AF40" i="16"/>
  <c r="AE40" i="16"/>
  <c r="AD40" i="16"/>
  <c r="AC40" i="16"/>
  <c r="R40" i="16"/>
  <c r="GD40" i="16" s="1"/>
  <c r="Z40" i="16" s="1"/>
  <c r="O40" i="16"/>
  <c r="AB40" i="16" s="1"/>
  <c r="AL41" i="16"/>
  <c r="AK41" i="16"/>
  <c r="AJ41" i="16"/>
  <c r="AI41" i="16"/>
  <c r="AH41" i="16"/>
  <c r="AG41" i="16"/>
  <c r="AF41" i="16"/>
  <c r="AE41" i="16"/>
  <c r="AD41" i="16"/>
  <c r="AC41" i="16"/>
  <c r="R41" i="16"/>
  <c r="GD41" i="16" s="1"/>
  <c r="Z41" i="16" s="1"/>
  <c r="O41" i="16"/>
  <c r="AB41" i="16" s="1"/>
  <c r="AL42" i="16"/>
  <c r="AK42" i="16"/>
  <c r="AJ42" i="16"/>
  <c r="AI42" i="16"/>
  <c r="AH42" i="16"/>
  <c r="AG42" i="16"/>
  <c r="AF42" i="16"/>
  <c r="AE42" i="16"/>
  <c r="AD42" i="16"/>
  <c r="AC42" i="16"/>
  <c r="R42" i="16"/>
  <c r="GD42" i="16" s="1"/>
  <c r="Z42" i="16" s="1"/>
  <c r="O42" i="16"/>
  <c r="AB42" i="16" s="1"/>
  <c r="AL43" i="16"/>
  <c r="AK43" i="16"/>
  <c r="AJ43" i="16"/>
  <c r="AI43" i="16"/>
  <c r="AH43" i="16"/>
  <c r="AG43" i="16"/>
  <c r="AF43" i="16"/>
  <c r="AE43" i="16"/>
  <c r="AD43" i="16"/>
  <c r="AC43" i="16"/>
  <c r="R43" i="16"/>
  <c r="GD43" i="16" s="1"/>
  <c r="Z43" i="16" s="1"/>
  <c r="O43" i="16"/>
  <c r="AB43" i="16" s="1"/>
  <c r="AL44" i="16"/>
  <c r="AK44" i="16"/>
  <c r="AJ44" i="16"/>
  <c r="AI44" i="16"/>
  <c r="AH44" i="16"/>
  <c r="AG44" i="16"/>
  <c r="AF44" i="16"/>
  <c r="AE44" i="16"/>
  <c r="AD44" i="16"/>
  <c r="AC44" i="16"/>
  <c r="R44" i="16"/>
  <c r="GD44" i="16" s="1"/>
  <c r="Z44" i="16" s="1"/>
  <c r="O44" i="16"/>
  <c r="AB44" i="16" s="1"/>
  <c r="AL45" i="16"/>
  <c r="AK45" i="16"/>
  <c r="AJ45" i="16"/>
  <c r="AI45" i="16"/>
  <c r="AH45" i="16"/>
  <c r="AG45" i="16"/>
  <c r="AF45" i="16"/>
  <c r="AE45" i="16"/>
  <c r="AD45" i="16"/>
  <c r="AC45" i="16"/>
  <c r="R45" i="16"/>
  <c r="GD45" i="16" s="1"/>
  <c r="Z45" i="16" s="1"/>
  <c r="O45" i="16"/>
  <c r="AB45" i="16" s="1"/>
  <c r="AL46" i="16"/>
  <c r="AK46" i="16"/>
  <c r="AJ46" i="16"/>
  <c r="AI46" i="16"/>
  <c r="AH46" i="16"/>
  <c r="AG46" i="16"/>
  <c r="AF46" i="16"/>
  <c r="AE46" i="16"/>
  <c r="AD46" i="16"/>
  <c r="AC46" i="16"/>
  <c r="R46" i="16"/>
  <c r="GD46" i="16" s="1"/>
  <c r="Z46" i="16" s="1"/>
  <c r="O46" i="16"/>
  <c r="AB46" i="16" s="1"/>
  <c r="AL47" i="16"/>
  <c r="AK47" i="16"/>
  <c r="AJ47" i="16"/>
  <c r="AI47" i="16"/>
  <c r="AH47" i="16"/>
  <c r="AG47" i="16"/>
  <c r="AF47" i="16"/>
  <c r="AE47" i="16"/>
  <c r="AD47" i="16"/>
  <c r="AC47" i="16"/>
  <c r="R47" i="16"/>
  <c r="GD47" i="16" s="1"/>
  <c r="Z47" i="16" s="1"/>
  <c r="O47" i="16"/>
  <c r="AB47" i="16" s="1"/>
  <c r="AL48" i="16"/>
  <c r="AK48" i="16"/>
  <c r="AJ48" i="16"/>
  <c r="AI48" i="16"/>
  <c r="AH48" i="16"/>
  <c r="AG48" i="16"/>
  <c r="AF48" i="16"/>
  <c r="AE48" i="16"/>
  <c r="AD48" i="16"/>
  <c r="AC48" i="16"/>
  <c r="R48" i="16"/>
  <c r="GD48" i="16" s="1"/>
  <c r="Z48" i="16" s="1"/>
  <c r="O48" i="16"/>
  <c r="AB48" i="16" s="1"/>
  <c r="AL49" i="16"/>
  <c r="AK49" i="16"/>
  <c r="AJ49" i="16"/>
  <c r="AI49" i="16"/>
  <c r="AH49" i="16"/>
  <c r="AG49" i="16"/>
  <c r="AF49" i="16"/>
  <c r="AE49" i="16"/>
  <c r="AD49" i="16"/>
  <c r="AC49" i="16"/>
  <c r="R49" i="16"/>
  <c r="GD49" i="16" s="1"/>
  <c r="Z49" i="16" s="1"/>
  <c r="O49" i="16"/>
  <c r="AB49" i="16" s="1"/>
  <c r="AL50" i="16"/>
  <c r="AK50" i="16"/>
  <c r="AJ50" i="16"/>
  <c r="AI50" i="16"/>
  <c r="AH50" i="16"/>
  <c r="AG50" i="16"/>
  <c r="AF50" i="16"/>
  <c r="AE50" i="16"/>
  <c r="AD50" i="16"/>
  <c r="AC50" i="16"/>
  <c r="R50" i="16"/>
  <c r="GD50" i="16" s="1"/>
  <c r="Z50" i="16" s="1"/>
  <c r="O50" i="16"/>
  <c r="AB50" i="16" s="1"/>
  <c r="AL51" i="16"/>
  <c r="AK51" i="16"/>
  <c r="AJ51" i="16"/>
  <c r="AI51" i="16"/>
  <c r="AH51" i="16"/>
  <c r="AG51" i="16"/>
  <c r="AF51" i="16"/>
  <c r="AE51" i="16"/>
  <c r="AD51" i="16"/>
  <c r="AC51" i="16"/>
  <c r="R51" i="16"/>
  <c r="GD51" i="16" s="1"/>
  <c r="Z51" i="16" s="1"/>
  <c r="O51" i="16"/>
  <c r="AB51" i="16" s="1"/>
  <c r="AL52" i="16"/>
  <c r="AK52" i="16"/>
  <c r="AJ52" i="16"/>
  <c r="AI52" i="16"/>
  <c r="AH52" i="16"/>
  <c r="AG52" i="16"/>
  <c r="AF52" i="16"/>
  <c r="AE52" i="16"/>
  <c r="AD52" i="16"/>
  <c r="AC52" i="16"/>
  <c r="R52" i="16"/>
  <c r="GD52" i="16" s="1"/>
  <c r="Z52" i="16" s="1"/>
  <c r="O52" i="16"/>
  <c r="AB52" i="16" s="1"/>
  <c r="AL53" i="16"/>
  <c r="AK53" i="16"/>
  <c r="AJ53" i="16"/>
  <c r="AI53" i="16"/>
  <c r="AH53" i="16"/>
  <c r="AG53" i="16"/>
  <c r="AF53" i="16"/>
  <c r="AE53" i="16"/>
  <c r="AD53" i="16"/>
  <c r="AC53" i="16"/>
  <c r="R53" i="16"/>
  <c r="GD53" i="16" s="1"/>
  <c r="Z53" i="16" s="1"/>
  <c r="O53" i="16"/>
  <c r="AB53" i="16" s="1"/>
  <c r="AL54" i="16"/>
  <c r="AK54" i="16"/>
  <c r="AJ54" i="16"/>
  <c r="AI54" i="16"/>
  <c r="AH54" i="16"/>
  <c r="AG54" i="16"/>
  <c r="AF54" i="16"/>
  <c r="AE54" i="16"/>
  <c r="AD54" i="16"/>
  <c r="AC54" i="16"/>
  <c r="R54" i="16"/>
  <c r="GD54" i="16" s="1"/>
  <c r="Z54" i="16" s="1"/>
  <c r="O54" i="16"/>
  <c r="AB54" i="16" s="1"/>
  <c r="AL55" i="16"/>
  <c r="AK55" i="16"/>
  <c r="AJ55" i="16"/>
  <c r="AI55" i="16"/>
  <c r="AH55" i="16"/>
  <c r="AG55" i="16"/>
  <c r="AF55" i="16"/>
  <c r="AE55" i="16"/>
  <c r="AD55" i="16"/>
  <c r="AC55" i="16"/>
  <c r="R55" i="16"/>
  <c r="GD55" i="16" s="1"/>
  <c r="Z55" i="16" s="1"/>
  <c r="O55" i="16"/>
  <c r="AB55" i="16" s="1"/>
  <c r="AL56" i="16"/>
  <c r="AK56" i="16"/>
  <c r="AJ56" i="16"/>
  <c r="AI56" i="16"/>
  <c r="AH56" i="16"/>
  <c r="AG56" i="16"/>
  <c r="AF56" i="16"/>
  <c r="AE56" i="16"/>
  <c r="AD56" i="16"/>
  <c r="AC56" i="16"/>
  <c r="R56" i="16"/>
  <c r="GD56" i="16" s="1"/>
  <c r="Z56" i="16" s="1"/>
  <c r="O56" i="16"/>
  <c r="AB56" i="16" s="1"/>
  <c r="AL57" i="16"/>
  <c r="AK57" i="16"/>
  <c r="AJ57" i="16"/>
  <c r="AI57" i="16"/>
  <c r="AH57" i="16"/>
  <c r="AG57" i="16"/>
  <c r="AF57" i="16"/>
  <c r="AE57" i="16"/>
  <c r="AD57" i="16"/>
  <c r="AC57" i="16"/>
  <c r="R57" i="16"/>
  <c r="GD57" i="16" s="1"/>
  <c r="Z57" i="16" s="1"/>
  <c r="O57" i="16"/>
  <c r="AB57" i="16" s="1"/>
  <c r="AL58" i="16"/>
  <c r="AK58" i="16"/>
  <c r="AJ58" i="16"/>
  <c r="AI58" i="16"/>
  <c r="AH58" i="16"/>
  <c r="AG58" i="16"/>
  <c r="AF58" i="16"/>
  <c r="AE58" i="16"/>
  <c r="AD58" i="16"/>
  <c r="AC58" i="16"/>
  <c r="R58" i="16"/>
  <c r="GD58" i="16" s="1"/>
  <c r="Z58" i="16" s="1"/>
  <c r="O58" i="16"/>
  <c r="AB58" i="16" s="1"/>
  <c r="AL59" i="16"/>
  <c r="AK59" i="16"/>
  <c r="AJ59" i="16"/>
  <c r="AI59" i="16"/>
  <c r="AH59" i="16"/>
  <c r="AG59" i="16"/>
  <c r="AF59" i="16"/>
  <c r="AE59" i="16"/>
  <c r="AD59" i="16"/>
  <c r="AC59" i="16"/>
  <c r="R59" i="16"/>
  <c r="GD59" i="16" s="1"/>
  <c r="Z59" i="16" s="1"/>
  <c r="O59" i="16"/>
  <c r="AB59" i="16" s="1"/>
  <c r="AL60" i="16"/>
  <c r="AK60" i="16"/>
  <c r="AJ60" i="16"/>
  <c r="AI60" i="16"/>
  <c r="AH60" i="16"/>
  <c r="AG60" i="16"/>
  <c r="AF60" i="16"/>
  <c r="AE60" i="16"/>
  <c r="AD60" i="16"/>
  <c r="AC60" i="16"/>
  <c r="R60" i="16"/>
  <c r="GD60" i="16" s="1"/>
  <c r="Z60" i="16" s="1"/>
  <c r="O60" i="16"/>
  <c r="AB60" i="16" s="1"/>
  <c r="AL61" i="16"/>
  <c r="AK61" i="16"/>
  <c r="AJ61" i="16"/>
  <c r="AI61" i="16"/>
  <c r="AH61" i="16"/>
  <c r="AG61" i="16"/>
  <c r="AF61" i="16"/>
  <c r="AE61" i="16"/>
  <c r="AD61" i="16"/>
  <c r="AC61" i="16"/>
  <c r="R61" i="16"/>
  <c r="GD61" i="16" s="1"/>
  <c r="Z61" i="16" s="1"/>
  <c r="O61" i="16"/>
  <c r="AB61" i="16" s="1"/>
  <c r="AL62" i="16"/>
  <c r="AK62" i="16"/>
  <c r="AJ62" i="16"/>
  <c r="AI62" i="16"/>
  <c r="AH62" i="16"/>
  <c r="AG62" i="16"/>
  <c r="AF62" i="16"/>
  <c r="AE62" i="16"/>
  <c r="AD62" i="16"/>
  <c r="AC62" i="16"/>
  <c r="R62" i="16"/>
  <c r="GD62" i="16" s="1"/>
  <c r="Z62" i="16" s="1"/>
  <c r="O62" i="16"/>
  <c r="AB62" i="16" s="1"/>
  <c r="AL63" i="16"/>
  <c r="AK63" i="16"/>
  <c r="AJ63" i="16"/>
  <c r="AI63" i="16"/>
  <c r="AH63" i="16"/>
  <c r="AG63" i="16"/>
  <c r="AF63" i="16"/>
  <c r="AE63" i="16"/>
  <c r="AD63" i="16"/>
  <c r="AC63" i="16"/>
  <c r="R63" i="16"/>
  <c r="GD63" i="16" s="1"/>
  <c r="Z63" i="16" s="1"/>
  <c r="O63" i="16"/>
  <c r="AB63" i="16" s="1"/>
  <c r="AL64" i="16"/>
  <c r="AK64" i="16"/>
  <c r="AJ64" i="16"/>
  <c r="AI64" i="16"/>
  <c r="AH64" i="16"/>
  <c r="AG64" i="16"/>
  <c r="AF64" i="16"/>
  <c r="AE64" i="16"/>
  <c r="AD64" i="16"/>
  <c r="AC64" i="16"/>
  <c r="R64" i="16"/>
  <c r="GD64" i="16" s="1"/>
  <c r="Z64" i="16" s="1"/>
  <c r="O64" i="16"/>
  <c r="AB64" i="16" s="1"/>
  <c r="AL65" i="16"/>
  <c r="AK65" i="16"/>
  <c r="AJ65" i="16"/>
  <c r="AI65" i="16"/>
  <c r="AH65" i="16"/>
  <c r="AG65" i="16"/>
  <c r="AF65" i="16"/>
  <c r="AE65" i="16"/>
  <c r="AD65" i="16"/>
  <c r="AC65" i="16"/>
  <c r="R65" i="16"/>
  <c r="GD65" i="16" s="1"/>
  <c r="Z65" i="16" s="1"/>
  <c r="O65" i="16"/>
  <c r="AB65" i="16" s="1"/>
  <c r="AL66" i="16"/>
  <c r="AK66" i="16"/>
  <c r="AJ66" i="16"/>
  <c r="AI66" i="16"/>
  <c r="AH66" i="16"/>
  <c r="AG66" i="16"/>
  <c r="AF66" i="16"/>
  <c r="AE66" i="16"/>
  <c r="AD66" i="16"/>
  <c r="AC66" i="16"/>
  <c r="R66" i="16"/>
  <c r="GD66" i="16" s="1"/>
  <c r="Z66" i="16" s="1"/>
  <c r="O66" i="16"/>
  <c r="AB66" i="16" s="1"/>
  <c r="AL67" i="16"/>
  <c r="AK67" i="16"/>
  <c r="AJ67" i="16"/>
  <c r="AI67" i="16"/>
  <c r="AH67" i="16"/>
  <c r="AG67" i="16"/>
  <c r="AF67" i="16"/>
  <c r="AE67" i="16"/>
  <c r="AD67" i="16"/>
  <c r="AC67" i="16"/>
  <c r="R67" i="16"/>
  <c r="GD67" i="16" s="1"/>
  <c r="Z67" i="16" s="1"/>
  <c r="O67" i="16"/>
  <c r="AB67" i="16" s="1"/>
  <c r="AL68" i="16"/>
  <c r="AK68" i="16"/>
  <c r="AJ68" i="16"/>
  <c r="AI68" i="16"/>
  <c r="AH68" i="16"/>
  <c r="AG68" i="16"/>
  <c r="AF68" i="16"/>
  <c r="AE68" i="16"/>
  <c r="AD68" i="16"/>
  <c r="AC68" i="16"/>
  <c r="R68" i="16"/>
  <c r="GD68" i="16" s="1"/>
  <c r="Z68" i="16" s="1"/>
  <c r="O68" i="16"/>
  <c r="AB68" i="16" s="1"/>
  <c r="AL69" i="16"/>
  <c r="AK69" i="16"/>
  <c r="AJ69" i="16"/>
  <c r="AI69" i="16"/>
  <c r="AH69" i="16"/>
  <c r="AG69" i="16"/>
  <c r="AF69" i="16"/>
  <c r="AE69" i="16"/>
  <c r="AD69" i="16"/>
  <c r="AC69" i="16"/>
  <c r="R69" i="16"/>
  <c r="GD69" i="16" s="1"/>
  <c r="Z69" i="16" s="1"/>
  <c r="O69" i="16"/>
  <c r="AB69" i="16" s="1"/>
  <c r="AL70" i="16"/>
  <c r="AK70" i="16"/>
  <c r="AJ70" i="16"/>
  <c r="AI70" i="16"/>
  <c r="AH70" i="16"/>
  <c r="AG70" i="16"/>
  <c r="AF70" i="16"/>
  <c r="AE70" i="16"/>
  <c r="AD70" i="16"/>
  <c r="AC70" i="16"/>
  <c r="R70" i="16"/>
  <c r="GD70" i="16" s="1"/>
  <c r="Z70" i="16" s="1"/>
  <c r="O70" i="16"/>
  <c r="AB70" i="16" s="1"/>
  <c r="AL71" i="16"/>
  <c r="AK71" i="16"/>
  <c r="AJ71" i="16"/>
  <c r="AI71" i="16"/>
  <c r="AH71" i="16"/>
  <c r="AG71" i="16"/>
  <c r="AF71" i="16"/>
  <c r="AE71" i="16"/>
  <c r="AD71" i="16"/>
  <c r="AC71" i="16"/>
  <c r="R71" i="16"/>
  <c r="GD71" i="16" s="1"/>
  <c r="Z71" i="16" s="1"/>
  <c r="O71" i="16"/>
  <c r="AB71" i="16" s="1"/>
  <c r="AL72" i="16"/>
  <c r="AK72" i="16"/>
  <c r="AJ72" i="16"/>
  <c r="AI72" i="16"/>
  <c r="AH72" i="16"/>
  <c r="AG72" i="16"/>
  <c r="AF72" i="16"/>
  <c r="AE72" i="16"/>
  <c r="AD72" i="16"/>
  <c r="AC72" i="16"/>
  <c r="R72" i="16"/>
  <c r="GD72" i="16" s="1"/>
  <c r="Z72" i="16" s="1"/>
  <c r="O72" i="16"/>
  <c r="AB72" i="16" s="1"/>
  <c r="AL73" i="16"/>
  <c r="AK73" i="16"/>
  <c r="AJ73" i="16"/>
  <c r="AI73" i="16"/>
  <c r="AH73" i="16"/>
  <c r="AG73" i="16"/>
  <c r="AF73" i="16"/>
  <c r="AE73" i="16"/>
  <c r="AD73" i="16"/>
  <c r="AC73" i="16"/>
  <c r="R73" i="16"/>
  <c r="GD73" i="16" s="1"/>
  <c r="Z73" i="16" s="1"/>
  <c r="O73" i="16"/>
  <c r="AB73" i="16" s="1"/>
  <c r="AL74" i="16"/>
  <c r="AK74" i="16"/>
  <c r="AJ74" i="16"/>
  <c r="AI74" i="16"/>
  <c r="AH74" i="16"/>
  <c r="AG74" i="16"/>
  <c r="AF74" i="16"/>
  <c r="AE74" i="16"/>
  <c r="AD74" i="16"/>
  <c r="AC74" i="16"/>
  <c r="R74" i="16"/>
  <c r="GD74" i="16" s="1"/>
  <c r="Z74" i="16" s="1"/>
  <c r="O74" i="16"/>
  <c r="AB74" i="16" s="1"/>
  <c r="AL75" i="16"/>
  <c r="AK75" i="16"/>
  <c r="AJ75" i="16"/>
  <c r="AI75" i="16"/>
  <c r="AH75" i="16"/>
  <c r="AG75" i="16"/>
  <c r="AF75" i="16"/>
  <c r="AE75" i="16"/>
  <c r="AD75" i="16"/>
  <c r="AC75" i="16"/>
  <c r="R75" i="16"/>
  <c r="GD75" i="16" s="1"/>
  <c r="Z75" i="16" s="1"/>
  <c r="O75" i="16"/>
  <c r="AB75" i="16" s="1"/>
  <c r="AL76" i="16"/>
  <c r="AK76" i="16"/>
  <c r="AJ76" i="16"/>
  <c r="AI76" i="16"/>
  <c r="AH76" i="16"/>
  <c r="AG76" i="16"/>
  <c r="AF76" i="16"/>
  <c r="AE76" i="16"/>
  <c r="AD76" i="16"/>
  <c r="AC76" i="16"/>
  <c r="R76" i="16"/>
  <c r="GD76" i="16" s="1"/>
  <c r="Z76" i="16" s="1"/>
  <c r="O76" i="16"/>
  <c r="AB76" i="16" s="1"/>
  <c r="AL77" i="16"/>
  <c r="AK77" i="16"/>
  <c r="AJ77" i="16"/>
  <c r="AI77" i="16"/>
  <c r="AH77" i="16"/>
  <c r="AG77" i="16"/>
  <c r="AF77" i="16"/>
  <c r="AE77" i="16"/>
  <c r="AD77" i="16"/>
  <c r="AC77" i="16"/>
  <c r="R77" i="16"/>
  <c r="GD77" i="16" s="1"/>
  <c r="Z77" i="16" s="1"/>
  <c r="O77" i="16"/>
  <c r="AB77" i="16" s="1"/>
  <c r="AL78" i="16"/>
  <c r="AK78" i="16"/>
  <c r="AJ78" i="16"/>
  <c r="AI78" i="16"/>
  <c r="AH78" i="16"/>
  <c r="AG78" i="16"/>
  <c r="AF78" i="16"/>
  <c r="AE78" i="16"/>
  <c r="AD78" i="16"/>
  <c r="AC78" i="16"/>
  <c r="R78" i="16"/>
  <c r="GD78" i="16" s="1"/>
  <c r="Z78" i="16" s="1"/>
  <c r="O78" i="16"/>
  <c r="AB78" i="16" s="1"/>
  <c r="AL79" i="16"/>
  <c r="AK79" i="16"/>
  <c r="AJ79" i="16"/>
  <c r="AI79" i="16"/>
  <c r="AH79" i="16"/>
  <c r="AG79" i="16"/>
  <c r="AF79" i="16"/>
  <c r="AE79" i="16"/>
  <c r="AD79" i="16"/>
  <c r="AC79" i="16"/>
  <c r="R79" i="16"/>
  <c r="GD79" i="16" s="1"/>
  <c r="Z79" i="16" s="1"/>
  <c r="O79" i="16"/>
  <c r="AB79" i="16" s="1"/>
  <c r="AL80" i="16"/>
  <c r="AK80" i="16"/>
  <c r="AJ80" i="16"/>
  <c r="AI80" i="16"/>
  <c r="AH80" i="16"/>
  <c r="AG80" i="16"/>
  <c r="AF80" i="16"/>
  <c r="AE80" i="16"/>
  <c r="AD80" i="16"/>
  <c r="AC80" i="16"/>
  <c r="R80" i="16"/>
  <c r="GD80" i="16" s="1"/>
  <c r="Z80" i="16" s="1"/>
  <c r="O80" i="16"/>
  <c r="AB80" i="16" s="1"/>
  <c r="AL81" i="16"/>
  <c r="AK81" i="16"/>
  <c r="AJ81" i="16"/>
  <c r="AI81" i="16"/>
  <c r="AH81" i="16"/>
  <c r="AG81" i="16"/>
  <c r="AF81" i="16"/>
  <c r="AE81" i="16"/>
  <c r="AD81" i="16"/>
  <c r="AC81" i="16"/>
  <c r="R81" i="16"/>
  <c r="GD81" i="16" s="1"/>
  <c r="Z81" i="16" s="1"/>
  <c r="O81" i="16"/>
  <c r="AB81" i="16" s="1"/>
  <c r="AL82" i="16"/>
  <c r="AK82" i="16"/>
  <c r="AJ82" i="16"/>
  <c r="AI82" i="16"/>
  <c r="AH82" i="16"/>
  <c r="AG82" i="16"/>
  <c r="AF82" i="16"/>
  <c r="AE82" i="16"/>
  <c r="AD82" i="16"/>
  <c r="AC82" i="16"/>
  <c r="R82" i="16"/>
  <c r="GD82" i="16" s="1"/>
  <c r="Z82" i="16" s="1"/>
  <c r="O82" i="16"/>
  <c r="AB82" i="16" s="1"/>
  <c r="AL83" i="16"/>
  <c r="AK83" i="16"/>
  <c r="AJ83" i="16"/>
  <c r="AI83" i="16"/>
  <c r="AH83" i="16"/>
  <c r="AG83" i="16"/>
  <c r="AF83" i="16"/>
  <c r="AE83" i="16"/>
  <c r="AD83" i="16"/>
  <c r="AC83" i="16"/>
  <c r="R83" i="16"/>
  <c r="GD83" i="16" s="1"/>
  <c r="Z83" i="16" s="1"/>
  <c r="O83" i="16"/>
  <c r="AB83" i="16" s="1"/>
  <c r="AL84" i="16"/>
  <c r="AK84" i="16"/>
  <c r="AJ84" i="16"/>
  <c r="AI84" i="16"/>
  <c r="AH84" i="16"/>
  <c r="AG84" i="16"/>
  <c r="AF84" i="16"/>
  <c r="AE84" i="16"/>
  <c r="AD84" i="16"/>
  <c r="AC84" i="16"/>
  <c r="R84" i="16"/>
  <c r="GD84" i="16" s="1"/>
  <c r="Z84" i="16" s="1"/>
  <c r="O84" i="16"/>
  <c r="AB84" i="16" s="1"/>
  <c r="AL85" i="16"/>
  <c r="AK85" i="16"/>
  <c r="AJ85" i="16"/>
  <c r="AI85" i="16"/>
  <c r="AH85" i="16"/>
  <c r="AG85" i="16"/>
  <c r="AF85" i="16"/>
  <c r="AE85" i="16"/>
  <c r="AD85" i="16"/>
  <c r="AC85" i="16"/>
  <c r="R85" i="16"/>
  <c r="GD85" i="16" s="1"/>
  <c r="Z85" i="16" s="1"/>
  <c r="O85" i="16"/>
  <c r="AB85" i="16" s="1"/>
  <c r="AL86" i="16"/>
  <c r="AK86" i="16"/>
  <c r="AJ86" i="16"/>
  <c r="AI86" i="16"/>
  <c r="AH86" i="16"/>
  <c r="AG86" i="16"/>
  <c r="AF86" i="16"/>
  <c r="AE86" i="16"/>
  <c r="AD86" i="16"/>
  <c r="AC86" i="16"/>
  <c r="R86" i="16"/>
  <c r="GD86" i="16" s="1"/>
  <c r="Z86" i="16" s="1"/>
  <c r="O86" i="16"/>
  <c r="AB86" i="16" s="1"/>
  <c r="AL87" i="16"/>
  <c r="AK87" i="16"/>
  <c r="AJ87" i="16"/>
  <c r="AI87" i="16"/>
  <c r="AH87" i="16"/>
  <c r="AG87" i="16"/>
  <c r="AF87" i="16"/>
  <c r="AE87" i="16"/>
  <c r="AD87" i="16"/>
  <c r="AC87" i="16"/>
  <c r="R87" i="16"/>
  <c r="GD87" i="16" s="1"/>
  <c r="Z87" i="16" s="1"/>
  <c r="O87" i="16"/>
  <c r="AB87" i="16" s="1"/>
  <c r="AL88" i="16"/>
  <c r="AK88" i="16"/>
  <c r="AJ88" i="16"/>
  <c r="AI88" i="16"/>
  <c r="AH88" i="16"/>
  <c r="AG88" i="16"/>
  <c r="AF88" i="16"/>
  <c r="AE88" i="16"/>
  <c r="AD88" i="16"/>
  <c r="AC88" i="16"/>
  <c r="R88" i="16"/>
  <c r="GD88" i="16" s="1"/>
  <c r="Z88" i="16" s="1"/>
  <c r="O88" i="16"/>
  <c r="AB88" i="16" s="1"/>
  <c r="AL89" i="16"/>
  <c r="AK89" i="16"/>
  <c r="AJ89" i="16"/>
  <c r="AI89" i="16"/>
  <c r="AH89" i="16"/>
  <c r="AG89" i="16"/>
  <c r="AF89" i="16"/>
  <c r="AE89" i="16"/>
  <c r="AD89" i="16"/>
  <c r="AC89" i="16"/>
  <c r="R89" i="16"/>
  <c r="GD89" i="16" s="1"/>
  <c r="Z89" i="16" s="1"/>
  <c r="O89" i="16"/>
  <c r="AB89" i="16" s="1"/>
  <c r="AL90" i="16"/>
  <c r="AK90" i="16"/>
  <c r="AJ90" i="16"/>
  <c r="AI90" i="16"/>
  <c r="AH90" i="16"/>
  <c r="AG90" i="16"/>
  <c r="AF90" i="16"/>
  <c r="AE90" i="16"/>
  <c r="AD90" i="16"/>
  <c r="AC90" i="16"/>
  <c r="R90" i="16"/>
  <c r="GD90" i="16" s="1"/>
  <c r="Z90" i="16" s="1"/>
  <c r="O90" i="16"/>
  <c r="AB90" i="16" s="1"/>
  <c r="AL91" i="16"/>
  <c r="AK91" i="16"/>
  <c r="AJ91" i="16"/>
  <c r="AI91" i="16"/>
  <c r="AH91" i="16"/>
  <c r="AG91" i="16"/>
  <c r="AF91" i="16"/>
  <c r="AE91" i="16"/>
  <c r="AD91" i="16"/>
  <c r="AC91" i="16"/>
  <c r="R91" i="16"/>
  <c r="GD91" i="16" s="1"/>
  <c r="Z91" i="16" s="1"/>
  <c r="O91" i="16"/>
  <c r="AB91" i="16" s="1"/>
  <c r="AL92" i="16"/>
  <c r="AK92" i="16"/>
  <c r="AJ92" i="16"/>
  <c r="AI92" i="16"/>
  <c r="AH92" i="16"/>
  <c r="AG92" i="16"/>
  <c r="AF92" i="16"/>
  <c r="AE92" i="16"/>
  <c r="AD92" i="16"/>
  <c r="AC92" i="16"/>
  <c r="R92" i="16"/>
  <c r="GD92" i="16" s="1"/>
  <c r="Z92" i="16" s="1"/>
  <c r="O92" i="16"/>
  <c r="AB92" i="16" s="1"/>
  <c r="AL93" i="16"/>
  <c r="AK93" i="16"/>
  <c r="AJ93" i="16"/>
  <c r="AI93" i="16"/>
  <c r="AH93" i="16"/>
  <c r="AG93" i="16"/>
  <c r="AF93" i="16"/>
  <c r="AE93" i="16"/>
  <c r="AD93" i="16"/>
  <c r="AC93" i="16"/>
  <c r="R93" i="16"/>
  <c r="GD93" i="16" s="1"/>
  <c r="Z93" i="16" s="1"/>
  <c r="O93" i="16"/>
  <c r="AB93" i="16" s="1"/>
  <c r="AL94" i="16"/>
  <c r="AK94" i="16"/>
  <c r="AJ94" i="16"/>
  <c r="AI94" i="16"/>
  <c r="AH94" i="16"/>
  <c r="AG94" i="16"/>
  <c r="AF94" i="16"/>
  <c r="AE94" i="16"/>
  <c r="AD94" i="16"/>
  <c r="AC94" i="16"/>
  <c r="R94" i="16"/>
  <c r="GD94" i="16" s="1"/>
  <c r="Z94" i="16" s="1"/>
  <c r="O94" i="16"/>
  <c r="AB94" i="16" s="1"/>
  <c r="AL95" i="16"/>
  <c r="AK95" i="16"/>
  <c r="AJ95" i="16"/>
  <c r="AI95" i="16"/>
  <c r="AG95" i="16"/>
  <c r="AF95" i="16"/>
  <c r="AD95" i="16"/>
  <c r="R95" i="16"/>
  <c r="GD95" i="16" s="1"/>
  <c r="Z95" i="16" s="1"/>
  <c r="O95" i="16"/>
  <c r="AB95" i="16" s="1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30" i="19"/>
  <c r="E29" i="19"/>
  <c r="E28" i="19"/>
  <c r="E27" i="19"/>
  <c r="E26" i="19"/>
  <c r="E25" i="19"/>
  <c r="E24" i="19"/>
  <c r="E23" i="19"/>
  <c r="B31" i="19"/>
  <c r="B30" i="19"/>
  <c r="B29" i="19"/>
  <c r="B28" i="19"/>
  <c r="B27" i="19"/>
  <c r="B26" i="19"/>
  <c r="B25" i="19"/>
  <c r="B24" i="19"/>
  <c r="B23" i="19"/>
  <c r="AM8" i="16" l="1"/>
  <c r="S8" i="16" s="1"/>
  <c r="CC8" i="16"/>
  <c r="U8" i="16" s="1"/>
  <c r="DS8" i="16"/>
  <c r="W8" i="16" s="1"/>
  <c r="FI8" i="16"/>
  <c r="Y8" i="16" s="1"/>
  <c r="GY8" i="16"/>
  <c r="AA8" i="16" s="1"/>
  <c r="BH8" i="16"/>
  <c r="T8" i="16" s="1"/>
  <c r="CX8" i="16"/>
  <c r="V8" i="16" s="1"/>
  <c r="EN8" i="16"/>
  <c r="X8" i="16" s="1"/>
  <c r="AM9" i="16"/>
  <c r="S9" i="16" s="1"/>
  <c r="CC9" i="16"/>
  <c r="U9" i="16" s="1"/>
  <c r="DS9" i="16"/>
  <c r="W9" i="16" s="1"/>
  <c r="FI9" i="16"/>
  <c r="Y9" i="16" s="1"/>
  <c r="GY9" i="16"/>
  <c r="AA9" i="16" s="1"/>
  <c r="BH9" i="16"/>
  <c r="T9" i="16" s="1"/>
  <c r="CX9" i="16"/>
  <c r="V9" i="16" s="1"/>
  <c r="EN9" i="16"/>
  <c r="X9" i="16" s="1"/>
  <c r="AM10" i="16"/>
  <c r="S10" i="16" s="1"/>
  <c r="CC10" i="16"/>
  <c r="U10" i="16" s="1"/>
  <c r="DS10" i="16"/>
  <c r="W10" i="16" s="1"/>
  <c r="FI10" i="16"/>
  <c r="Y10" i="16" s="1"/>
  <c r="GY10" i="16"/>
  <c r="AA10" i="16" s="1"/>
  <c r="BH10" i="16"/>
  <c r="T10" i="16" s="1"/>
  <c r="CX10" i="16"/>
  <c r="V10" i="16" s="1"/>
  <c r="EN10" i="16"/>
  <c r="X10" i="16" s="1"/>
  <c r="AM11" i="16"/>
  <c r="S11" i="16" s="1"/>
  <c r="CC11" i="16"/>
  <c r="U11" i="16" s="1"/>
  <c r="DS11" i="16"/>
  <c r="W11" i="16" s="1"/>
  <c r="FI11" i="16"/>
  <c r="Y11" i="16" s="1"/>
  <c r="GY11" i="16"/>
  <c r="AA11" i="16" s="1"/>
  <c r="BH11" i="16"/>
  <c r="T11" i="16" s="1"/>
  <c r="CX11" i="16"/>
  <c r="V11" i="16" s="1"/>
  <c r="EN11" i="16"/>
  <c r="X11" i="16" s="1"/>
  <c r="AM12" i="16"/>
  <c r="S12" i="16" s="1"/>
  <c r="CC12" i="16"/>
  <c r="U12" i="16" s="1"/>
  <c r="DS12" i="16"/>
  <c r="W12" i="16" s="1"/>
  <c r="FI12" i="16"/>
  <c r="Y12" i="16" s="1"/>
  <c r="GY12" i="16"/>
  <c r="AA12" i="16" s="1"/>
  <c r="BH12" i="16"/>
  <c r="T12" i="16" s="1"/>
  <c r="CX12" i="16"/>
  <c r="V12" i="16" s="1"/>
  <c r="EN12" i="16"/>
  <c r="X12" i="16" s="1"/>
  <c r="AM13" i="16"/>
  <c r="S13" i="16" s="1"/>
  <c r="CC13" i="16"/>
  <c r="U13" i="16" s="1"/>
  <c r="DS13" i="16"/>
  <c r="W13" i="16" s="1"/>
  <c r="FI13" i="16"/>
  <c r="Y13" i="16" s="1"/>
  <c r="GY13" i="16"/>
  <c r="AA13" i="16" s="1"/>
  <c r="BH13" i="16"/>
  <c r="T13" i="16" s="1"/>
  <c r="CX13" i="16"/>
  <c r="V13" i="16" s="1"/>
  <c r="EN13" i="16"/>
  <c r="X13" i="16" s="1"/>
  <c r="AM15" i="16"/>
  <c r="S15" i="16" s="1"/>
  <c r="CC15" i="16"/>
  <c r="U15" i="16" s="1"/>
  <c r="DS15" i="16"/>
  <c r="W15" i="16" s="1"/>
  <c r="FI15" i="16"/>
  <c r="Y15" i="16" s="1"/>
  <c r="GY15" i="16"/>
  <c r="AA15" i="16" s="1"/>
  <c r="BH15" i="16"/>
  <c r="T15" i="16" s="1"/>
  <c r="CX15" i="16"/>
  <c r="V15" i="16" s="1"/>
  <c r="EN15" i="16"/>
  <c r="X15" i="16" s="1"/>
  <c r="AM16" i="16"/>
  <c r="S16" i="16" s="1"/>
  <c r="CC16" i="16"/>
  <c r="U16" i="16" s="1"/>
  <c r="DS16" i="16"/>
  <c r="W16" i="16" s="1"/>
  <c r="FI16" i="16"/>
  <c r="Y16" i="16" s="1"/>
  <c r="GY16" i="16"/>
  <c r="AA16" i="16" s="1"/>
  <c r="BH16" i="16"/>
  <c r="T16" i="16" s="1"/>
  <c r="CX16" i="16"/>
  <c r="V16" i="16" s="1"/>
  <c r="EN16" i="16"/>
  <c r="X16" i="16" s="1"/>
  <c r="AM17" i="16"/>
  <c r="S17" i="16" s="1"/>
  <c r="CC17" i="16"/>
  <c r="U17" i="16" s="1"/>
  <c r="DS17" i="16"/>
  <c r="W17" i="16" s="1"/>
  <c r="FI17" i="16"/>
  <c r="Y17" i="16" s="1"/>
  <c r="GY17" i="16"/>
  <c r="AA17" i="16" s="1"/>
  <c r="BH17" i="16"/>
  <c r="T17" i="16" s="1"/>
  <c r="CX17" i="16"/>
  <c r="V17" i="16" s="1"/>
  <c r="EN17" i="16"/>
  <c r="X17" i="16" s="1"/>
  <c r="AM18" i="16"/>
  <c r="S18" i="16" s="1"/>
  <c r="CC18" i="16"/>
  <c r="U18" i="16" s="1"/>
  <c r="DS18" i="16"/>
  <c r="W18" i="16" s="1"/>
  <c r="FI18" i="16"/>
  <c r="Y18" i="16" s="1"/>
  <c r="GY18" i="16"/>
  <c r="AA18" i="16" s="1"/>
  <c r="BH18" i="16"/>
  <c r="T18" i="16" s="1"/>
  <c r="CX18" i="16"/>
  <c r="V18" i="16" s="1"/>
  <c r="EN18" i="16"/>
  <c r="X18" i="16" s="1"/>
  <c r="AM19" i="16"/>
  <c r="S19" i="16" s="1"/>
  <c r="CC19" i="16"/>
  <c r="U19" i="16" s="1"/>
  <c r="DS19" i="16"/>
  <c r="W19" i="16" s="1"/>
  <c r="FI19" i="16"/>
  <c r="Y19" i="16" s="1"/>
  <c r="GY19" i="16"/>
  <c r="AA19" i="16" s="1"/>
  <c r="BH19" i="16"/>
  <c r="T19" i="16" s="1"/>
  <c r="CX19" i="16"/>
  <c r="V19" i="16" s="1"/>
  <c r="EN19" i="16"/>
  <c r="X19" i="16" s="1"/>
  <c r="AM20" i="16"/>
  <c r="S20" i="16" s="1"/>
  <c r="CC20" i="16"/>
  <c r="U20" i="16" s="1"/>
  <c r="DS20" i="16"/>
  <c r="W20" i="16" s="1"/>
  <c r="FI20" i="16"/>
  <c r="Y20" i="16" s="1"/>
  <c r="GY20" i="16"/>
  <c r="AA20" i="16" s="1"/>
  <c r="BH20" i="16"/>
  <c r="T20" i="16" s="1"/>
  <c r="CX20" i="16"/>
  <c r="V20" i="16" s="1"/>
  <c r="EN20" i="16"/>
  <c r="X20" i="16" s="1"/>
  <c r="AM21" i="16"/>
  <c r="S21" i="16" s="1"/>
  <c r="CC21" i="16"/>
  <c r="U21" i="16" s="1"/>
  <c r="DS21" i="16"/>
  <c r="W21" i="16" s="1"/>
  <c r="FI21" i="16"/>
  <c r="Y21" i="16" s="1"/>
  <c r="GY21" i="16"/>
  <c r="AA21" i="16" s="1"/>
  <c r="BH21" i="16"/>
  <c r="T21" i="16" s="1"/>
  <c r="CX21" i="16"/>
  <c r="V21" i="16" s="1"/>
  <c r="EN21" i="16"/>
  <c r="X21" i="16" s="1"/>
  <c r="AM22" i="16"/>
  <c r="S22" i="16" s="1"/>
  <c r="CC22" i="16"/>
  <c r="U22" i="16" s="1"/>
  <c r="DS22" i="16"/>
  <c r="W22" i="16" s="1"/>
  <c r="FI22" i="16"/>
  <c r="Y22" i="16" s="1"/>
  <c r="GY22" i="16"/>
  <c r="AA22" i="16" s="1"/>
  <c r="BH22" i="16"/>
  <c r="T22" i="16" s="1"/>
  <c r="CX22" i="16"/>
  <c r="V22" i="16" s="1"/>
  <c r="EN22" i="16"/>
  <c r="X22" i="16" s="1"/>
  <c r="AM23" i="16"/>
  <c r="S23" i="16" s="1"/>
  <c r="CC23" i="16"/>
  <c r="U23" i="16" s="1"/>
  <c r="DS23" i="16"/>
  <c r="W23" i="16" s="1"/>
  <c r="FI23" i="16"/>
  <c r="Y23" i="16" s="1"/>
  <c r="GY23" i="16"/>
  <c r="AA23" i="16" s="1"/>
  <c r="BH23" i="16"/>
  <c r="T23" i="16" s="1"/>
  <c r="CX23" i="16"/>
  <c r="V23" i="16" s="1"/>
  <c r="EN23" i="16"/>
  <c r="X23" i="16" s="1"/>
  <c r="AM24" i="16"/>
  <c r="S24" i="16" s="1"/>
  <c r="CC24" i="16"/>
  <c r="U24" i="16" s="1"/>
  <c r="DS24" i="16"/>
  <c r="W24" i="16" s="1"/>
  <c r="FI24" i="16"/>
  <c r="Y24" i="16" s="1"/>
  <c r="GY24" i="16"/>
  <c r="AA24" i="16" s="1"/>
  <c r="BH24" i="16"/>
  <c r="T24" i="16" s="1"/>
  <c r="CX24" i="16"/>
  <c r="V24" i="16" s="1"/>
  <c r="EN24" i="16"/>
  <c r="X24" i="16" s="1"/>
  <c r="AM25" i="16"/>
  <c r="S25" i="16" s="1"/>
  <c r="CC25" i="16"/>
  <c r="U25" i="16" s="1"/>
  <c r="DS25" i="16"/>
  <c r="W25" i="16" s="1"/>
  <c r="FI25" i="16"/>
  <c r="Y25" i="16" s="1"/>
  <c r="GY25" i="16"/>
  <c r="AA25" i="16" s="1"/>
  <c r="BH25" i="16"/>
  <c r="T25" i="16" s="1"/>
  <c r="CX25" i="16"/>
  <c r="V25" i="16" s="1"/>
  <c r="EN25" i="16"/>
  <c r="X25" i="16" s="1"/>
  <c r="AM26" i="16"/>
  <c r="S26" i="16" s="1"/>
  <c r="CC26" i="16"/>
  <c r="U26" i="16" s="1"/>
  <c r="DS26" i="16"/>
  <c r="W26" i="16" s="1"/>
  <c r="FI26" i="16"/>
  <c r="Y26" i="16" s="1"/>
  <c r="GY26" i="16"/>
  <c r="AA26" i="16" s="1"/>
  <c r="BH26" i="16"/>
  <c r="T26" i="16" s="1"/>
  <c r="CX26" i="16"/>
  <c r="V26" i="16" s="1"/>
  <c r="EN26" i="16"/>
  <c r="X26" i="16" s="1"/>
  <c r="AM27" i="16"/>
  <c r="S27" i="16" s="1"/>
  <c r="CC27" i="16"/>
  <c r="U27" i="16" s="1"/>
  <c r="DS27" i="16"/>
  <c r="W27" i="16" s="1"/>
  <c r="FI27" i="16"/>
  <c r="Y27" i="16" s="1"/>
  <c r="GY27" i="16"/>
  <c r="AA27" i="16" s="1"/>
  <c r="BH27" i="16"/>
  <c r="T27" i="16" s="1"/>
  <c r="CX27" i="16"/>
  <c r="V27" i="16" s="1"/>
  <c r="EN27" i="16"/>
  <c r="X27" i="16" s="1"/>
  <c r="AM28" i="16"/>
  <c r="S28" i="16" s="1"/>
  <c r="CC28" i="16"/>
  <c r="U28" i="16" s="1"/>
  <c r="DS28" i="16"/>
  <c r="W28" i="16" s="1"/>
  <c r="FI28" i="16"/>
  <c r="Y28" i="16" s="1"/>
  <c r="GY28" i="16"/>
  <c r="AA28" i="16" s="1"/>
  <c r="BH28" i="16"/>
  <c r="T28" i="16" s="1"/>
  <c r="CX28" i="16"/>
  <c r="V28" i="16" s="1"/>
  <c r="EN28" i="16"/>
  <c r="X28" i="16" s="1"/>
  <c r="AM29" i="16"/>
  <c r="S29" i="16" s="1"/>
  <c r="CC29" i="16"/>
  <c r="U29" i="16" s="1"/>
  <c r="DS29" i="16"/>
  <c r="W29" i="16" s="1"/>
  <c r="FI29" i="16"/>
  <c r="Y29" i="16" s="1"/>
  <c r="GY29" i="16"/>
  <c r="AA29" i="16" s="1"/>
  <c r="BH29" i="16"/>
  <c r="T29" i="16" s="1"/>
  <c r="CX29" i="16"/>
  <c r="V29" i="16" s="1"/>
  <c r="EN29" i="16"/>
  <c r="X29" i="16" s="1"/>
  <c r="AM30" i="16"/>
  <c r="S30" i="16" s="1"/>
  <c r="CC30" i="16"/>
  <c r="U30" i="16" s="1"/>
  <c r="DS30" i="16"/>
  <c r="W30" i="16" s="1"/>
  <c r="FI30" i="16"/>
  <c r="Y30" i="16" s="1"/>
  <c r="GY30" i="16"/>
  <c r="AA30" i="16" s="1"/>
  <c r="BH30" i="16"/>
  <c r="T30" i="16" s="1"/>
  <c r="CX30" i="16"/>
  <c r="V30" i="16" s="1"/>
  <c r="EN30" i="16"/>
  <c r="X30" i="16" s="1"/>
  <c r="AM31" i="16"/>
  <c r="S31" i="16" s="1"/>
  <c r="CC31" i="16"/>
  <c r="U31" i="16" s="1"/>
  <c r="DS31" i="16"/>
  <c r="W31" i="16" s="1"/>
  <c r="FI31" i="16"/>
  <c r="Y31" i="16" s="1"/>
  <c r="GY31" i="16"/>
  <c r="AA31" i="16" s="1"/>
  <c r="BH31" i="16"/>
  <c r="T31" i="16" s="1"/>
  <c r="CX31" i="16"/>
  <c r="V31" i="16" s="1"/>
  <c r="EN31" i="16"/>
  <c r="X31" i="16" s="1"/>
  <c r="AM32" i="16"/>
  <c r="S32" i="16" s="1"/>
  <c r="CC32" i="16"/>
  <c r="U32" i="16" s="1"/>
  <c r="DS32" i="16"/>
  <c r="W32" i="16" s="1"/>
  <c r="FI32" i="16"/>
  <c r="Y32" i="16" s="1"/>
  <c r="GY32" i="16"/>
  <c r="AA32" i="16" s="1"/>
  <c r="BH32" i="16"/>
  <c r="T32" i="16" s="1"/>
  <c r="CX32" i="16"/>
  <c r="V32" i="16" s="1"/>
  <c r="EN32" i="16"/>
  <c r="X32" i="16" s="1"/>
  <c r="AM33" i="16"/>
  <c r="S33" i="16" s="1"/>
  <c r="CC33" i="16"/>
  <c r="U33" i="16" s="1"/>
  <c r="DS33" i="16"/>
  <c r="W33" i="16" s="1"/>
  <c r="FI33" i="16"/>
  <c r="Y33" i="16" s="1"/>
  <c r="GY33" i="16"/>
  <c r="AA33" i="16" s="1"/>
  <c r="BH33" i="16"/>
  <c r="T33" i="16" s="1"/>
  <c r="CX33" i="16"/>
  <c r="V33" i="16" s="1"/>
  <c r="EN33" i="16"/>
  <c r="X33" i="16" s="1"/>
  <c r="AM34" i="16"/>
  <c r="S34" i="16" s="1"/>
  <c r="CC34" i="16"/>
  <c r="U34" i="16" s="1"/>
  <c r="DS34" i="16"/>
  <c r="W34" i="16" s="1"/>
  <c r="FI34" i="16"/>
  <c r="Y34" i="16" s="1"/>
  <c r="GY34" i="16"/>
  <c r="AA34" i="16" s="1"/>
  <c r="BH34" i="16"/>
  <c r="T34" i="16" s="1"/>
  <c r="CX34" i="16"/>
  <c r="V34" i="16" s="1"/>
  <c r="EN34" i="16"/>
  <c r="X34" i="16" s="1"/>
  <c r="AM35" i="16"/>
  <c r="S35" i="16" s="1"/>
  <c r="CC35" i="16"/>
  <c r="U35" i="16" s="1"/>
  <c r="DS35" i="16"/>
  <c r="W35" i="16" s="1"/>
  <c r="FI35" i="16"/>
  <c r="Y35" i="16" s="1"/>
  <c r="GY35" i="16"/>
  <c r="AA35" i="16" s="1"/>
  <c r="BH35" i="16"/>
  <c r="T35" i="16" s="1"/>
  <c r="CX35" i="16"/>
  <c r="V35" i="16" s="1"/>
  <c r="EN35" i="16"/>
  <c r="X35" i="16" s="1"/>
  <c r="AM36" i="16"/>
  <c r="S36" i="16" s="1"/>
  <c r="CC36" i="16"/>
  <c r="U36" i="16" s="1"/>
  <c r="DS36" i="16"/>
  <c r="W36" i="16" s="1"/>
  <c r="FI36" i="16"/>
  <c r="Y36" i="16" s="1"/>
  <c r="GY36" i="16"/>
  <c r="AA36" i="16" s="1"/>
  <c r="BH36" i="16"/>
  <c r="T36" i="16" s="1"/>
  <c r="CX36" i="16"/>
  <c r="V36" i="16" s="1"/>
  <c r="EN36" i="16"/>
  <c r="X36" i="16" s="1"/>
  <c r="AM37" i="16"/>
  <c r="S37" i="16" s="1"/>
  <c r="CC37" i="16"/>
  <c r="U37" i="16" s="1"/>
  <c r="DS37" i="16"/>
  <c r="W37" i="16" s="1"/>
  <c r="FI37" i="16"/>
  <c r="Y37" i="16" s="1"/>
  <c r="GY37" i="16"/>
  <c r="AA37" i="16" s="1"/>
  <c r="BH37" i="16"/>
  <c r="T37" i="16" s="1"/>
  <c r="CX37" i="16"/>
  <c r="V37" i="16" s="1"/>
  <c r="EN37" i="16"/>
  <c r="X37" i="16" s="1"/>
  <c r="AM38" i="16"/>
  <c r="S38" i="16" s="1"/>
  <c r="CC38" i="16"/>
  <c r="U38" i="16" s="1"/>
  <c r="DS38" i="16"/>
  <c r="W38" i="16" s="1"/>
  <c r="FI38" i="16"/>
  <c r="Y38" i="16" s="1"/>
  <c r="GY38" i="16"/>
  <c r="AA38" i="16" s="1"/>
  <c r="BH38" i="16"/>
  <c r="T38" i="16" s="1"/>
  <c r="CX38" i="16"/>
  <c r="V38" i="16" s="1"/>
  <c r="EN38" i="16"/>
  <c r="X38" i="16" s="1"/>
  <c r="AM39" i="16"/>
  <c r="S39" i="16" s="1"/>
  <c r="CC39" i="16"/>
  <c r="U39" i="16" s="1"/>
  <c r="DS39" i="16"/>
  <c r="W39" i="16" s="1"/>
  <c r="FI39" i="16"/>
  <c r="Y39" i="16" s="1"/>
  <c r="GY39" i="16"/>
  <c r="AA39" i="16" s="1"/>
  <c r="BH39" i="16"/>
  <c r="T39" i="16" s="1"/>
  <c r="CX39" i="16"/>
  <c r="V39" i="16" s="1"/>
  <c r="EN39" i="16"/>
  <c r="X39" i="16" s="1"/>
  <c r="AM40" i="16"/>
  <c r="S40" i="16" s="1"/>
  <c r="CC40" i="16"/>
  <c r="U40" i="16" s="1"/>
  <c r="DS40" i="16"/>
  <c r="W40" i="16" s="1"/>
  <c r="FI40" i="16"/>
  <c r="Y40" i="16" s="1"/>
  <c r="GY40" i="16"/>
  <c r="AA40" i="16" s="1"/>
  <c r="BH40" i="16"/>
  <c r="T40" i="16" s="1"/>
  <c r="CX40" i="16"/>
  <c r="V40" i="16" s="1"/>
  <c r="EN40" i="16"/>
  <c r="X40" i="16" s="1"/>
  <c r="AM41" i="16"/>
  <c r="S41" i="16" s="1"/>
  <c r="CC41" i="16"/>
  <c r="U41" i="16" s="1"/>
  <c r="DS41" i="16"/>
  <c r="W41" i="16" s="1"/>
  <c r="FI41" i="16"/>
  <c r="Y41" i="16" s="1"/>
  <c r="GY41" i="16"/>
  <c r="AA41" i="16" s="1"/>
  <c r="BH41" i="16"/>
  <c r="T41" i="16" s="1"/>
  <c r="CX41" i="16"/>
  <c r="V41" i="16" s="1"/>
  <c r="EN41" i="16"/>
  <c r="X41" i="16" s="1"/>
  <c r="AM42" i="16"/>
  <c r="S42" i="16" s="1"/>
  <c r="CC42" i="16"/>
  <c r="U42" i="16" s="1"/>
  <c r="DS42" i="16"/>
  <c r="W42" i="16" s="1"/>
  <c r="FI42" i="16"/>
  <c r="Y42" i="16" s="1"/>
  <c r="GY42" i="16"/>
  <c r="AA42" i="16" s="1"/>
  <c r="BH42" i="16"/>
  <c r="T42" i="16" s="1"/>
  <c r="CX42" i="16"/>
  <c r="V42" i="16" s="1"/>
  <c r="EN42" i="16"/>
  <c r="X42" i="16" s="1"/>
  <c r="AM43" i="16"/>
  <c r="S43" i="16" s="1"/>
  <c r="CC43" i="16"/>
  <c r="U43" i="16" s="1"/>
  <c r="DS43" i="16"/>
  <c r="W43" i="16" s="1"/>
  <c r="FI43" i="16"/>
  <c r="Y43" i="16" s="1"/>
  <c r="GY43" i="16"/>
  <c r="AA43" i="16" s="1"/>
  <c r="BH43" i="16"/>
  <c r="T43" i="16" s="1"/>
  <c r="CX43" i="16"/>
  <c r="V43" i="16" s="1"/>
  <c r="EN43" i="16"/>
  <c r="X43" i="16" s="1"/>
  <c r="AM44" i="16"/>
  <c r="S44" i="16" s="1"/>
  <c r="CC44" i="16"/>
  <c r="U44" i="16" s="1"/>
  <c r="DS44" i="16"/>
  <c r="W44" i="16" s="1"/>
  <c r="FI44" i="16"/>
  <c r="Y44" i="16" s="1"/>
  <c r="GY44" i="16"/>
  <c r="AA44" i="16" s="1"/>
  <c r="BH44" i="16"/>
  <c r="T44" i="16" s="1"/>
  <c r="CX44" i="16"/>
  <c r="V44" i="16" s="1"/>
  <c r="EN44" i="16"/>
  <c r="X44" i="16" s="1"/>
  <c r="AM45" i="16"/>
  <c r="S45" i="16" s="1"/>
  <c r="CC45" i="16"/>
  <c r="U45" i="16" s="1"/>
  <c r="DS45" i="16"/>
  <c r="W45" i="16" s="1"/>
  <c r="FI45" i="16"/>
  <c r="Y45" i="16" s="1"/>
  <c r="GY45" i="16"/>
  <c r="AA45" i="16" s="1"/>
  <c r="BH45" i="16"/>
  <c r="T45" i="16" s="1"/>
  <c r="CX45" i="16"/>
  <c r="V45" i="16" s="1"/>
  <c r="EN45" i="16"/>
  <c r="X45" i="16" s="1"/>
  <c r="AM46" i="16"/>
  <c r="S46" i="16" s="1"/>
  <c r="CC46" i="16"/>
  <c r="U46" i="16" s="1"/>
  <c r="DS46" i="16"/>
  <c r="W46" i="16" s="1"/>
  <c r="FI46" i="16"/>
  <c r="Y46" i="16" s="1"/>
  <c r="GY46" i="16"/>
  <c r="AA46" i="16" s="1"/>
  <c r="BH46" i="16"/>
  <c r="T46" i="16" s="1"/>
  <c r="CX46" i="16"/>
  <c r="V46" i="16" s="1"/>
  <c r="EN46" i="16"/>
  <c r="X46" i="16" s="1"/>
  <c r="AM47" i="16"/>
  <c r="S47" i="16" s="1"/>
  <c r="CC47" i="16"/>
  <c r="U47" i="16" s="1"/>
  <c r="DS47" i="16"/>
  <c r="W47" i="16" s="1"/>
  <c r="FI47" i="16"/>
  <c r="Y47" i="16" s="1"/>
  <c r="GY47" i="16"/>
  <c r="AA47" i="16" s="1"/>
  <c r="BH47" i="16"/>
  <c r="T47" i="16" s="1"/>
  <c r="CX47" i="16"/>
  <c r="V47" i="16" s="1"/>
  <c r="EN47" i="16"/>
  <c r="X47" i="16" s="1"/>
  <c r="AM48" i="16"/>
  <c r="S48" i="16" s="1"/>
  <c r="CC48" i="16"/>
  <c r="U48" i="16" s="1"/>
  <c r="DS48" i="16"/>
  <c r="W48" i="16" s="1"/>
  <c r="FI48" i="16"/>
  <c r="Y48" i="16" s="1"/>
  <c r="GY48" i="16"/>
  <c r="AA48" i="16" s="1"/>
  <c r="BH48" i="16"/>
  <c r="T48" i="16" s="1"/>
  <c r="CX48" i="16"/>
  <c r="V48" i="16" s="1"/>
  <c r="EN48" i="16"/>
  <c r="X48" i="16" s="1"/>
  <c r="AM49" i="16"/>
  <c r="S49" i="16" s="1"/>
  <c r="CC49" i="16"/>
  <c r="U49" i="16" s="1"/>
  <c r="DS49" i="16"/>
  <c r="W49" i="16" s="1"/>
  <c r="FI49" i="16"/>
  <c r="Y49" i="16" s="1"/>
  <c r="GY49" i="16"/>
  <c r="AA49" i="16" s="1"/>
  <c r="BH49" i="16"/>
  <c r="T49" i="16" s="1"/>
  <c r="CX49" i="16"/>
  <c r="V49" i="16" s="1"/>
  <c r="EN49" i="16"/>
  <c r="X49" i="16" s="1"/>
  <c r="AM50" i="16"/>
  <c r="S50" i="16" s="1"/>
  <c r="CC50" i="16"/>
  <c r="U50" i="16" s="1"/>
  <c r="DS50" i="16"/>
  <c r="W50" i="16" s="1"/>
  <c r="FI50" i="16"/>
  <c r="Y50" i="16" s="1"/>
  <c r="GY50" i="16"/>
  <c r="AA50" i="16" s="1"/>
  <c r="BH50" i="16"/>
  <c r="T50" i="16" s="1"/>
  <c r="CX50" i="16"/>
  <c r="V50" i="16" s="1"/>
  <c r="EN50" i="16"/>
  <c r="X50" i="16" s="1"/>
  <c r="AM51" i="16"/>
  <c r="S51" i="16" s="1"/>
  <c r="CC51" i="16"/>
  <c r="U51" i="16" s="1"/>
  <c r="DS51" i="16"/>
  <c r="W51" i="16" s="1"/>
  <c r="FI51" i="16"/>
  <c r="Y51" i="16" s="1"/>
  <c r="GY51" i="16"/>
  <c r="AA51" i="16" s="1"/>
  <c r="BH51" i="16"/>
  <c r="T51" i="16" s="1"/>
  <c r="CX51" i="16"/>
  <c r="V51" i="16" s="1"/>
  <c r="EN51" i="16"/>
  <c r="X51" i="16" s="1"/>
  <c r="AM52" i="16"/>
  <c r="S52" i="16" s="1"/>
  <c r="CC52" i="16"/>
  <c r="U52" i="16" s="1"/>
  <c r="DS52" i="16"/>
  <c r="W52" i="16" s="1"/>
  <c r="FI52" i="16"/>
  <c r="Y52" i="16" s="1"/>
  <c r="GY52" i="16"/>
  <c r="AA52" i="16" s="1"/>
  <c r="BH52" i="16"/>
  <c r="T52" i="16" s="1"/>
  <c r="CX52" i="16"/>
  <c r="V52" i="16" s="1"/>
  <c r="EN52" i="16"/>
  <c r="X52" i="16" s="1"/>
  <c r="AM53" i="16"/>
  <c r="S53" i="16" s="1"/>
  <c r="CC53" i="16"/>
  <c r="U53" i="16" s="1"/>
  <c r="DS53" i="16"/>
  <c r="W53" i="16" s="1"/>
  <c r="FI53" i="16"/>
  <c r="Y53" i="16" s="1"/>
  <c r="GY53" i="16"/>
  <c r="AA53" i="16" s="1"/>
  <c r="BH53" i="16"/>
  <c r="T53" i="16" s="1"/>
  <c r="CX53" i="16"/>
  <c r="V53" i="16" s="1"/>
  <c r="EN53" i="16"/>
  <c r="X53" i="16" s="1"/>
  <c r="AM54" i="16"/>
  <c r="S54" i="16" s="1"/>
  <c r="CC54" i="16"/>
  <c r="U54" i="16" s="1"/>
  <c r="DS54" i="16"/>
  <c r="W54" i="16" s="1"/>
  <c r="FI54" i="16"/>
  <c r="Y54" i="16" s="1"/>
  <c r="GY54" i="16"/>
  <c r="AA54" i="16" s="1"/>
  <c r="BH54" i="16"/>
  <c r="T54" i="16" s="1"/>
  <c r="CX54" i="16"/>
  <c r="V54" i="16" s="1"/>
  <c r="EN54" i="16"/>
  <c r="X54" i="16" s="1"/>
  <c r="AM55" i="16"/>
  <c r="S55" i="16" s="1"/>
  <c r="CC55" i="16"/>
  <c r="U55" i="16" s="1"/>
  <c r="DS55" i="16"/>
  <c r="W55" i="16" s="1"/>
  <c r="FI55" i="16"/>
  <c r="Y55" i="16" s="1"/>
  <c r="GY55" i="16"/>
  <c r="AA55" i="16" s="1"/>
  <c r="BH55" i="16"/>
  <c r="T55" i="16" s="1"/>
  <c r="CX55" i="16"/>
  <c r="V55" i="16" s="1"/>
  <c r="EN55" i="16"/>
  <c r="X55" i="16" s="1"/>
  <c r="AM56" i="16"/>
  <c r="S56" i="16" s="1"/>
  <c r="CC56" i="16"/>
  <c r="U56" i="16" s="1"/>
  <c r="DS56" i="16"/>
  <c r="W56" i="16" s="1"/>
  <c r="FI56" i="16"/>
  <c r="Y56" i="16" s="1"/>
  <c r="GY56" i="16"/>
  <c r="AA56" i="16" s="1"/>
  <c r="BH56" i="16"/>
  <c r="T56" i="16" s="1"/>
  <c r="CX56" i="16"/>
  <c r="V56" i="16" s="1"/>
  <c r="EN56" i="16"/>
  <c r="X56" i="16" s="1"/>
  <c r="AM57" i="16"/>
  <c r="S57" i="16" s="1"/>
  <c r="CC57" i="16"/>
  <c r="U57" i="16" s="1"/>
  <c r="DS57" i="16"/>
  <c r="W57" i="16" s="1"/>
  <c r="FI57" i="16"/>
  <c r="Y57" i="16" s="1"/>
  <c r="GY57" i="16"/>
  <c r="AA57" i="16" s="1"/>
  <c r="BH57" i="16"/>
  <c r="T57" i="16" s="1"/>
  <c r="CX57" i="16"/>
  <c r="V57" i="16" s="1"/>
  <c r="EN57" i="16"/>
  <c r="X57" i="16" s="1"/>
  <c r="AM58" i="16"/>
  <c r="S58" i="16" s="1"/>
  <c r="CC58" i="16"/>
  <c r="U58" i="16" s="1"/>
  <c r="DS58" i="16"/>
  <c r="W58" i="16" s="1"/>
  <c r="FI58" i="16"/>
  <c r="Y58" i="16" s="1"/>
  <c r="GY58" i="16"/>
  <c r="AA58" i="16" s="1"/>
  <c r="BH58" i="16"/>
  <c r="T58" i="16" s="1"/>
  <c r="CX58" i="16"/>
  <c r="V58" i="16" s="1"/>
  <c r="EN58" i="16"/>
  <c r="X58" i="16" s="1"/>
  <c r="AM59" i="16"/>
  <c r="S59" i="16" s="1"/>
  <c r="CC59" i="16"/>
  <c r="U59" i="16" s="1"/>
  <c r="DS59" i="16"/>
  <c r="W59" i="16" s="1"/>
  <c r="FI59" i="16"/>
  <c r="Y59" i="16" s="1"/>
  <c r="GY59" i="16"/>
  <c r="AA59" i="16" s="1"/>
  <c r="BH59" i="16"/>
  <c r="T59" i="16" s="1"/>
  <c r="CX59" i="16"/>
  <c r="V59" i="16" s="1"/>
  <c r="EN59" i="16"/>
  <c r="X59" i="16" s="1"/>
  <c r="AM60" i="16"/>
  <c r="S60" i="16" s="1"/>
  <c r="CC60" i="16"/>
  <c r="U60" i="16" s="1"/>
  <c r="DS60" i="16"/>
  <c r="W60" i="16" s="1"/>
  <c r="FI60" i="16"/>
  <c r="Y60" i="16" s="1"/>
  <c r="GY60" i="16"/>
  <c r="AA60" i="16" s="1"/>
  <c r="BH60" i="16"/>
  <c r="T60" i="16" s="1"/>
  <c r="CX60" i="16"/>
  <c r="V60" i="16" s="1"/>
  <c r="EN60" i="16"/>
  <c r="X60" i="16" s="1"/>
  <c r="AM61" i="16"/>
  <c r="S61" i="16" s="1"/>
  <c r="CC61" i="16"/>
  <c r="U61" i="16" s="1"/>
  <c r="DS61" i="16"/>
  <c r="W61" i="16" s="1"/>
  <c r="FI61" i="16"/>
  <c r="Y61" i="16" s="1"/>
  <c r="GY61" i="16"/>
  <c r="AA61" i="16" s="1"/>
  <c r="BH61" i="16"/>
  <c r="T61" i="16" s="1"/>
  <c r="CX61" i="16"/>
  <c r="V61" i="16" s="1"/>
  <c r="EN61" i="16"/>
  <c r="X61" i="16" s="1"/>
  <c r="AM62" i="16"/>
  <c r="S62" i="16" s="1"/>
  <c r="CC62" i="16"/>
  <c r="U62" i="16" s="1"/>
  <c r="DS62" i="16"/>
  <c r="W62" i="16" s="1"/>
  <c r="FI62" i="16"/>
  <c r="Y62" i="16" s="1"/>
  <c r="GY62" i="16"/>
  <c r="AA62" i="16" s="1"/>
  <c r="BH62" i="16"/>
  <c r="T62" i="16" s="1"/>
  <c r="CX62" i="16"/>
  <c r="V62" i="16" s="1"/>
  <c r="EN62" i="16"/>
  <c r="X62" i="16" s="1"/>
  <c r="AM63" i="16"/>
  <c r="S63" i="16" s="1"/>
  <c r="CC63" i="16"/>
  <c r="U63" i="16" s="1"/>
  <c r="DS63" i="16"/>
  <c r="W63" i="16" s="1"/>
  <c r="FI63" i="16"/>
  <c r="Y63" i="16" s="1"/>
  <c r="GY63" i="16"/>
  <c r="AA63" i="16" s="1"/>
  <c r="BH63" i="16"/>
  <c r="T63" i="16" s="1"/>
  <c r="CX63" i="16"/>
  <c r="V63" i="16" s="1"/>
  <c r="EN63" i="16"/>
  <c r="X63" i="16" s="1"/>
  <c r="AM64" i="16"/>
  <c r="S64" i="16" s="1"/>
  <c r="CC64" i="16"/>
  <c r="U64" i="16" s="1"/>
  <c r="DS64" i="16"/>
  <c r="W64" i="16" s="1"/>
  <c r="FI64" i="16"/>
  <c r="Y64" i="16" s="1"/>
  <c r="GY64" i="16"/>
  <c r="AA64" i="16" s="1"/>
  <c r="BH64" i="16"/>
  <c r="T64" i="16" s="1"/>
  <c r="CX64" i="16"/>
  <c r="V64" i="16" s="1"/>
  <c r="EN64" i="16"/>
  <c r="X64" i="16" s="1"/>
  <c r="AM65" i="16"/>
  <c r="S65" i="16" s="1"/>
  <c r="CC65" i="16"/>
  <c r="U65" i="16" s="1"/>
  <c r="DS65" i="16"/>
  <c r="W65" i="16" s="1"/>
  <c r="FI65" i="16"/>
  <c r="Y65" i="16" s="1"/>
  <c r="GY65" i="16"/>
  <c r="AA65" i="16" s="1"/>
  <c r="BH65" i="16"/>
  <c r="T65" i="16" s="1"/>
  <c r="CX65" i="16"/>
  <c r="V65" i="16" s="1"/>
  <c r="EN65" i="16"/>
  <c r="X65" i="16" s="1"/>
  <c r="AM66" i="16"/>
  <c r="S66" i="16" s="1"/>
  <c r="CC66" i="16"/>
  <c r="U66" i="16" s="1"/>
  <c r="DS66" i="16"/>
  <c r="W66" i="16" s="1"/>
  <c r="FI66" i="16"/>
  <c r="Y66" i="16" s="1"/>
  <c r="GY66" i="16"/>
  <c r="AA66" i="16" s="1"/>
  <c r="BH66" i="16"/>
  <c r="T66" i="16" s="1"/>
  <c r="CX66" i="16"/>
  <c r="V66" i="16" s="1"/>
  <c r="EN66" i="16"/>
  <c r="X66" i="16" s="1"/>
  <c r="AM67" i="16"/>
  <c r="S67" i="16" s="1"/>
  <c r="CC67" i="16"/>
  <c r="U67" i="16" s="1"/>
  <c r="DS67" i="16"/>
  <c r="W67" i="16" s="1"/>
  <c r="FI67" i="16"/>
  <c r="Y67" i="16" s="1"/>
  <c r="GY67" i="16"/>
  <c r="AA67" i="16" s="1"/>
  <c r="BH67" i="16"/>
  <c r="T67" i="16" s="1"/>
  <c r="CX67" i="16"/>
  <c r="V67" i="16" s="1"/>
  <c r="EN67" i="16"/>
  <c r="X67" i="16" s="1"/>
  <c r="AM68" i="16"/>
  <c r="S68" i="16" s="1"/>
  <c r="CC68" i="16"/>
  <c r="U68" i="16" s="1"/>
  <c r="DS68" i="16"/>
  <c r="W68" i="16" s="1"/>
  <c r="FI68" i="16"/>
  <c r="Y68" i="16" s="1"/>
  <c r="GY68" i="16"/>
  <c r="AA68" i="16" s="1"/>
  <c r="BH68" i="16"/>
  <c r="T68" i="16" s="1"/>
  <c r="CX68" i="16"/>
  <c r="V68" i="16" s="1"/>
  <c r="EN68" i="16"/>
  <c r="X68" i="16" s="1"/>
  <c r="AM69" i="16"/>
  <c r="S69" i="16" s="1"/>
  <c r="CC69" i="16"/>
  <c r="U69" i="16" s="1"/>
  <c r="DS69" i="16"/>
  <c r="W69" i="16" s="1"/>
  <c r="FI69" i="16"/>
  <c r="Y69" i="16" s="1"/>
  <c r="GY69" i="16"/>
  <c r="AA69" i="16" s="1"/>
  <c r="BH69" i="16"/>
  <c r="T69" i="16" s="1"/>
  <c r="CX69" i="16"/>
  <c r="V69" i="16" s="1"/>
  <c r="EN69" i="16"/>
  <c r="X69" i="16" s="1"/>
  <c r="AM70" i="16"/>
  <c r="S70" i="16" s="1"/>
  <c r="CC70" i="16"/>
  <c r="U70" i="16" s="1"/>
  <c r="DS70" i="16"/>
  <c r="W70" i="16" s="1"/>
  <c r="FI70" i="16"/>
  <c r="Y70" i="16" s="1"/>
  <c r="GY70" i="16"/>
  <c r="AA70" i="16" s="1"/>
  <c r="BH70" i="16"/>
  <c r="T70" i="16" s="1"/>
  <c r="CX70" i="16"/>
  <c r="V70" i="16" s="1"/>
  <c r="EN70" i="16"/>
  <c r="X70" i="16" s="1"/>
  <c r="AM71" i="16"/>
  <c r="S71" i="16" s="1"/>
  <c r="CC71" i="16"/>
  <c r="U71" i="16" s="1"/>
  <c r="DS71" i="16"/>
  <c r="W71" i="16" s="1"/>
  <c r="FI71" i="16"/>
  <c r="Y71" i="16" s="1"/>
  <c r="GY71" i="16"/>
  <c r="AA71" i="16" s="1"/>
  <c r="BH71" i="16"/>
  <c r="T71" i="16" s="1"/>
  <c r="CX71" i="16"/>
  <c r="V71" i="16" s="1"/>
  <c r="EN71" i="16"/>
  <c r="X71" i="16" s="1"/>
  <c r="AM72" i="16"/>
  <c r="S72" i="16" s="1"/>
  <c r="CC72" i="16"/>
  <c r="U72" i="16" s="1"/>
  <c r="DS72" i="16"/>
  <c r="W72" i="16" s="1"/>
  <c r="FI72" i="16"/>
  <c r="Y72" i="16" s="1"/>
  <c r="GY72" i="16"/>
  <c r="AA72" i="16" s="1"/>
  <c r="BH72" i="16"/>
  <c r="T72" i="16" s="1"/>
  <c r="CX72" i="16"/>
  <c r="V72" i="16" s="1"/>
  <c r="EN72" i="16"/>
  <c r="X72" i="16" s="1"/>
  <c r="AM73" i="16"/>
  <c r="S73" i="16" s="1"/>
  <c r="CC73" i="16"/>
  <c r="U73" i="16" s="1"/>
  <c r="DS73" i="16"/>
  <c r="W73" i="16" s="1"/>
  <c r="FI73" i="16"/>
  <c r="Y73" i="16" s="1"/>
  <c r="GY73" i="16"/>
  <c r="AA73" i="16" s="1"/>
  <c r="BH73" i="16"/>
  <c r="T73" i="16" s="1"/>
  <c r="CX73" i="16"/>
  <c r="V73" i="16" s="1"/>
  <c r="EN73" i="16"/>
  <c r="X73" i="16" s="1"/>
  <c r="AM74" i="16"/>
  <c r="S74" i="16" s="1"/>
  <c r="CC74" i="16"/>
  <c r="U74" i="16" s="1"/>
  <c r="DS74" i="16"/>
  <c r="W74" i="16" s="1"/>
  <c r="FI74" i="16"/>
  <c r="Y74" i="16" s="1"/>
  <c r="GY74" i="16"/>
  <c r="AA74" i="16" s="1"/>
  <c r="BH74" i="16"/>
  <c r="T74" i="16" s="1"/>
  <c r="CX74" i="16"/>
  <c r="V74" i="16" s="1"/>
  <c r="EN74" i="16"/>
  <c r="X74" i="16" s="1"/>
  <c r="AM75" i="16"/>
  <c r="S75" i="16" s="1"/>
  <c r="CC75" i="16"/>
  <c r="U75" i="16" s="1"/>
  <c r="DS75" i="16"/>
  <c r="W75" i="16" s="1"/>
  <c r="FI75" i="16"/>
  <c r="Y75" i="16" s="1"/>
  <c r="GY75" i="16"/>
  <c r="AA75" i="16" s="1"/>
  <c r="BH75" i="16"/>
  <c r="T75" i="16" s="1"/>
  <c r="CX75" i="16"/>
  <c r="V75" i="16" s="1"/>
  <c r="EN75" i="16"/>
  <c r="X75" i="16" s="1"/>
  <c r="AM76" i="16"/>
  <c r="S76" i="16" s="1"/>
  <c r="CC76" i="16"/>
  <c r="U76" i="16" s="1"/>
  <c r="DS76" i="16"/>
  <c r="W76" i="16" s="1"/>
  <c r="FI76" i="16"/>
  <c r="Y76" i="16" s="1"/>
  <c r="GY76" i="16"/>
  <c r="AA76" i="16" s="1"/>
  <c r="BH76" i="16"/>
  <c r="T76" i="16" s="1"/>
  <c r="CX76" i="16"/>
  <c r="V76" i="16" s="1"/>
  <c r="EN76" i="16"/>
  <c r="X76" i="16" s="1"/>
  <c r="AM77" i="16"/>
  <c r="S77" i="16" s="1"/>
  <c r="CC77" i="16"/>
  <c r="U77" i="16" s="1"/>
  <c r="DS77" i="16"/>
  <c r="W77" i="16" s="1"/>
  <c r="FI77" i="16"/>
  <c r="Y77" i="16" s="1"/>
  <c r="GY77" i="16"/>
  <c r="AA77" i="16" s="1"/>
  <c r="BH77" i="16"/>
  <c r="T77" i="16" s="1"/>
  <c r="CX77" i="16"/>
  <c r="V77" i="16" s="1"/>
  <c r="EN77" i="16"/>
  <c r="X77" i="16" s="1"/>
  <c r="AM78" i="16"/>
  <c r="S78" i="16" s="1"/>
  <c r="CC78" i="16"/>
  <c r="U78" i="16" s="1"/>
  <c r="DS78" i="16"/>
  <c r="W78" i="16" s="1"/>
  <c r="FI78" i="16"/>
  <c r="Y78" i="16" s="1"/>
  <c r="GY78" i="16"/>
  <c r="AA78" i="16" s="1"/>
  <c r="BH78" i="16"/>
  <c r="T78" i="16" s="1"/>
  <c r="CX78" i="16"/>
  <c r="V78" i="16" s="1"/>
  <c r="EN78" i="16"/>
  <c r="X78" i="16" s="1"/>
  <c r="AM79" i="16"/>
  <c r="S79" i="16" s="1"/>
  <c r="CC79" i="16"/>
  <c r="U79" i="16" s="1"/>
  <c r="DS79" i="16"/>
  <c r="W79" i="16" s="1"/>
  <c r="FI79" i="16"/>
  <c r="Y79" i="16" s="1"/>
  <c r="GY79" i="16"/>
  <c r="AA79" i="16" s="1"/>
  <c r="BH79" i="16"/>
  <c r="T79" i="16" s="1"/>
  <c r="CX79" i="16"/>
  <c r="V79" i="16" s="1"/>
  <c r="EN79" i="16"/>
  <c r="X79" i="16" s="1"/>
  <c r="AM80" i="16"/>
  <c r="S80" i="16" s="1"/>
  <c r="CC80" i="16"/>
  <c r="U80" i="16" s="1"/>
  <c r="DS80" i="16"/>
  <c r="W80" i="16" s="1"/>
  <c r="FI80" i="16"/>
  <c r="Y80" i="16" s="1"/>
  <c r="GY80" i="16"/>
  <c r="AA80" i="16" s="1"/>
  <c r="BH80" i="16"/>
  <c r="T80" i="16" s="1"/>
  <c r="CX80" i="16"/>
  <c r="V80" i="16" s="1"/>
  <c r="EN80" i="16"/>
  <c r="X80" i="16" s="1"/>
  <c r="AM81" i="16"/>
  <c r="S81" i="16" s="1"/>
  <c r="CC81" i="16"/>
  <c r="U81" i="16" s="1"/>
  <c r="DS81" i="16"/>
  <c r="W81" i="16" s="1"/>
  <c r="FI81" i="16"/>
  <c r="Y81" i="16" s="1"/>
  <c r="GY81" i="16"/>
  <c r="AA81" i="16" s="1"/>
  <c r="BH81" i="16"/>
  <c r="T81" i="16" s="1"/>
  <c r="CX81" i="16"/>
  <c r="V81" i="16" s="1"/>
  <c r="EN81" i="16"/>
  <c r="X81" i="16" s="1"/>
  <c r="AM82" i="16"/>
  <c r="S82" i="16" s="1"/>
  <c r="CC82" i="16"/>
  <c r="U82" i="16" s="1"/>
  <c r="DS82" i="16"/>
  <c r="W82" i="16" s="1"/>
  <c r="FI82" i="16"/>
  <c r="Y82" i="16" s="1"/>
  <c r="GY82" i="16"/>
  <c r="AA82" i="16" s="1"/>
  <c r="BH82" i="16"/>
  <c r="T82" i="16" s="1"/>
  <c r="CX82" i="16"/>
  <c r="V82" i="16" s="1"/>
  <c r="EN82" i="16"/>
  <c r="X82" i="16" s="1"/>
  <c r="AM83" i="16"/>
  <c r="S83" i="16" s="1"/>
  <c r="CC83" i="16"/>
  <c r="U83" i="16" s="1"/>
  <c r="DS83" i="16"/>
  <c r="W83" i="16" s="1"/>
  <c r="FI83" i="16"/>
  <c r="Y83" i="16" s="1"/>
  <c r="GY83" i="16"/>
  <c r="AA83" i="16" s="1"/>
  <c r="BH83" i="16"/>
  <c r="T83" i="16" s="1"/>
  <c r="CX83" i="16"/>
  <c r="V83" i="16" s="1"/>
  <c r="EN83" i="16"/>
  <c r="X83" i="16" s="1"/>
  <c r="AM84" i="16"/>
  <c r="S84" i="16" s="1"/>
  <c r="CC84" i="16"/>
  <c r="U84" i="16" s="1"/>
  <c r="DS84" i="16"/>
  <c r="W84" i="16" s="1"/>
  <c r="FI84" i="16"/>
  <c r="Y84" i="16" s="1"/>
  <c r="GY84" i="16"/>
  <c r="AA84" i="16" s="1"/>
  <c r="BH84" i="16"/>
  <c r="T84" i="16" s="1"/>
  <c r="CX84" i="16"/>
  <c r="V84" i="16" s="1"/>
  <c r="EN84" i="16"/>
  <c r="X84" i="16" s="1"/>
  <c r="AM85" i="16"/>
  <c r="S85" i="16" s="1"/>
  <c r="CC85" i="16"/>
  <c r="U85" i="16" s="1"/>
  <c r="DS85" i="16"/>
  <c r="W85" i="16" s="1"/>
  <c r="FI85" i="16"/>
  <c r="Y85" i="16" s="1"/>
  <c r="GY85" i="16"/>
  <c r="AA85" i="16" s="1"/>
  <c r="BH85" i="16"/>
  <c r="T85" i="16" s="1"/>
  <c r="CX85" i="16"/>
  <c r="V85" i="16" s="1"/>
  <c r="EN85" i="16"/>
  <c r="X85" i="16" s="1"/>
  <c r="AM86" i="16"/>
  <c r="S86" i="16" s="1"/>
  <c r="CC86" i="16"/>
  <c r="U86" i="16" s="1"/>
  <c r="DS86" i="16"/>
  <c r="W86" i="16" s="1"/>
  <c r="FI86" i="16"/>
  <c r="Y86" i="16" s="1"/>
  <c r="GY86" i="16"/>
  <c r="AA86" i="16" s="1"/>
  <c r="BH86" i="16"/>
  <c r="T86" i="16" s="1"/>
  <c r="CX86" i="16"/>
  <c r="V86" i="16" s="1"/>
  <c r="EN86" i="16"/>
  <c r="X86" i="16" s="1"/>
  <c r="AM87" i="16"/>
  <c r="S87" i="16" s="1"/>
  <c r="CC87" i="16"/>
  <c r="U87" i="16" s="1"/>
  <c r="DS87" i="16"/>
  <c r="W87" i="16" s="1"/>
  <c r="FI87" i="16"/>
  <c r="Y87" i="16" s="1"/>
  <c r="GY87" i="16"/>
  <c r="AA87" i="16" s="1"/>
  <c r="BH87" i="16"/>
  <c r="T87" i="16" s="1"/>
  <c r="CX87" i="16"/>
  <c r="V87" i="16" s="1"/>
  <c r="EN87" i="16"/>
  <c r="X87" i="16" s="1"/>
  <c r="AM88" i="16"/>
  <c r="S88" i="16" s="1"/>
  <c r="CC88" i="16"/>
  <c r="U88" i="16" s="1"/>
  <c r="DS88" i="16"/>
  <c r="W88" i="16" s="1"/>
  <c r="FI88" i="16"/>
  <c r="Y88" i="16" s="1"/>
  <c r="GY88" i="16"/>
  <c r="AA88" i="16" s="1"/>
  <c r="BH88" i="16"/>
  <c r="T88" i="16" s="1"/>
  <c r="CX88" i="16"/>
  <c r="V88" i="16" s="1"/>
  <c r="EN88" i="16"/>
  <c r="X88" i="16" s="1"/>
  <c r="AM89" i="16"/>
  <c r="S89" i="16" s="1"/>
  <c r="CC89" i="16"/>
  <c r="U89" i="16" s="1"/>
  <c r="DS89" i="16"/>
  <c r="W89" i="16" s="1"/>
  <c r="FI89" i="16"/>
  <c r="Y89" i="16" s="1"/>
  <c r="GY89" i="16"/>
  <c r="AA89" i="16" s="1"/>
  <c r="BH89" i="16"/>
  <c r="T89" i="16" s="1"/>
  <c r="CX89" i="16"/>
  <c r="V89" i="16" s="1"/>
  <c r="EN89" i="16"/>
  <c r="X89" i="16" s="1"/>
  <c r="AM90" i="16"/>
  <c r="S90" i="16" s="1"/>
  <c r="CC90" i="16"/>
  <c r="U90" i="16" s="1"/>
  <c r="DS90" i="16"/>
  <c r="W90" i="16" s="1"/>
  <c r="FI90" i="16"/>
  <c r="Y90" i="16" s="1"/>
  <c r="GY90" i="16"/>
  <c r="AA90" i="16" s="1"/>
  <c r="BH90" i="16"/>
  <c r="T90" i="16" s="1"/>
  <c r="CX90" i="16"/>
  <c r="V90" i="16" s="1"/>
  <c r="EN90" i="16"/>
  <c r="X90" i="16" s="1"/>
  <c r="AM91" i="16"/>
  <c r="S91" i="16" s="1"/>
  <c r="CC91" i="16"/>
  <c r="U91" i="16" s="1"/>
  <c r="DS91" i="16"/>
  <c r="W91" i="16" s="1"/>
  <c r="FI91" i="16"/>
  <c r="Y91" i="16" s="1"/>
  <c r="GY91" i="16"/>
  <c r="AA91" i="16" s="1"/>
  <c r="BH91" i="16"/>
  <c r="T91" i="16" s="1"/>
  <c r="CX91" i="16"/>
  <c r="V91" i="16" s="1"/>
  <c r="EN91" i="16"/>
  <c r="X91" i="16" s="1"/>
  <c r="AM92" i="16"/>
  <c r="S92" i="16" s="1"/>
  <c r="CC92" i="16"/>
  <c r="U92" i="16" s="1"/>
  <c r="DS92" i="16"/>
  <c r="W92" i="16" s="1"/>
  <c r="FI92" i="16"/>
  <c r="Y92" i="16" s="1"/>
  <c r="GY92" i="16"/>
  <c r="AA92" i="16" s="1"/>
  <c r="BH92" i="16"/>
  <c r="T92" i="16" s="1"/>
  <c r="CX92" i="16"/>
  <c r="V92" i="16" s="1"/>
  <c r="EN92" i="16"/>
  <c r="X92" i="16" s="1"/>
  <c r="AM93" i="16"/>
  <c r="S93" i="16" s="1"/>
  <c r="CC93" i="16"/>
  <c r="U93" i="16" s="1"/>
  <c r="DS93" i="16"/>
  <c r="W93" i="16" s="1"/>
  <c r="FI93" i="16"/>
  <c r="Y93" i="16" s="1"/>
  <c r="GY93" i="16"/>
  <c r="AA93" i="16" s="1"/>
  <c r="BH93" i="16"/>
  <c r="T93" i="16" s="1"/>
  <c r="CX93" i="16"/>
  <c r="V93" i="16" s="1"/>
  <c r="EN93" i="16"/>
  <c r="X93" i="16" s="1"/>
  <c r="AM94" i="16"/>
  <c r="S94" i="16" s="1"/>
  <c r="CC94" i="16"/>
  <c r="U94" i="16" s="1"/>
  <c r="DS94" i="16"/>
  <c r="W94" i="16" s="1"/>
  <c r="FI94" i="16"/>
  <c r="Y94" i="16" s="1"/>
  <c r="GY94" i="16"/>
  <c r="AA94" i="16" s="1"/>
  <c r="BH94" i="16"/>
  <c r="T94" i="16" s="1"/>
  <c r="CX94" i="16"/>
  <c r="V94" i="16" s="1"/>
  <c r="EN94" i="16"/>
  <c r="X94" i="16" s="1"/>
  <c r="AC95" i="16"/>
  <c r="AH95" i="16"/>
  <c r="AE95" i="16"/>
  <c r="AM95" i="16"/>
  <c r="S95" i="16" s="1"/>
  <c r="CC95" i="16"/>
  <c r="U95" i="16" s="1"/>
  <c r="DS95" i="16"/>
  <c r="W95" i="16" s="1"/>
  <c r="FI95" i="16"/>
  <c r="Y95" i="16" s="1"/>
  <c r="GY95" i="16"/>
  <c r="AA95" i="16" s="1"/>
  <c r="BH95" i="16"/>
  <c r="T95" i="16" s="1"/>
  <c r="CX95" i="16"/>
  <c r="V95" i="16" s="1"/>
  <c r="EN95" i="16"/>
  <c r="X95" i="16" s="1"/>
  <c r="D25" i="19"/>
  <c r="D29" i="19"/>
  <c r="D30" i="19"/>
  <c r="D27" i="19"/>
  <c r="D24" i="19"/>
  <c r="D26" i="19"/>
  <c r="D28" i="19"/>
  <c r="D23" i="19"/>
  <c r="H13" i="19"/>
  <c r="IX1" i="16"/>
  <c r="IU1" i="16"/>
  <c r="IR1" i="16"/>
  <c r="IO1" i="16"/>
  <c r="IL1" i="16"/>
  <c r="II1" i="16"/>
  <c r="IF1" i="16"/>
  <c r="IC1" i="16"/>
  <c r="HZ1" i="16"/>
  <c r="HW1" i="16"/>
  <c r="HT1" i="16"/>
  <c r="HQ1" i="16"/>
  <c r="HN1" i="16"/>
  <c r="HK1" i="16"/>
  <c r="HH1" i="16"/>
  <c r="HE1" i="16"/>
  <c r="HB1" i="16"/>
  <c r="GY1" i="16"/>
  <c r="GV1" i="16"/>
  <c r="GS1" i="16"/>
  <c r="GP1" i="16"/>
  <c r="GM1" i="16"/>
  <c r="GJ1" i="16"/>
  <c r="GG1" i="16"/>
  <c r="GD1" i="16"/>
  <c r="GA1" i="16"/>
  <c r="FX1" i="16"/>
  <c r="FU1" i="16"/>
  <c r="FR1" i="16"/>
  <c r="FO1" i="16"/>
  <c r="FL1" i="16"/>
  <c r="FI1" i="16"/>
  <c r="FF1" i="16"/>
  <c r="FC1" i="16"/>
  <c r="EZ1" i="16"/>
  <c r="EW1" i="16"/>
  <c r="ET1" i="16"/>
  <c r="EQ1" i="16"/>
  <c r="EN1" i="16"/>
  <c r="EK1" i="16"/>
  <c r="EH1" i="16"/>
  <c r="EE1" i="16"/>
  <c r="EB1" i="16"/>
  <c r="DY1" i="16"/>
  <c r="DV1" i="16"/>
  <c r="DS1" i="16"/>
  <c r="DP1" i="16"/>
  <c r="DM1" i="16"/>
  <c r="DJ1" i="16"/>
  <c r="DG1" i="16"/>
  <c r="DD1" i="16"/>
  <c r="DA1" i="16"/>
  <c r="CX1" i="16"/>
  <c r="CU1" i="16"/>
  <c r="CR1" i="16"/>
  <c r="CO1" i="16"/>
  <c r="CL1" i="16"/>
  <c r="CI1" i="16"/>
  <c r="CF1" i="16"/>
  <c r="CC1" i="16"/>
  <c r="BZ1" i="16"/>
  <c r="BW1" i="16"/>
  <c r="BT1" i="16"/>
  <c r="BQ1" i="16"/>
  <c r="BN1" i="16"/>
  <c r="BK1" i="16"/>
  <c r="BH1" i="16"/>
  <c r="BE1" i="16"/>
  <c r="BB1" i="16"/>
  <c r="AY1" i="16"/>
  <c r="AV1" i="16"/>
  <c r="AS1" i="16"/>
  <c r="AP1" i="16"/>
  <c r="AM1" i="16"/>
  <c r="AL7" i="19"/>
  <c r="AK7" i="19"/>
  <c r="AJ7" i="19"/>
  <c r="AI7" i="19"/>
  <c r="AH7" i="19"/>
  <c r="AG7" i="19"/>
  <c r="AF7" i="19"/>
  <c r="AE7" i="19"/>
  <c r="AD7" i="19"/>
  <c r="AC7" i="19"/>
  <c r="R7" i="19"/>
  <c r="GD7" i="19" s="1"/>
  <c r="Z7" i="19" s="1"/>
  <c r="O7" i="19"/>
  <c r="AB7" i="19" s="1"/>
  <c r="AA5" i="16"/>
  <c r="O7" i="16"/>
  <c r="O97" i="16" s="1"/>
  <c r="E1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F2" i="18"/>
  <c r="E2" i="18"/>
  <c r="C2" i="18"/>
  <c r="B2" i="18"/>
  <c r="F1" i="18"/>
  <c r="E1" i="18"/>
  <c r="C1" i="18"/>
  <c r="B1" i="18"/>
  <c r="AM7" i="19" l="1"/>
  <c r="S7" i="19" s="1"/>
  <c r="CC7" i="19"/>
  <c r="U7" i="19" s="1"/>
  <c r="DS7" i="19"/>
  <c r="W7" i="19" s="1"/>
  <c r="FI7" i="19"/>
  <c r="Y7" i="19" s="1"/>
  <c r="GY7" i="19"/>
  <c r="AA7" i="19" s="1"/>
  <c r="BH7" i="19"/>
  <c r="T7" i="19" s="1"/>
  <c r="CX7" i="19"/>
  <c r="V7" i="19" s="1"/>
  <c r="EN7" i="19"/>
  <c r="X7" i="19" s="1"/>
  <c r="AL7" i="16" l="1"/>
  <c r="AL97" i="16" s="1"/>
  <c r="AK7" i="16"/>
  <c r="AK97" i="16" s="1"/>
  <c r="AJ7" i="16"/>
  <c r="AJ97" i="16" s="1"/>
  <c r="AI7" i="16"/>
  <c r="AI97" i="16" s="1"/>
  <c r="AH7" i="16"/>
  <c r="AH97" i="16" s="1"/>
  <c r="AG7" i="16"/>
  <c r="AG97" i="16" s="1"/>
  <c r="AF7" i="16"/>
  <c r="AF97" i="16" s="1"/>
  <c r="AE7" i="16"/>
  <c r="AE97" i="16" s="1"/>
  <c r="AD7" i="16"/>
  <c r="AD97" i="16" s="1"/>
  <c r="AC7" i="16"/>
  <c r="AC97" i="16" s="1"/>
  <c r="R7" i="16"/>
  <c r="Z5" i="16"/>
  <c r="Y5" i="16"/>
  <c r="X5" i="16"/>
  <c r="W5" i="16"/>
  <c r="V5" i="16"/>
  <c r="U5" i="16"/>
  <c r="T5" i="16"/>
  <c r="S5" i="16"/>
  <c r="IY5" i="16" l="1"/>
  <c r="IW5" i="16"/>
  <c r="IU5" i="16"/>
  <c r="IS5" i="16"/>
  <c r="IQ5" i="16"/>
  <c r="IO5" i="16"/>
  <c r="IM5" i="16"/>
  <c r="IK5" i="16"/>
  <c r="II5" i="16"/>
  <c r="IG5" i="16"/>
  <c r="IE5" i="16"/>
  <c r="IC5" i="16"/>
  <c r="IA5" i="16"/>
  <c r="HY5" i="16"/>
  <c r="HW5" i="16"/>
  <c r="HU5" i="16"/>
  <c r="HS5" i="16"/>
  <c r="HQ5" i="16"/>
  <c r="HO5" i="16"/>
  <c r="HM5" i="16"/>
  <c r="HK5" i="16"/>
  <c r="HI5" i="16"/>
  <c r="HG5" i="16"/>
  <c r="HE5" i="16"/>
  <c r="HC5" i="16"/>
  <c r="HA5" i="16"/>
  <c r="GX5" i="16"/>
  <c r="GV5" i="16"/>
  <c r="GT5" i="16"/>
  <c r="GR5" i="16"/>
  <c r="GP5" i="16"/>
  <c r="GN5" i="16"/>
  <c r="GL5" i="16"/>
  <c r="GJ5" i="16"/>
  <c r="GH5" i="16"/>
  <c r="GF5" i="16"/>
  <c r="GC5" i="16"/>
  <c r="GA5" i="16"/>
  <c r="FY5" i="16"/>
  <c r="FW5" i="16"/>
  <c r="FU5" i="16"/>
  <c r="FS5" i="16"/>
  <c r="FQ5" i="16"/>
  <c r="FO5" i="16"/>
  <c r="FM5" i="16"/>
  <c r="FK5" i="16"/>
  <c r="FH5" i="16"/>
  <c r="FF5" i="16"/>
  <c r="FD5" i="16"/>
  <c r="FB5" i="16"/>
  <c r="EZ5" i="16"/>
  <c r="EX5" i="16"/>
  <c r="EV5" i="16"/>
  <c r="ET5" i="16"/>
  <c r="ER5" i="16"/>
  <c r="EP5" i="16"/>
  <c r="EM5" i="16"/>
  <c r="EK5" i="16"/>
  <c r="EI5" i="16"/>
  <c r="EG5" i="16"/>
  <c r="EE5" i="16"/>
  <c r="EC5" i="16"/>
  <c r="EA5" i="16"/>
  <c r="DY5" i="16"/>
  <c r="DW5" i="16"/>
  <c r="DU5" i="16"/>
  <c r="DR5" i="16"/>
  <c r="DP5" i="16"/>
  <c r="DN5" i="16"/>
  <c r="DL5" i="16"/>
  <c r="DJ5" i="16"/>
  <c r="DH5" i="16"/>
  <c r="DF5" i="16"/>
  <c r="DD5" i="16"/>
  <c r="DB5" i="16"/>
  <c r="CZ5" i="16"/>
  <c r="CW5" i="16"/>
  <c r="CU5" i="16"/>
  <c r="CS5" i="16"/>
  <c r="CQ5" i="16"/>
  <c r="CO5" i="16"/>
  <c r="CM5" i="16"/>
  <c r="CK5" i="16"/>
  <c r="CI5" i="16"/>
  <c r="CG5" i="16"/>
  <c r="CE5" i="16"/>
  <c r="CB5" i="16"/>
  <c r="BZ5" i="16"/>
  <c r="BX5" i="16"/>
  <c r="BV5" i="16"/>
  <c r="BT5" i="16"/>
  <c r="BR5" i="16"/>
  <c r="BP5" i="16"/>
  <c r="BN5" i="16"/>
  <c r="BL5" i="16"/>
  <c r="BJ5" i="16"/>
  <c r="BG5" i="16"/>
  <c r="BE5" i="16"/>
  <c r="BC5" i="16"/>
  <c r="BA5" i="16"/>
  <c r="AY5" i="16"/>
  <c r="AW5" i="16"/>
  <c r="AU5" i="16"/>
  <c r="AS5" i="16"/>
  <c r="AQ5" i="16"/>
  <c r="AO5" i="16"/>
  <c r="IZ5" i="16"/>
  <c r="IX5" i="16"/>
  <c r="IV5" i="16"/>
  <c r="IT5" i="16"/>
  <c r="IR5" i="16"/>
  <c r="IP5" i="16"/>
  <c r="IN5" i="16"/>
  <c r="IL5" i="16"/>
  <c r="IJ5" i="16"/>
  <c r="IH5" i="16"/>
  <c r="IF5" i="16"/>
  <c r="ID5" i="16"/>
  <c r="IB5" i="16"/>
  <c r="HZ5" i="16"/>
  <c r="HX5" i="16"/>
  <c r="HV5" i="16"/>
  <c r="HT5" i="16"/>
  <c r="HR5" i="16"/>
  <c r="HP5" i="16"/>
  <c r="HN5" i="16"/>
  <c r="HL5" i="16"/>
  <c r="HJ5" i="16"/>
  <c r="HH5" i="16"/>
  <c r="HF5" i="16"/>
  <c r="HD5" i="16"/>
  <c r="HB5" i="16"/>
  <c r="GZ5" i="16"/>
  <c r="GW5" i="16"/>
  <c r="GU5" i="16"/>
  <c r="GS5" i="16"/>
  <c r="GQ5" i="16"/>
  <c r="GO5" i="16"/>
  <c r="GM5" i="16"/>
  <c r="GK5" i="16"/>
  <c r="GI5" i="16"/>
  <c r="GG5" i="16"/>
  <c r="GE5" i="16"/>
  <c r="GB5" i="16"/>
  <c r="FZ5" i="16"/>
  <c r="FX5" i="16"/>
  <c r="FV5" i="16"/>
  <c r="FT5" i="16"/>
  <c r="FR5" i="16"/>
  <c r="FP5" i="16"/>
  <c r="FN5" i="16"/>
  <c r="FL5" i="16"/>
  <c r="FJ5" i="16"/>
  <c r="FG5" i="16"/>
  <c r="FE5" i="16"/>
  <c r="FC5" i="16"/>
  <c r="FA5" i="16"/>
  <c r="EY5" i="16"/>
  <c r="EW5" i="16"/>
  <c r="EU5" i="16"/>
  <c r="ES5" i="16"/>
  <c r="EQ5" i="16"/>
  <c r="EO5" i="16"/>
  <c r="EL5" i="16"/>
  <c r="EJ5" i="16"/>
  <c r="EH5" i="16"/>
  <c r="EF5" i="16"/>
  <c r="ED5" i="16"/>
  <c r="EB5" i="16"/>
  <c r="DZ5" i="16"/>
  <c r="DX5" i="16"/>
  <c r="DV5" i="16"/>
  <c r="DT5" i="16"/>
  <c r="DQ5" i="16"/>
  <c r="DO5" i="16"/>
  <c r="DM5" i="16"/>
  <c r="DK5" i="16"/>
  <c r="DI5" i="16"/>
  <c r="DG5" i="16"/>
  <c r="DE5" i="16"/>
  <c r="DC5" i="16"/>
  <c r="DA5" i="16"/>
  <c r="CY5" i="16"/>
  <c r="CV5" i="16"/>
  <c r="CT5" i="16"/>
  <c r="CR5" i="16"/>
  <c r="CP5" i="16"/>
  <c r="CN5" i="16"/>
  <c r="CL5" i="16"/>
  <c r="CJ5" i="16"/>
  <c r="CH5" i="16"/>
  <c r="CF5" i="16"/>
  <c r="CD5" i="16"/>
  <c r="CA5" i="16"/>
  <c r="BY5" i="16"/>
  <c r="BW5" i="16"/>
  <c r="BU5" i="16"/>
  <c r="BS5" i="16"/>
  <c r="BQ5" i="16"/>
  <c r="BO5" i="16"/>
  <c r="BM5" i="16"/>
  <c r="BK5" i="16"/>
  <c r="BI5" i="16"/>
  <c r="BF5" i="16"/>
  <c r="BD5" i="16"/>
  <c r="BB5" i="16"/>
  <c r="AZ5" i="16"/>
  <c r="AX5" i="16"/>
  <c r="AV5" i="16"/>
  <c r="AT5" i="16"/>
  <c r="AR5" i="16"/>
  <c r="AP5" i="16"/>
  <c r="AN5" i="16"/>
  <c r="FI7" i="16"/>
  <c r="FI97" i="16" s="1"/>
  <c r="GY7" i="16"/>
  <c r="GY97" i="16" s="1"/>
  <c r="AB2" i="16"/>
  <c r="EN7" i="16"/>
  <c r="EN97" i="16" s="1"/>
  <c r="AB7" i="16"/>
  <c r="AM7" i="16"/>
  <c r="AM97" i="16" s="1"/>
  <c r="CC7" i="16"/>
  <c r="CC97" i="16" s="1"/>
  <c r="DS7" i="16"/>
  <c r="DS97" i="16" s="1"/>
  <c r="GD7" i="16"/>
  <c r="GD97" i="16" s="1"/>
  <c r="BH7" i="16"/>
  <c r="BH97" i="16" s="1"/>
  <c r="CX7" i="16"/>
  <c r="CX97" i="16" s="1"/>
  <c r="AB97" i="16" l="1"/>
  <c r="Q2" i="16"/>
  <c r="AA7" i="16"/>
  <c r="Z7" i="16"/>
  <c r="Y7" i="16" s="1"/>
  <c r="X7" i="16" s="1"/>
  <c r="W7" i="16" s="1"/>
  <c r="V7" i="16" s="1"/>
  <c r="U7" i="16" s="1"/>
  <c r="T7" i="16" s="1"/>
  <c r="S7" i="16" s="1"/>
  <c r="V1" i="18"/>
</calcChain>
</file>

<file path=xl/sharedStrings.xml><?xml version="1.0" encoding="utf-8"?>
<sst xmlns="http://schemas.openxmlformats.org/spreadsheetml/2006/main" count="180" uniqueCount="90">
  <si>
    <t>Base</t>
  </si>
  <si>
    <t>Height</t>
  </si>
  <si>
    <t>Total Sq.m</t>
  </si>
  <si>
    <t>Storey</t>
  </si>
  <si>
    <t>Unit Sq. M</t>
  </si>
  <si>
    <t>sq. m</t>
  </si>
  <si>
    <t>corner</t>
  </si>
  <si>
    <t>coping</t>
  </si>
  <si>
    <t>gutter</t>
  </si>
  <si>
    <t>vertical cl.</t>
  </si>
  <si>
    <t>top cl.</t>
  </si>
  <si>
    <t>bottom cl.</t>
  </si>
  <si>
    <t>slab cl.</t>
  </si>
  <si>
    <t>tricky co.</t>
  </si>
  <si>
    <t>FINISHING</t>
  </si>
  <si>
    <t>Panel n.</t>
  </si>
  <si>
    <t>Horiz. finish</t>
  </si>
  <si>
    <t>ROOF</t>
  </si>
  <si>
    <t>Facade Type</t>
  </si>
  <si>
    <t>Panel Code</t>
  </si>
  <si>
    <t>Notes</t>
  </si>
  <si>
    <t>Total</t>
  </si>
  <si>
    <t>Vert. Finish</t>
  </si>
  <si>
    <t>LG</t>
  </si>
  <si>
    <t>G</t>
  </si>
  <si>
    <t>R</t>
  </si>
  <si>
    <t>vertical cl.*</t>
  </si>
  <si>
    <t>top cl.*</t>
  </si>
  <si>
    <t>bottom cl.*</t>
  </si>
  <si>
    <t>corner*</t>
  </si>
  <si>
    <t>coping*</t>
  </si>
  <si>
    <t>slab cl.*</t>
  </si>
  <si>
    <t>tricky co.*</t>
  </si>
  <si>
    <t>gutter*</t>
  </si>
  <si>
    <t>Horiz. Finish*</t>
  </si>
  <si>
    <t>Vert. Finish.*</t>
  </si>
  <si>
    <t>1 for single finishing or 2 for double</t>
  </si>
  <si>
    <t>NORTH</t>
  </si>
  <si>
    <t>EAST</t>
  </si>
  <si>
    <t>SOUTH</t>
  </si>
  <si>
    <t>WEST</t>
  </si>
  <si>
    <t>Item</t>
  </si>
  <si>
    <t>F1</t>
  </si>
  <si>
    <t>F2</t>
  </si>
  <si>
    <t>Job :</t>
  </si>
  <si>
    <t>Location :</t>
  </si>
  <si>
    <t>Client :</t>
  </si>
  <si>
    <t>n° panel</t>
  </si>
  <si>
    <t>total m2</t>
  </si>
  <si>
    <t>Rev :</t>
  </si>
  <si>
    <t>Rev  Date</t>
  </si>
  <si>
    <t>Rev Time</t>
  </si>
  <si>
    <t xml:space="preserve">                                                        PANELS TAKE OFF</t>
  </si>
  <si>
    <t>ATRIUM</t>
  </si>
  <si>
    <t>Areas</t>
  </si>
  <si>
    <t>FLOOR</t>
  </si>
  <si>
    <t>HEIGHT</t>
  </si>
  <si>
    <t>AUTOMATIC</t>
  </si>
  <si>
    <t>HEIGHT EACH FLOOR</t>
  </si>
  <si>
    <t>Floors - Height</t>
  </si>
  <si>
    <t>Pattern row 7</t>
  </si>
  <si>
    <t>N° Floors</t>
  </si>
  <si>
    <t>Lowest Floor</t>
  </si>
  <si>
    <t>Diff.Hight</t>
  </si>
  <si>
    <t>Sum</t>
  </si>
  <si>
    <t>V</t>
  </si>
  <si>
    <t>H</t>
  </si>
  <si>
    <t>Final row (first white )</t>
  </si>
  <si>
    <t>Combo</t>
  </si>
  <si>
    <t>se doppione</t>
  </si>
  <si>
    <t>Check</t>
  </si>
  <si>
    <t>Keep different hights</t>
  </si>
  <si>
    <t>no</t>
  </si>
  <si>
    <t xml:space="preserve"> -</t>
  </si>
  <si>
    <t/>
  </si>
  <si>
    <t>KeepTypeFacade</t>
  </si>
  <si>
    <t>Facade</t>
  </si>
  <si>
    <t>Panel</t>
  </si>
  <si>
    <t>Note</t>
  </si>
  <si>
    <t>Open Workbook</t>
  </si>
  <si>
    <t>Massimo Cicognani	21/11/2018 12:20:38</t>
  </si>
  <si>
    <t>Massimo Cicognani	21/11/2018 12:26:00</t>
  </si>
  <si>
    <t>Massimo Cicognani	21/11/2018 13:59:31</t>
  </si>
  <si>
    <t>Massimo Cicognani	22/11/2018 18:31:47</t>
  </si>
  <si>
    <t>Massimo Cicognani	23/11/2018 09:19:02</t>
  </si>
  <si>
    <t>Massimo Cicognani	23/11/2018 10:43:48</t>
  </si>
  <si>
    <t>Massimo Cicognani	23/11/2018 15:34:27</t>
  </si>
  <si>
    <t>Massimo Cicognani	23/11/2018 17:47:01</t>
  </si>
  <si>
    <t>(vuoto)</t>
  </si>
  <si>
    <t>Massimo Cicognani	23/11/2018 18:28:51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</si>
</sst>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6"/>
      <color indexed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4"/>
      <color indexed="10"/>
      <name val="Arial"/>
      <family val="2"/>
    </font>
    <font>
      <b/>
      <sz val="11"/>
      <color indexed="9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b/>
      <sz val="14"/>
      <color rgb="FFFF0000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sz val="11"/>
      <color theme="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89">
    <xf numFmtId="0" fontId="0" fillId="0" borderId="0" xfId="0"/>
    <xf numFmtId="1" fontId="5" fillId="0" borderId="2" xfId="0" applyNumberFormat="1" applyFont="1" applyBorder="1" applyProtection="1"/>
    <xf numFmtId="164" fontId="5" fillId="0" borderId="3" xfId="0" applyNumberFormat="1" applyFont="1" applyBorder="1" applyProtection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0" fontId="0" fillId="2" borderId="4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3" borderId="3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1" fontId="5" fillId="0" borderId="2" xfId="0" applyNumberFormat="1" applyFont="1" applyFill="1" applyBorder="1" applyProtection="1"/>
    <xf numFmtId="0" fontId="0" fillId="3" borderId="6" xfId="0" applyFill="1" applyBorder="1" applyProtection="1">
      <protection locked="0"/>
    </xf>
    <xf numFmtId="0" fontId="0" fillId="0" borderId="0" xfId="0" applyProtection="1"/>
    <xf numFmtId="0" fontId="0" fillId="0" borderId="7" xfId="0" applyBorder="1" applyProtection="1"/>
    <xf numFmtId="0" fontId="1" fillId="0" borderId="4" xfId="0" applyFont="1" applyBorder="1" applyAlignment="1" applyProtection="1">
      <alignment textRotation="90"/>
    </xf>
    <xf numFmtId="0" fontId="1" fillId="3" borderId="4" xfId="0" applyFont="1" applyFill="1" applyBorder="1" applyAlignment="1" applyProtection="1">
      <alignment textRotation="90"/>
    </xf>
    <xf numFmtId="0" fontId="1" fillId="2" borderId="8" xfId="0" applyFont="1" applyFill="1" applyBorder="1" applyAlignment="1" applyProtection="1">
      <alignment textRotation="90"/>
    </xf>
    <xf numFmtId="0" fontId="1" fillId="2" borderId="4" xfId="0" applyFont="1" applyFill="1" applyBorder="1" applyAlignment="1" applyProtection="1">
      <alignment textRotation="90"/>
    </xf>
    <xf numFmtId="0" fontId="1" fillId="0" borderId="8" xfId="0" applyFont="1" applyBorder="1" applyAlignment="1" applyProtection="1">
      <alignment textRotation="90"/>
    </xf>
    <xf numFmtId="0" fontId="1" fillId="0" borderId="4" xfId="0" applyFont="1" applyFill="1" applyBorder="1" applyAlignment="1" applyProtection="1">
      <alignment textRotation="90"/>
    </xf>
    <xf numFmtId="1" fontId="5" fillId="0" borderId="9" xfId="0" applyNumberFormat="1" applyFont="1" applyBorder="1" applyAlignment="1" applyProtection="1">
      <alignment horizontal="center" textRotation="90"/>
    </xf>
    <xf numFmtId="0" fontId="1" fillId="4" borderId="10" xfId="0" applyFont="1" applyFill="1" applyBorder="1" applyAlignment="1" applyProtection="1">
      <alignment horizontal="center"/>
    </xf>
    <xf numFmtId="0" fontId="0" fillId="0" borderId="0" xfId="0" applyFill="1" applyProtection="1"/>
    <xf numFmtId="1" fontId="5" fillId="0" borderId="12" xfId="0" applyNumberFormat="1" applyFont="1" applyBorder="1" applyProtection="1"/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164" fontId="5" fillId="0" borderId="4" xfId="0" applyNumberFormat="1" applyFont="1" applyBorder="1" applyProtection="1"/>
    <xf numFmtId="0" fontId="1" fillId="5" borderId="4" xfId="0" applyFont="1" applyFill="1" applyBorder="1" applyAlignment="1" applyProtection="1">
      <alignment textRotation="90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 vertical="center"/>
    </xf>
    <xf numFmtId="0" fontId="0" fillId="0" borderId="0" xfId="0" applyAlignment="1" applyProtection="1">
      <alignment vertical="center"/>
    </xf>
    <xf numFmtId="0" fontId="8" fillId="0" borderId="13" xfId="0" applyFont="1" applyBorder="1" applyAlignment="1" applyProtection="1">
      <alignment vertical="center"/>
    </xf>
    <xf numFmtId="0" fontId="8" fillId="0" borderId="14" xfId="0" applyFont="1" applyBorder="1" applyAlignment="1" applyProtection="1">
      <alignment vertical="center"/>
    </xf>
    <xf numFmtId="0" fontId="8" fillId="0" borderId="0" xfId="0" applyFont="1" applyAlignment="1" applyProtection="1">
      <alignment vertical="center"/>
    </xf>
    <xf numFmtId="1" fontId="7" fillId="0" borderId="0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18" xfId="0" applyFill="1" applyBorder="1" applyAlignment="1" applyProtection="1">
      <alignment vertical="center"/>
    </xf>
    <xf numFmtId="0" fontId="1" fillId="0" borderId="7" xfId="0" applyFont="1" applyBorder="1" applyAlignment="1" applyProtection="1">
      <alignment vertical="center"/>
    </xf>
    <xf numFmtId="0" fontId="1" fillId="0" borderId="1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1" fontId="9" fillId="0" borderId="7" xfId="0" applyNumberFormat="1" applyFont="1" applyBorder="1"/>
    <xf numFmtId="0" fontId="11" fillId="6" borderId="7" xfId="0" applyFont="1" applyFill="1" applyBorder="1" applyAlignment="1">
      <alignment horizontal="left"/>
    </xf>
    <xf numFmtId="0" fontId="9" fillId="0" borderId="7" xfId="0" applyFont="1" applyBorder="1" applyAlignment="1">
      <alignment horizontal="left"/>
    </xf>
    <xf numFmtId="49" fontId="12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1" fontId="9" fillId="0" borderId="7" xfId="0" applyNumberFormat="1" applyFont="1" applyBorder="1" applyAlignment="1"/>
    <xf numFmtId="0" fontId="8" fillId="0" borderId="13" xfId="0" applyFont="1" applyBorder="1" applyAlignment="1" applyProtection="1">
      <alignment horizontal="right" vertical="center"/>
    </xf>
    <xf numFmtId="0" fontId="2" fillId="0" borderId="0" xfId="0" applyFont="1" applyBorder="1" applyAlignment="1" applyProtection="1">
      <alignment horizontal="right" vertical="center"/>
    </xf>
    <xf numFmtId="0" fontId="8" fillId="0" borderId="20" xfId="0" applyFont="1" applyBorder="1" applyAlignment="1" applyProtection="1">
      <alignment horizontal="right" vertical="center"/>
    </xf>
    <xf numFmtId="0" fontId="3" fillId="0" borderId="7" xfId="0" applyFont="1" applyBorder="1" applyAlignment="1" applyProtection="1">
      <alignment horizontal="left" vertical="center"/>
    </xf>
    <xf numFmtId="0" fontId="3" fillId="0" borderId="17" xfId="0" applyFont="1" applyBorder="1" applyAlignment="1" applyProtection="1">
      <alignment horizontal="left" vertical="center"/>
    </xf>
    <xf numFmtId="0" fontId="12" fillId="7" borderId="20" xfId="0" applyFont="1" applyFill="1" applyBorder="1" applyAlignment="1" applyProtection="1">
      <alignment horizontal="left" vertical="center"/>
    </xf>
    <xf numFmtId="0" fontId="12" fillId="7" borderId="20" xfId="0" applyFont="1" applyFill="1" applyBorder="1" applyAlignment="1" applyProtection="1">
      <alignment vertical="center"/>
    </xf>
    <xf numFmtId="22" fontId="0" fillId="0" borderId="0" xfId="0" applyNumberFormat="1"/>
    <xf numFmtId="0" fontId="1" fillId="3" borderId="5" xfId="0" applyFont="1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13" fillId="8" borderId="29" xfId="0" applyFont="1" applyFill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2" fillId="11" borderId="10" xfId="0" applyFont="1" applyFill="1" applyBorder="1" applyAlignment="1" applyProtection="1">
      <alignment horizontal="center"/>
    </xf>
    <xf numFmtId="0" fontId="0" fillId="9" borderId="0" xfId="0" applyFill="1" applyProtection="1"/>
    <xf numFmtId="0" fontId="0" fillId="10" borderId="0" xfId="0" applyFill="1" applyProtection="1"/>
    <xf numFmtId="0" fontId="14" fillId="8" borderId="0" xfId="0" applyFont="1" applyFill="1" applyProtection="1"/>
    <xf numFmtId="0" fontId="0" fillId="0" borderId="0" xfId="0" applyProtection="1">
      <protection locked="0"/>
    </xf>
    <xf numFmtId="0" fontId="13" fillId="12" borderId="32" xfId="0" applyFont="1" applyFill="1" applyBorder="1" applyProtection="1"/>
    <xf numFmtId="0" fontId="13" fillId="13" borderId="32" xfId="0" applyFont="1" applyFill="1" applyBorder="1" applyProtection="1"/>
    <xf numFmtId="0" fontId="0" fillId="13" borderId="0" xfId="0" applyFill="1" applyProtection="1">
      <protection locked="0"/>
    </xf>
    <xf numFmtId="0" fontId="2" fillId="0" borderId="0" xfId="0" applyFont="1"/>
    <xf numFmtId="0" fontId="0" fillId="0" borderId="0" xfId="0" applyAlignment="1"/>
    <xf numFmtId="0" fontId="8" fillId="0" borderId="37" xfId="0" applyFont="1" applyBorder="1" applyAlignment="1" applyProtection="1">
      <alignment vertical="center"/>
    </xf>
    <xf numFmtId="0" fontId="1" fillId="22" borderId="10" xfId="0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0" fontId="1" fillId="0" borderId="2" xfId="0" applyFont="1" applyBorder="1" applyProtection="1"/>
    <xf numFmtId="0" fontId="0" fillId="0" borderId="2" xfId="0" applyBorder="1" applyAlignment="1" applyProtection="1">
      <alignment horizontal="center"/>
    </xf>
    <xf numFmtId="1" fontId="5" fillId="0" borderId="2" xfId="0" applyNumberFormat="1" applyFont="1" applyFill="1" applyBorder="1" applyAlignment="1" applyProtection="1"/>
    <xf numFmtId="0" fontId="0" fillId="0" borderId="2" xfId="0" applyBorder="1" applyProtection="1"/>
    <xf numFmtId="164" fontId="5" fillId="0" borderId="2" xfId="0" applyNumberFormat="1" applyFont="1" applyBorder="1" applyProtection="1"/>
    <xf numFmtId="0" fontId="1" fillId="0" borderId="2" xfId="0" applyFont="1" applyFill="1" applyBorder="1" applyAlignment="1" applyProtection="1">
      <alignment horizontal="center"/>
    </xf>
    <xf numFmtId="0" fontId="0" fillId="0" borderId="2" xfId="0" applyFill="1" applyBorder="1" applyProtection="1"/>
    <xf numFmtId="0" fontId="0" fillId="0" borderId="38" xfId="0" applyBorder="1"/>
    <xf numFmtId="0" fontId="0" fillId="23" borderId="33" xfId="0" applyFill="1" applyBorder="1" applyProtection="1"/>
    <xf numFmtId="0" fontId="0" fillId="23" borderId="34" xfId="0" applyFill="1" applyBorder="1" applyProtection="1"/>
    <xf numFmtId="0" fontId="0" fillId="23" borderId="35" xfId="0" applyFill="1" applyBorder="1" applyProtection="1"/>
    <xf numFmtId="0" fontId="0" fillId="23" borderId="36" xfId="0" applyFill="1" applyBorder="1" applyProtection="1"/>
    <xf numFmtId="0" fontId="13" fillId="8" borderId="29" xfId="0" applyFont="1" applyFill="1" applyBorder="1" applyAlignment="1">
      <alignment horizontal="left"/>
    </xf>
    <xf numFmtId="0" fontId="18" fillId="8" borderId="0" xfId="0" applyFont="1" applyFill="1" applyProtection="1">
      <protection hidden="1"/>
    </xf>
    <xf numFmtId="0" fontId="0" fillId="0" borderId="0" xfId="0" applyProtection="1">
      <protection hidden="1"/>
    </xf>
    <xf numFmtId="49" fontId="12" fillId="7" borderId="13" xfId="0" applyNumberFormat="1" applyFont="1" applyFill="1" applyBorder="1" applyAlignment="1" applyProtection="1">
      <alignment vertical="center"/>
    </xf>
    <xf numFmtId="0" fontId="20" fillId="6" borderId="0" xfId="0" applyFont="1" applyFill="1" applyBorder="1" applyAlignment="1">
      <alignment horizontal="right" textRotation="90"/>
    </xf>
    <xf numFmtId="1" fontId="20" fillId="6" borderId="0" xfId="0" applyNumberFormat="1" applyFont="1" applyFill="1" applyBorder="1" applyAlignment="1">
      <alignment horizontal="right" textRotation="90"/>
    </xf>
    <xf numFmtId="0" fontId="20" fillId="6" borderId="0" xfId="0" applyFont="1" applyFill="1" applyBorder="1" applyAlignment="1">
      <alignment vertical="center"/>
    </xf>
    <xf numFmtId="0" fontId="2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Alignment="1"/>
    <xf numFmtId="0" fontId="8" fillId="0" borderId="0" xfId="0" applyFont="1" applyFill="1" applyAlignment="1">
      <alignment horizontal="left"/>
    </xf>
    <xf numFmtId="1" fontId="8" fillId="0" borderId="0" xfId="0" applyNumberFormat="1" applyFont="1" applyFill="1"/>
    <xf numFmtId="1" fontId="8" fillId="0" borderId="0" xfId="0" applyNumberFormat="1" applyFont="1" applyFill="1" applyAlignment="1"/>
    <xf numFmtId="1" fontId="1" fillId="0" borderId="0" xfId="0" applyNumberFormat="1" applyFont="1" applyFill="1"/>
    <xf numFmtId="1" fontId="1" fillId="0" borderId="0" xfId="0" applyNumberFormat="1" applyFont="1" applyFill="1" applyAlignment="1"/>
    <xf numFmtId="0" fontId="21" fillId="0" borderId="0" xfId="0" applyFont="1" applyFill="1" applyAlignment="1">
      <alignment horizontal="left"/>
    </xf>
    <xf numFmtId="0" fontId="21" fillId="24" borderId="0" xfId="0" applyFont="1" applyFill="1" applyAlignment="1">
      <alignment horizontal="left"/>
    </xf>
    <xf numFmtId="1" fontId="1" fillId="24" borderId="0" xfId="0" applyNumberFormat="1" applyFont="1" applyFill="1"/>
    <xf numFmtId="1" fontId="1" fillId="24" borderId="0" xfId="0" applyNumberFormat="1" applyFont="1" applyFill="1" applyAlignment="1"/>
    <xf numFmtId="0" fontId="22" fillId="8" borderId="0" xfId="0" applyFont="1" applyFill="1" applyBorder="1" applyAlignment="1">
      <alignment horizontal="left"/>
    </xf>
    <xf numFmtId="1" fontId="22" fillId="8" borderId="0" xfId="0" applyNumberFormat="1" applyFont="1" applyFill="1"/>
    <xf numFmtId="1" fontId="22" fillId="8" borderId="0" xfId="0" applyNumberFormat="1" applyFont="1" applyFill="1" applyAlignment="1"/>
    <xf numFmtId="0" fontId="9" fillId="4" borderId="26" xfId="0" applyFont="1" applyFill="1" applyBorder="1" applyAlignment="1" applyProtection="1">
      <alignment horizontal="center" vertical="center"/>
    </xf>
    <xf numFmtId="0" fontId="8" fillId="4" borderId="16" xfId="0" applyFont="1" applyFill="1" applyBorder="1" applyAlignment="1" applyProtection="1">
      <alignment horizontal="center" vertical="center"/>
    </xf>
    <xf numFmtId="0" fontId="3" fillId="0" borderId="18" xfId="0" applyFont="1" applyBorder="1" applyAlignment="1" applyProtection="1">
      <alignment horizontal="left" vertical="center"/>
    </xf>
    <xf numFmtId="0" fontId="3" fillId="0" borderId="7" xfId="0" applyFont="1" applyBorder="1" applyAlignment="1" applyProtection="1">
      <alignment horizontal="left" vertical="center"/>
    </xf>
    <xf numFmtId="0" fontId="3" fillId="0" borderId="17" xfId="0" applyFont="1" applyBorder="1" applyAlignment="1" applyProtection="1">
      <alignment horizontal="left" vertical="center"/>
    </xf>
    <xf numFmtId="0" fontId="1" fillId="0" borderId="1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3" fillId="0" borderId="18" xfId="0" quotePrefix="1" applyFont="1" applyBorder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5" xfId="0" applyFont="1" applyFill="1" applyBorder="1" applyAlignment="1" applyProtection="1">
      <alignment horizontal="center"/>
    </xf>
    <xf numFmtId="0" fontId="4" fillId="0" borderId="21" xfId="0" applyFont="1" applyBorder="1" applyAlignment="1" applyProtection="1">
      <alignment horizontal="center" textRotation="69"/>
    </xf>
    <xf numFmtId="0" fontId="4" fillId="0" borderId="0" xfId="0" applyFont="1" applyBorder="1" applyAlignment="1" applyProtection="1">
      <alignment horizontal="center" textRotation="69"/>
    </xf>
    <xf numFmtId="0" fontId="4" fillId="0" borderId="7" xfId="0" applyFont="1" applyBorder="1" applyAlignment="1" applyProtection="1">
      <alignment horizontal="center" textRotation="69"/>
    </xf>
    <xf numFmtId="0" fontId="4" fillId="0" borderId="21" xfId="0" applyFont="1" applyFill="1" applyBorder="1" applyAlignment="1" applyProtection="1">
      <alignment horizontal="center" textRotation="69"/>
    </xf>
    <xf numFmtId="0" fontId="4" fillId="0" borderId="0" xfId="0" applyFont="1" applyFill="1" applyBorder="1" applyAlignment="1" applyProtection="1">
      <alignment horizontal="center" textRotation="69"/>
    </xf>
    <xf numFmtId="0" fontId="4" fillId="0" borderId="7" xfId="0" applyFont="1" applyFill="1" applyBorder="1" applyAlignment="1" applyProtection="1">
      <alignment horizontal="center" textRotation="69"/>
    </xf>
    <xf numFmtId="0" fontId="3" fillId="20" borderId="15" xfId="0" applyFont="1" applyFill="1" applyBorder="1" applyAlignment="1" applyProtection="1">
      <alignment vertical="center"/>
    </xf>
    <xf numFmtId="0" fontId="17" fillId="20" borderId="13" xfId="0" applyFont="1" applyFill="1" applyBorder="1" applyAlignment="1">
      <alignment vertical="center"/>
    </xf>
    <xf numFmtId="0" fontId="3" fillId="20" borderId="13" xfId="0" applyFont="1" applyFill="1" applyBorder="1" applyAlignment="1" applyProtection="1">
      <alignment vertical="center"/>
    </xf>
    <xf numFmtId="0" fontId="1" fillId="4" borderId="23" xfId="0" applyFont="1" applyFill="1" applyBorder="1" applyAlignment="1" applyProtection="1">
      <alignment horizontal="center"/>
    </xf>
    <xf numFmtId="0" fontId="1" fillId="4" borderId="24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6" fillId="0" borderId="26" xfId="0" applyFont="1" applyBorder="1" applyAlignment="1" applyProtection="1">
      <alignment horizontal="center" vertical="center"/>
    </xf>
    <xf numFmtId="0" fontId="6" fillId="0" borderId="13" xfId="0" applyFont="1" applyBorder="1" applyAlignment="1" applyProtection="1">
      <alignment horizontal="center" vertical="center"/>
    </xf>
    <xf numFmtId="0" fontId="6" fillId="0" borderId="16" xfId="0" applyFont="1" applyBorder="1" applyAlignment="1" applyProtection="1">
      <alignment horizontal="center" vertical="center"/>
    </xf>
    <xf numFmtId="0" fontId="6" fillId="0" borderId="27" xfId="0" applyFont="1" applyBorder="1" applyAlignment="1" applyProtection="1">
      <alignment horizontal="center" vertical="center"/>
    </xf>
    <xf numFmtId="0" fontId="6" fillId="0" borderId="2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26" xfId="0" applyFont="1" applyBorder="1" applyAlignment="1" applyProtection="1">
      <alignment horizontal="center"/>
    </xf>
    <xf numFmtId="0" fontId="6" fillId="0" borderId="13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6" fillId="0" borderId="27" xfId="0" applyFont="1" applyBorder="1" applyAlignment="1" applyProtection="1">
      <alignment horizontal="center"/>
    </xf>
    <xf numFmtId="0" fontId="6" fillId="0" borderId="20" xfId="0" applyFont="1" applyBorder="1" applyAlignment="1" applyProtection="1">
      <alignment horizontal="center"/>
    </xf>
    <xf numFmtId="0" fontId="6" fillId="0" borderId="28" xfId="0" applyFont="1" applyBorder="1" applyAlignment="1" applyProtection="1">
      <alignment horizontal="center"/>
    </xf>
    <xf numFmtId="1" fontId="10" fillId="4" borderId="27" xfId="0" applyNumberFormat="1" applyFont="1" applyFill="1" applyBorder="1" applyAlignment="1" applyProtection="1">
      <alignment horizontal="center" vertical="top"/>
    </xf>
    <xf numFmtId="1" fontId="10" fillId="4" borderId="28" xfId="0" applyNumberFormat="1" applyFont="1" applyFill="1" applyBorder="1" applyAlignment="1" applyProtection="1">
      <alignment horizontal="center" vertical="top"/>
    </xf>
    <xf numFmtId="0" fontId="1" fillId="11" borderId="11" xfId="0" applyFont="1" applyFill="1" applyBorder="1" applyAlignment="1" applyProtection="1">
      <alignment horizontal="center"/>
    </xf>
    <xf numFmtId="0" fontId="1" fillId="11" borderId="2" xfId="0" applyFont="1" applyFill="1" applyBorder="1" applyAlignment="1" applyProtection="1">
      <alignment horizontal="center"/>
    </xf>
    <xf numFmtId="0" fontId="1" fillId="11" borderId="5" xfId="0" applyFont="1" applyFill="1" applyBorder="1" applyAlignment="1" applyProtection="1">
      <alignment horizontal="center"/>
    </xf>
    <xf numFmtId="0" fontId="1" fillId="4" borderId="22" xfId="0" applyFont="1" applyFill="1" applyBorder="1" applyAlignment="1" applyProtection="1">
      <alignment horizontal="center"/>
    </xf>
    <xf numFmtId="0" fontId="1" fillId="0" borderId="22" xfId="0" applyFont="1" applyBorder="1" applyAlignment="1" applyProtection="1">
      <alignment horizontal="center"/>
    </xf>
    <xf numFmtId="0" fontId="3" fillId="16" borderId="13" xfId="0" applyFont="1" applyFill="1" applyBorder="1" applyAlignment="1" applyProtection="1">
      <alignment vertical="center"/>
    </xf>
    <xf numFmtId="0" fontId="3" fillId="0" borderId="13" xfId="0" applyFont="1" applyBorder="1" applyAlignment="1">
      <alignment vertical="center"/>
    </xf>
    <xf numFmtId="0" fontId="3" fillId="16" borderId="15" xfId="0" applyFont="1" applyFill="1" applyBorder="1" applyAlignment="1" applyProtection="1">
      <alignment vertical="center"/>
    </xf>
    <xf numFmtId="0" fontId="3" fillId="18" borderId="13" xfId="0" applyFont="1" applyFill="1" applyBorder="1" applyAlignment="1" applyProtection="1">
      <alignment vertical="center"/>
    </xf>
    <xf numFmtId="0" fontId="3" fillId="18" borderId="13" xfId="0" applyFont="1" applyFill="1" applyBorder="1" applyAlignment="1">
      <alignment vertical="center"/>
    </xf>
    <xf numFmtId="0" fontId="3" fillId="19" borderId="15" xfId="0" applyFont="1" applyFill="1" applyBorder="1" applyAlignment="1" applyProtection="1">
      <alignment vertical="center"/>
    </xf>
    <xf numFmtId="0" fontId="3" fillId="19" borderId="13" xfId="0" applyFont="1" applyFill="1" applyBorder="1" applyAlignment="1" applyProtection="1">
      <alignment vertical="center"/>
    </xf>
    <xf numFmtId="0" fontId="3" fillId="19" borderId="13" xfId="0" applyFont="1" applyFill="1" applyBorder="1" applyAlignment="1">
      <alignment vertical="center"/>
    </xf>
    <xf numFmtId="0" fontId="3" fillId="18" borderId="15" xfId="0" applyFont="1" applyFill="1" applyBorder="1" applyAlignment="1" applyProtection="1">
      <alignment vertical="center"/>
    </xf>
    <xf numFmtId="0" fontId="3" fillId="14" borderId="15" xfId="0" applyFont="1" applyFill="1" applyBorder="1" applyAlignment="1" applyProtection="1">
      <alignment vertical="center"/>
    </xf>
    <xf numFmtId="0" fontId="3" fillId="14" borderId="13" xfId="0" applyFont="1" applyFill="1" applyBorder="1" applyAlignment="1" applyProtection="1">
      <alignment vertical="center"/>
    </xf>
    <xf numFmtId="0" fontId="3" fillId="14" borderId="13" xfId="0" applyFont="1" applyFill="1" applyBorder="1" applyAlignment="1">
      <alignment vertical="center"/>
    </xf>
    <xf numFmtId="0" fontId="3" fillId="15" borderId="13" xfId="0" applyFont="1" applyFill="1" applyBorder="1" applyAlignment="1" applyProtection="1">
      <alignment vertical="center"/>
    </xf>
    <xf numFmtId="0" fontId="3" fillId="15" borderId="13" xfId="0" applyFont="1" applyFill="1" applyBorder="1" applyAlignment="1">
      <alignment vertical="center"/>
    </xf>
    <xf numFmtId="0" fontId="3" fillId="15" borderId="14" xfId="0" applyFont="1" applyFill="1" applyBorder="1" applyAlignment="1">
      <alignment vertical="center"/>
    </xf>
    <xf numFmtId="0" fontId="3" fillId="17" borderId="15" xfId="0" applyFont="1" applyFill="1" applyBorder="1" applyAlignment="1" applyProtection="1">
      <alignment vertical="center"/>
    </xf>
    <xf numFmtId="0" fontId="3" fillId="17" borderId="13" xfId="0" applyFont="1" applyFill="1" applyBorder="1" applyAlignment="1" applyProtection="1">
      <alignment vertical="center"/>
    </xf>
    <xf numFmtId="0" fontId="3" fillId="17" borderId="13" xfId="0" applyFont="1" applyFill="1" applyBorder="1" applyAlignment="1">
      <alignment vertical="center"/>
    </xf>
    <xf numFmtId="0" fontId="3" fillId="15" borderId="15" xfId="0" applyFont="1" applyFill="1" applyBorder="1" applyAlignment="1" applyProtection="1">
      <alignment vertical="center"/>
    </xf>
    <xf numFmtId="0" fontId="3" fillId="21" borderId="15" xfId="0" applyFont="1" applyFill="1" applyBorder="1" applyAlignment="1" applyProtection="1">
      <alignment vertical="center"/>
    </xf>
    <xf numFmtId="0" fontId="3" fillId="21" borderId="13" xfId="0" applyFont="1" applyFill="1" applyBorder="1" applyAlignment="1" applyProtection="1">
      <alignment vertical="center"/>
    </xf>
    <xf numFmtId="0" fontId="3" fillId="21" borderId="13" xfId="0" applyFont="1" applyFill="1" applyBorder="1" applyAlignment="1">
      <alignment vertical="center"/>
    </xf>
    <xf numFmtId="0" fontId="1" fillId="11" borderId="2" xfId="0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</xf>
    <xf numFmtId="1" fontId="19" fillId="0" borderId="0" xfId="0" applyNumberFormat="1" applyFont="1" applyAlignment="1" applyProtection="1">
      <alignment horizontal="center" wrapText="1"/>
    </xf>
    <xf numFmtId="0" fontId="19" fillId="0" borderId="0" xfId="0" applyFont="1" applyAlignment="1" applyProtection="1">
      <alignment horizontal="center" wrapText="1"/>
    </xf>
    <xf numFmtId="0" fontId="8" fillId="0" borderId="13" xfId="0" applyFont="1" applyBorder="1" applyAlignment="1" applyProtection="1">
      <alignment horizontal="right" vertical="center"/>
    </xf>
    <xf numFmtId="49" fontId="12" fillId="7" borderId="13" xfId="0" applyNumberFormat="1" applyFont="1" applyFill="1" applyBorder="1" applyAlignment="1" applyProtection="1">
      <alignment vertical="center"/>
    </xf>
    <xf numFmtId="0" fontId="15" fillId="14" borderId="0" xfId="0" applyFont="1" applyFill="1" applyAlignment="1" applyProtection="1">
      <alignment horizontal="center" vertical="top" wrapText="1"/>
    </xf>
    <xf numFmtId="0" fontId="16" fillId="14" borderId="0" xfId="0" applyFont="1" applyFill="1" applyAlignment="1" applyProtection="1">
      <alignment horizontal="center" vertical="top" wrapText="1"/>
    </xf>
  </cellXfs>
  <cellStyles count="2">
    <cellStyle name="Normale" xfId="0" builtinId="0"/>
    <cellStyle name="Normale 2" xfId="1"/>
  </cellStyles>
  <dxfs count="68">
    <dxf>
      <numFmt numFmtId="1" formatCode="0"/>
    </dxf>
    <dxf>
      <numFmt numFmtId="1" formatCode="0"/>
    </dxf>
    <dxf>
      <alignment textRotation="0" readingOrder="0"/>
    </dxf>
    <dxf>
      <alignment textRotation="90" readingOrder="0"/>
    </dxf>
    <dxf>
      <alignment textRotation="0" readingOrder="0"/>
    </dxf>
    <dxf>
      <alignment textRotation="90" readingOrder="0"/>
    </dxf>
    <dxf>
      <font>
        <color theme="0"/>
      </font>
    </dxf>
    <dxf>
      <fill>
        <patternFill>
          <bgColor theme="1"/>
        </patternFill>
      </fill>
    </dxf>
    <dxf>
      <numFmt numFmtId="1" formatCode="0"/>
    </dxf>
    <dxf>
      <alignment horizontal="general" textRotation="0" readingOrder="0"/>
    </dxf>
    <dxf>
      <alignment textRotation="90" readingOrder="0"/>
    </dxf>
    <dxf>
      <alignment horizontal="center" vertical="center" readingOrder="0"/>
    </dxf>
    <dxf>
      <numFmt numFmtId="1" formatCode="0"/>
    </dxf>
    <dxf>
      <numFmt numFmtId="1" formatCode="0"/>
    </dxf>
    <dxf>
      <fill>
        <patternFill>
          <bgColor indexed="43"/>
        </patternFill>
      </fill>
    </dxf>
    <dxf>
      <fill>
        <patternFill patternType="none"/>
      </fill>
    </dxf>
    <dxf>
      <fill>
        <patternFill patternType="solid">
          <bgColor indexed="22"/>
        </patternFill>
      </fill>
    </dxf>
    <dxf>
      <border>
        <left/>
        <top/>
      </border>
    </dxf>
    <dxf>
      <fill>
        <patternFill patternType="solid">
          <bgColor indexed="31"/>
        </patternFill>
      </fill>
      <border>
        <right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fill>
        <patternFill patternType="none"/>
      </fill>
    </dxf>
    <dxf>
      <fill>
        <patternFill patternType="solid">
          <bgColor indexed="22"/>
        </patternFill>
      </fill>
    </dxf>
    <dxf>
      <font>
        <b/>
      </font>
    </dxf>
    <dxf>
      <fill>
        <patternFill patternType="solid">
          <bgColor indexed="22"/>
        </patternFill>
      </fill>
    </dxf>
    <dxf>
      <font>
        <i/>
      </font>
    </dxf>
    <dxf>
      <font>
        <sz val="10"/>
      </font>
    </dxf>
    <dxf>
      <fill>
        <patternFill patternType="none"/>
      </fill>
    </dxf>
    <dxf>
      <font>
        <i val="0"/>
      </font>
    </dxf>
    <dxf>
      <fill>
        <patternFill patternType="none"/>
      </fill>
    </dxf>
    <dxf>
      <alignment textRotation="0" readingOrder="0"/>
    </dxf>
    <dxf>
      <alignment textRotation="90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76199</xdr:rowOff>
    </xdr:from>
    <xdr:to>
      <xdr:col>0</xdr:col>
      <xdr:colOff>555734</xdr:colOff>
      <xdr:row>1</xdr:row>
      <xdr:rowOff>314324</xdr:rowOff>
    </xdr:to>
    <xdr:pic>
      <xdr:nvPicPr>
        <xdr:cNvPr id="22904" name="Immagine 1" descr="Logo Focchi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76199"/>
          <a:ext cx="498584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0</xdr:row>
          <xdr:rowOff>114300</xdr:rowOff>
        </xdr:from>
        <xdr:to>
          <xdr:col>10</xdr:col>
          <xdr:colOff>25400</xdr:colOff>
          <xdr:row>1</xdr:row>
          <xdr:rowOff>146050</xdr:rowOff>
        </xdr:to>
        <xdr:sp macro="" textlink="">
          <xdr:nvSpPr>
            <xdr:cNvPr id="17669" name="InsertRow" hidden="1">
              <a:extLst>
                <a:ext uri="{63B3BB69-23CF-44E3-9099-C40C66FF867C}">
                  <a14:compatExt spid="_x0000_s1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120650</xdr:rowOff>
        </xdr:from>
        <xdr:to>
          <xdr:col>15</xdr:col>
          <xdr:colOff>361950</xdr:colOff>
          <xdr:row>1</xdr:row>
          <xdr:rowOff>120650</xdr:rowOff>
        </xdr:to>
        <xdr:sp macro="" textlink="">
          <xdr:nvSpPr>
            <xdr:cNvPr id="17670" name="DeleteRow" hidden="1">
              <a:extLst>
                <a:ext uri="{63B3BB69-23CF-44E3-9099-C40C66FF867C}">
                  <a14:compatExt spid="_x0000_s1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2</xdr:row>
          <xdr:rowOff>19050</xdr:rowOff>
        </xdr:from>
        <xdr:to>
          <xdr:col>3</xdr:col>
          <xdr:colOff>514350</xdr:colOff>
          <xdr:row>3</xdr:row>
          <xdr:rowOff>107950</xdr:rowOff>
        </xdr:to>
        <xdr:sp macro="" textlink="">
          <xdr:nvSpPr>
            <xdr:cNvPr id="17672" name="CmdCoverHiddenColumns" hidden="1">
              <a:extLst>
                <a:ext uri="{63B3BB69-23CF-44E3-9099-C40C66FF867C}">
                  <a14:compatExt spid="_x0000_s1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</xdr:row>
          <xdr:rowOff>25400</xdr:rowOff>
        </xdr:from>
        <xdr:to>
          <xdr:col>1</xdr:col>
          <xdr:colOff>1098550</xdr:colOff>
          <xdr:row>3</xdr:row>
          <xdr:rowOff>101600</xdr:rowOff>
        </xdr:to>
        <xdr:sp macro="" textlink="">
          <xdr:nvSpPr>
            <xdr:cNvPr id="17673" name="CmdExplode" hidden="1">
              <a:extLst>
                <a:ext uri="{63B3BB69-23CF-44E3-9099-C40C66FF867C}">
                  <a14:compatExt spid="_x0000_s1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47625</xdr:rowOff>
    </xdr:from>
    <xdr:to>
      <xdr:col>0</xdr:col>
      <xdr:colOff>676275</xdr:colOff>
      <xdr:row>1</xdr:row>
      <xdr:rowOff>314325</xdr:rowOff>
    </xdr:to>
    <xdr:pic>
      <xdr:nvPicPr>
        <xdr:cNvPr id="23707" name="Immagine 1" descr="Logo Focchi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3350" y="47625"/>
          <a:ext cx="5429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439140</xdr:rowOff>
    </xdr:from>
    <xdr:to>
      <xdr:col>1</xdr:col>
      <xdr:colOff>667986</xdr:colOff>
      <xdr:row>7</xdr:row>
      <xdr:rowOff>32410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39140"/>
          <a:ext cx="1280307" cy="10220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ssimo Cicognani" refreshedDate="43427.771112268521" createdVersion="6" refreshedVersion="6" minRefreshableVersion="3" recordCount="90">
  <cacheSource type="worksheet">
    <worksheetSource name="RESUMINGSOURCE"/>
  </cacheSource>
  <cacheFields count="38">
    <cacheField name="Item" numFmtId="0">
      <sharedItems containsNonDate="0" containsString="0" containsBlank="1" count="1">
        <m/>
      </sharedItems>
    </cacheField>
    <cacheField name="Facade Type" numFmtId="0">
      <sharedItems containsNonDate="0" containsString="0" containsBlank="1" count="1">
        <m/>
      </sharedItems>
    </cacheField>
    <cacheField name="Panel Code" numFmtId="0">
      <sharedItems containsNonDate="0" containsString="0" containsBlank="1" count="1">
        <m/>
      </sharedItems>
    </cacheField>
    <cacheField name="Notes" numFmtId="0">
      <sharedItems containsNonDate="0" containsString="0" containsBlank="1" count="1">
        <m/>
      </sharedItems>
    </cacheField>
    <cacheField name="vertical cl.*" numFmtId="0">
      <sharedItems containsBlank="1"/>
    </cacheField>
    <cacheField name="top cl.*" numFmtId="0">
      <sharedItems containsNonDate="0" containsString="0" containsBlank="1"/>
    </cacheField>
    <cacheField name="bottom cl.*" numFmtId="0">
      <sharedItems containsNonDate="0" containsString="0" containsBlank="1"/>
    </cacheField>
    <cacheField name="corner*" numFmtId="0">
      <sharedItems containsNonDate="0" containsString="0" containsBlank="1"/>
    </cacheField>
    <cacheField name="coping*" numFmtId="0">
      <sharedItems containsNonDate="0" containsString="0" containsBlank="1"/>
    </cacheField>
    <cacheField name="slab cl.*" numFmtId="0">
      <sharedItems containsNonDate="0" containsString="0" containsBlank="1"/>
    </cacheField>
    <cacheField name="tricky co.*" numFmtId="0">
      <sharedItems containsNonDate="0" containsString="0" containsBlank="1"/>
    </cacheField>
    <cacheField name="gutter*" numFmtId="0">
      <sharedItems containsNonDate="0" containsString="0" containsBlank="1"/>
    </cacheField>
    <cacheField name="Horiz. Finish*" numFmtId="0">
      <sharedItems containsNonDate="0" containsString="0" containsBlank="1"/>
    </cacheField>
    <cacheField name="Vert. Finish.*" numFmtId="0">
      <sharedItems containsNonDate="0" containsString="0" containsBlank="1"/>
    </cacheField>
    <cacheField name="Panel n." numFmtId="0">
      <sharedItems containsString="0" containsBlank="1" containsNumber="1" containsInteger="1" minValue="0" maxValue="0"/>
    </cacheField>
    <cacheField name="Base" numFmtId="0">
      <sharedItems containsNonDate="0" containsString="0" containsBlank="1" count="1">
        <m/>
      </sharedItems>
    </cacheField>
    <cacheField name="Height" numFmtId="0">
      <sharedItems containsNonDate="0" containsString="0" containsBlank="1" count="1">
        <m/>
      </sharedItems>
    </cacheField>
    <cacheField name="Unit Sq. M" numFmtId="0">
      <sharedItems containsString="0" containsBlank="1" containsNumber="1" containsInteger="1" minValue="0" maxValue="0"/>
    </cacheField>
    <cacheField name="NORTH" numFmtId="0">
      <sharedItems containsString="0" containsBlank="1" containsNumber="1" containsInteger="1" minValue="0" maxValue="0"/>
    </cacheField>
    <cacheField name="EAST" numFmtId="0">
      <sharedItems containsString="0" containsBlank="1" containsNumber="1" containsInteger="1" minValue="0" maxValue="0"/>
    </cacheField>
    <cacheField name="SOUTH" numFmtId="0">
      <sharedItems containsString="0" containsBlank="1" containsNumber="1" containsInteger="1" minValue="0" maxValue="0"/>
    </cacheField>
    <cacheField name="WEST" numFmtId="0">
      <sharedItems containsString="0" containsBlank="1" containsNumber="1" containsInteger="1" minValue="0" maxValue="0"/>
    </cacheField>
    <cacheField name="ROOF" numFmtId="0">
      <sharedItems containsString="0" containsBlank="1" containsNumber="1" containsInteger="1" minValue="0" maxValue="0"/>
    </cacheField>
    <cacheField name="ATRIUM" numFmtId="0">
      <sharedItems containsString="0" containsBlank="1" containsNumber="1" containsInteger="1" minValue="0" maxValue="0"/>
    </cacheField>
    <cacheField name="F1" numFmtId="0">
      <sharedItems containsString="0" containsBlank="1" containsNumber="1" containsInteger="1" minValue="0" maxValue="0"/>
    </cacheField>
    <cacheField name="F2" numFmtId="0">
      <sharedItems containsString="0" containsBlank="1" containsNumber="1" containsInteger="1" minValue="0" maxValue="0"/>
    </cacheField>
    <cacheField name="AUTOMATIC" numFmtId="0">
      <sharedItems containsString="0" containsBlank="1" containsNumber="1" containsInteger="1" minValue="0" maxValue="0"/>
    </cacheField>
    <cacheField name="Total Sq.m" numFmtId="0">
      <sharedItems containsString="0" containsBlank="1" containsNumber="1" containsInteger="1" minValue="0" maxValue="0"/>
    </cacheField>
    <cacheField name="vertical cl." numFmtId="0">
      <sharedItems/>
    </cacheField>
    <cacheField name="top cl." numFmtId="0">
      <sharedItems/>
    </cacheField>
    <cacheField name="bottom cl." numFmtId="0">
      <sharedItems/>
    </cacheField>
    <cacheField name="corner" numFmtId="0">
      <sharedItems/>
    </cacheField>
    <cacheField name="coping" numFmtId="0">
      <sharedItems/>
    </cacheField>
    <cacheField name="slab cl." numFmtId="0">
      <sharedItems/>
    </cacheField>
    <cacheField name="tricky co." numFmtId="0">
      <sharedItems/>
    </cacheField>
    <cacheField name="gutter" numFmtId="0">
      <sharedItems/>
    </cacheField>
    <cacheField name="Horiz. finish" numFmtId="0">
      <sharedItems/>
    </cacheField>
    <cacheField name="Vert. Finis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x v="0"/>
    <x v="0"/>
    <x v="0"/>
    <x v="0"/>
    <s v="1 for single finishing or 2 for double"/>
    <m/>
    <m/>
    <m/>
    <m/>
    <m/>
    <m/>
    <m/>
    <m/>
    <m/>
    <m/>
    <x v="0"/>
    <x v="0"/>
    <m/>
    <m/>
    <m/>
    <m/>
    <m/>
    <m/>
    <m/>
    <m/>
    <m/>
    <m/>
    <m/>
    <s v="V"/>
    <s v="H"/>
    <s v="H"/>
    <s v="V"/>
    <s v="H"/>
    <s v="H"/>
    <s v="V"/>
    <s v="H"/>
    <s v="H"/>
    <s v="V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  <r>
    <x v="0"/>
    <x v="0"/>
    <x v="0"/>
    <x v="0"/>
    <m/>
    <m/>
    <m/>
    <m/>
    <m/>
    <m/>
    <m/>
    <m/>
    <m/>
    <m/>
    <n v="0"/>
    <x v="0"/>
    <x v="0"/>
    <n v="0"/>
    <n v="0"/>
    <n v="0"/>
    <n v="0"/>
    <n v="0"/>
    <n v="0"/>
    <n v="0"/>
    <n v="0"/>
    <n v="0"/>
    <n v="0"/>
    <n v="0"/>
    <s v=" "/>
    <s v=" "/>
    <s v=" "/>
    <s v=" "/>
    <s v=" "/>
    <s v=" "/>
    <s v=" "/>
    <s v=" "/>
    <s v=" "/>
    <s v="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suming" cacheId="81" autoFormatId="4096" applyNumberFormats="1" applyBorderFormats="1" applyFontFormats="1" applyPatternFormats="1" applyAlignmentFormats="1" applyWidthHeightFormats="1" dataCaption="Dati" grandTotalCaption="Total" updatedVersion="6" minRefreshableVersion="3" asteriskTotals="1" showMultipleLabel="0" showMemberPropertyTips="0" useAutoFormatting="1" colGrandTotals="0" itemPrintTitles="1" createdVersion="3" indent="0" compact="0" compactData="0" gridDropZones="1">
  <location ref="A3:AA11" firstHeaderRow="0" firstDataRow="1" firstDataCol="6"/>
  <pivotFields count="38">
    <pivotField axis="axisRow" compact="0" showAll="0" insertBlankRow="1" includeNewItemsInFilter="1" sortType="ascending">
      <items count="2">
        <item x="0"/>
        <item t="default"/>
      </items>
    </pivotField>
    <pivotField axis="axisRow" compact="0" showAll="0" includeNewItemsInFilter="1" sortType="ascending" rankBy="0">
      <items count="2">
        <item x="0"/>
        <item t="default"/>
      </items>
    </pivotField>
    <pivotField axis="axisRow" compact="0" showAll="0" includeNewItemsInFilter="1" sortType="ascending">
      <items count="2">
        <item x="0"/>
        <item t="default"/>
      </items>
    </pivotField>
    <pivotField axis="axisRow" compact="0" showAll="0" includeNewItemsInFilter="1" sortType="ascending" rankBy="0">
      <items count="2">
        <item x="0"/>
        <item t="default"/>
      </items>
    </pivotField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dataField="1" compact="0" showAll="0" includeNewItemsInFilter="1"/>
    <pivotField axis="axisRow" compact="0" showAll="0" includeNewItemsInFilter="1" sortType="ascending" rankBy="0" defaultSubtotal="0">
      <items count="1">
        <item x="0"/>
      </items>
    </pivotField>
    <pivotField axis="axisRow" compact="0" showAll="0" includeNewItemsInFilter="1" sortType="ascending" rankBy="0">
      <items count="2">
        <item x="0"/>
        <item t="default"/>
      </items>
    </pivotField>
    <pivotField compact="0" showAll="0" includeNewItemsInFilter="1"/>
    <pivotField dataField="1" compact="0" showAll="0" defaultSubtotal="0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defaultSubtotal="0"/>
    <pivotField dataField="1" compact="0" showAll="0" includeNewItemsInFilter="1"/>
    <pivotField dataField="1" compact="0" showAll="0" includeNewItemsInFilter="1"/>
    <pivotField dataField="1" compact="0" showAll="0" defaultSubtotal="0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  <pivotField dataField="1" compact="0" showAll="0" includeNewItemsInFilter="1"/>
  </pivotFields>
  <rowFields count="6">
    <field x="0"/>
    <field x="1"/>
    <field x="2"/>
    <field x="15"/>
    <field x="16"/>
    <field x="3"/>
  </rowFields>
  <rowItems count="8">
    <i>
      <x/>
    </i>
    <i r="1">
      <x/>
    </i>
    <i r="2">
      <x/>
    </i>
    <i r="3">
      <x/>
    </i>
    <i r="4">
      <x/>
    </i>
    <i r="5">
      <x/>
    </i>
    <i t="blank">
      <x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dataFields count="21">
    <dataField name="Somma di Panel n." fld="14" baseField="0" baseItem="0" numFmtId="1"/>
    <dataField name="Somma di Total Sq.m" fld="27" baseField="0" baseItem="0" numFmtId="1"/>
    <dataField name="Somma di vertical cl." fld="28" baseField="0" baseItem="0"/>
    <dataField name="Somma di top cl." fld="29" baseField="0" baseItem="0"/>
    <dataField name="Somma di bottom cl." fld="30" baseField="0" baseItem="0"/>
    <dataField name="Somma di corner" fld="31" baseField="0" baseItem="0"/>
    <dataField name="Somma di coping" fld="32" baseField="0" baseItem="0"/>
    <dataField name="Somma di slab cl." fld="33" baseField="0" baseItem="0"/>
    <dataField name="Somma di tricky co." fld="34" baseField="0" baseItem="0"/>
    <dataField name="Somma di gutter" fld="35" baseField="0" baseItem="0"/>
    <dataField name="Somma di Horiz. finish" fld="36" baseField="0" baseItem="0"/>
    <dataField name="Somma di Vert. Finish" fld="37" baseField="0" baseItem="0"/>
    <dataField name="Somma di NORTH" fld="18" baseField="0" baseItem="0" numFmtId="1"/>
    <dataField name="Somma di EAST" fld="19" baseField="0" baseItem="0"/>
    <dataField name="Somma di SOUTH" fld="20" baseField="0" baseItem="0"/>
    <dataField name="Somma di WEST" fld="21" baseField="0" baseItem="0"/>
    <dataField name="Somma di ROOF" fld="22" baseField="0" baseItem="0"/>
    <dataField name="Somma di ATRIUM" fld="23" baseField="0" baseItem="0" numFmtId="1"/>
    <dataField name="Somma di F1" fld="24" baseField="0" baseItem="0" numFmtId="1"/>
    <dataField name="Somma di F2" fld="25" baseField="0" baseItem="0" numFmtId="1"/>
    <dataField name="Somma di AUTOMATIC" fld="26" baseField="0" baseItem="0" numFmtId="1"/>
  </dataFields>
  <formats count="68">
    <format dxfId="67">
      <pivotArea outline="0" fieldPosition="0">
        <references count="1">
          <reference field="4294967294" count="10" selected="0"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2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6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6">
      <pivotArea outline="0" fieldPosition="0">
        <references count="1">
          <reference field="4294967294" count="4" selected="0">
            <x v="13"/>
            <x v="14"/>
            <x v="15"/>
            <x v="16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35">
      <pivotArea field="1" type="button" dataOnly="0" labelOnly="1" outline="0" axis="axisRow" fieldPosition="1"/>
    </format>
    <format dxfId="34">
      <pivotArea field="15" type="button" dataOnly="0" labelOnly="1" outline="0" axis="axisRow" fieldPosition="3"/>
    </format>
    <format dxfId="33">
      <pivotArea field="16" type="button" dataOnly="0" labelOnly="1" outline="0" axis="axisRow" fieldPosition="4"/>
    </format>
    <format dxfId="32">
      <pivotArea field="3" type="button" dataOnly="0" labelOnly="1" outline="0" axis="axisRow" fieldPosition="5"/>
    </format>
    <format dxfId="31">
      <pivotArea field="2" type="button" dataOnly="0" labelOnly="1" outline="0" axis="axisRow" fieldPosition="2"/>
    </format>
    <format dxfId="30">
      <pivotArea dataOnly="0" outline="0" fieldPosition="0">
        <references count="1">
          <reference field="4294967294" count="2">
            <x v="18"/>
            <x v="19"/>
          </reference>
        </references>
      </pivotArea>
    </format>
    <format dxfId="29">
      <pivotArea outline="0" fieldPosition="0">
        <references count="1">
          <reference field="4294967294" count="2" selected="0">
            <x v="18"/>
            <x v="19"/>
          </reference>
        </references>
      </pivotArea>
    </format>
    <format dxfId="28">
      <pivotArea dataOnly="0" labelOnly="1" fieldPosition="0">
        <references count="1">
          <reference field="15" count="0"/>
        </references>
      </pivotArea>
    </format>
    <format dxfId="27">
      <pivotArea dataOnly="0" labelOnly="1" fieldPosition="0">
        <references count="1">
          <reference field="15" count="0"/>
        </references>
      </pivotArea>
    </format>
    <format dxfId="26">
      <pivotArea fieldPosition="0">
        <references count="1">
          <reference field="15" count="0"/>
        </references>
      </pivotArea>
    </format>
    <format dxfId="25">
      <pivotArea dataOnly="0" labelOnly="1" fieldPosition="0">
        <references count="1">
          <reference field="16" count="0"/>
        </references>
      </pivotArea>
    </format>
    <format dxfId="24">
      <pivotArea dataOnly="0" labelOnly="1" fieldPosition="0">
        <references count="1">
          <reference field="16" count="0"/>
        </references>
      </pivotArea>
    </format>
    <format dxfId="23">
      <pivotArea fieldPosition="0">
        <references count="1">
          <reference field="16" count="0"/>
        </references>
      </pivotArea>
    </format>
    <format dxfId="22">
      <pivotArea fieldPosition="0">
        <references count="1">
          <reference field="16" count="0"/>
        </references>
      </pivotArea>
    </format>
    <format dxfId="21">
      <pivotArea dataOnly="0" labelOnly="1" fieldPosition="0">
        <references count="1">
          <reference field="2" count="0"/>
        </references>
      </pivotArea>
    </format>
    <format dxfId="20">
      <pivotArea fieldPosition="0">
        <references count="1">
          <reference field="16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16" count="0"/>
        </references>
      </pivotArea>
    </format>
    <format dxfId="15">
      <pivotArea dataOnly="0" labelOnly="1" fieldPosition="0">
        <references count="1">
          <reference field="16" count="0"/>
        </references>
      </pivotArea>
    </format>
    <format dxfId="14">
      <pivotArea dataOnly="0" fieldPosition="0">
        <references count="1">
          <reference field="2" count="0"/>
        </references>
      </pivotArea>
    </format>
    <format dxfId="13">
      <pivotArea outline="0" fieldPosition="0">
        <references count="1">
          <reference field="4294967294" count="1" selected="0">
            <x v="18"/>
          </reference>
        </references>
      </pivotArea>
    </format>
    <format dxfId="12">
      <pivotArea outline="0" fieldPosition="0">
        <references count="1">
          <reference field="4294967294" count="1" selected="0">
            <x v="19"/>
          </reference>
        </references>
      </pivotArea>
    </format>
    <format dxfId="11">
      <pivotArea field="0" type="button" dataOnly="0" labelOnly="1" outline="0" axis="axisRow" fieldPosition="0"/>
    </format>
    <format dxfId="10">
      <pivotArea dataOnly="0" outline="0" fieldPosition="0">
        <references count="1">
          <reference field="4294967294" count="1">
            <x v="20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20"/>
          </reference>
        </references>
      </pivotArea>
    </format>
    <format dxfId="8">
      <pivotArea outline="0" fieldPosition="0">
        <references count="1">
          <reference field="4294967294" count="1">
            <x v="20"/>
          </reference>
        </references>
      </pivotArea>
    </format>
    <format dxfId="7">
      <pivotArea dataOnly="0" fieldPosition="0">
        <references count="1">
          <reference field="1" count="0"/>
        </references>
      </pivotArea>
    </format>
    <format dxfId="6">
      <pivotArea dataOnly="0" fieldPosition="0">
        <references count="1">
          <reference field="1" count="0"/>
        </references>
      </pivotArea>
    </format>
    <format dxfId="5">
      <pivotArea dataOnly="0" outline="0" fieldPosition="0">
        <references count="1">
          <reference field="4294967294" count="1">
            <x v="17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3">
      <pivotArea dataOnly="0" outline="0" fieldPosition="0">
        <references count="1">
          <reference field="4294967294" count="1">
            <x v="12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1">
      <pivotArea outline="0" fieldPosition="0">
        <references count="1">
          <reference field="4294967294" count="1">
            <x v="12"/>
          </reference>
        </references>
      </pivotArea>
    </format>
    <format dxfId="0">
      <pivotArea outline="0" fieldPosition="0">
        <references count="1">
          <reference field="4294967294" count="1">
            <x v="17"/>
          </reference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JA97"/>
  <sheetViews>
    <sheetView showGridLines="0" tabSelected="1" zoomScale="85" zoomScaleNormal="85" workbookViewId="0">
      <pane xSplit="38" ySplit="7" topLeftCell="AM8" activePane="bottomRight" state="frozen"/>
      <selection pane="topRight" activeCell="AL1" sqref="AL1"/>
      <selection pane="bottomLeft" activeCell="A8" sqref="A8"/>
      <selection pane="bottomRight" activeCell="A8" sqref="A8"/>
    </sheetView>
  </sheetViews>
  <sheetFormatPr defaultColWidth="2.54296875" defaultRowHeight="12.5" outlineLevelCol="1" x14ac:dyDescent="0.25"/>
  <cols>
    <col min="1" max="1" width="16.54296875" style="12" customWidth="1"/>
    <col min="2" max="2" width="24.7265625" style="12" customWidth="1"/>
    <col min="3" max="3" width="11.453125" style="12" customWidth="1"/>
    <col min="4" max="4" width="35.54296875" style="12" customWidth="1"/>
    <col min="5" max="14" width="3.26953125" style="12" customWidth="1"/>
    <col min="15" max="16" width="7.1796875" style="12" customWidth="1"/>
    <col min="17" max="17" width="6.7265625" style="12" customWidth="1"/>
    <col min="18" max="18" width="7.7265625" style="12" customWidth="1"/>
    <col min="19" max="19" width="6.26953125" style="12" hidden="1" customWidth="1" outlineLevel="1"/>
    <col min="20" max="27" width="4.7265625" style="12" hidden="1" customWidth="1" outlineLevel="1"/>
    <col min="28" max="28" width="10.453125" style="12" customWidth="1" collapsed="1"/>
    <col min="29" max="38" width="7.26953125" style="12" hidden="1" customWidth="1" outlineLevel="1"/>
    <col min="39" max="39" width="6.26953125" style="12" customWidth="1" collapsed="1"/>
    <col min="40" max="59" width="5.7265625" style="12" customWidth="1"/>
    <col min="60" max="60" width="6.26953125" style="12" customWidth="1"/>
    <col min="61" max="80" width="5.7265625" style="12" customWidth="1"/>
    <col min="81" max="81" width="6.26953125" style="12" customWidth="1"/>
    <col min="82" max="101" width="5.7265625" style="12" customWidth="1"/>
    <col min="102" max="102" width="6.26953125" style="22" customWidth="1"/>
    <col min="103" max="122" width="5.7265625" style="12" customWidth="1"/>
    <col min="123" max="123" width="6.26953125" style="22" customWidth="1"/>
    <col min="124" max="143" width="5.7265625" style="12" customWidth="1"/>
    <col min="144" max="144" width="6.26953125" style="22" customWidth="1"/>
    <col min="145" max="164" width="5.7265625" style="12" customWidth="1"/>
    <col min="165" max="165" width="6.26953125" style="12" customWidth="1"/>
    <col min="166" max="185" width="5.7265625" style="12" customWidth="1"/>
    <col min="186" max="186" width="6.26953125" style="12" customWidth="1"/>
    <col min="187" max="206" width="5.7265625" style="12" customWidth="1"/>
    <col min="207" max="207" width="6.26953125" style="12" customWidth="1"/>
    <col min="208" max="260" width="5.7265625" style="12" customWidth="1"/>
    <col min="261" max="16384" width="2.54296875" style="12"/>
  </cols>
  <sheetData>
    <row r="1" spans="1:261" s="36" customFormat="1" ht="33" customHeight="1" x14ac:dyDescent="0.25">
      <c r="A1" s="53" t="s">
        <v>44</v>
      </c>
      <c r="B1" s="96" t="s">
        <v>73</v>
      </c>
      <c r="C1" s="53" t="s">
        <v>49</v>
      </c>
      <c r="D1" s="96" t="s">
        <v>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115" t="s">
        <v>48</v>
      </c>
      <c r="R1" s="116"/>
      <c r="S1" s="34"/>
      <c r="T1" s="34"/>
      <c r="U1" s="34"/>
      <c r="V1" s="35"/>
      <c r="W1" s="34"/>
      <c r="X1" s="34"/>
      <c r="Y1" s="34"/>
      <c r="Z1" s="34"/>
      <c r="AA1" s="34"/>
      <c r="AB1" s="115" t="s">
        <v>47</v>
      </c>
      <c r="AC1" s="116"/>
      <c r="AD1" s="34"/>
      <c r="AE1" s="34"/>
      <c r="AF1" s="34"/>
      <c r="AG1" s="34"/>
      <c r="AH1" s="34"/>
      <c r="AI1" s="34"/>
      <c r="AJ1" s="34"/>
      <c r="AK1" s="34"/>
      <c r="AL1" s="34"/>
      <c r="AM1" s="133" t="str">
        <f>AM3</f>
        <v>NORTH</v>
      </c>
      <c r="AN1" s="134"/>
      <c r="AO1" s="134"/>
      <c r="AP1" s="135" t="str">
        <f>AM3</f>
        <v>NORTH</v>
      </c>
      <c r="AQ1" s="134"/>
      <c r="AR1" s="134"/>
      <c r="AS1" s="135" t="str">
        <f>AM3</f>
        <v>NORTH</v>
      </c>
      <c r="AT1" s="134"/>
      <c r="AU1" s="134"/>
      <c r="AV1" s="135" t="str">
        <f>AM3</f>
        <v>NORTH</v>
      </c>
      <c r="AW1" s="134"/>
      <c r="AX1" s="134"/>
      <c r="AY1" s="135" t="str">
        <f>AM3</f>
        <v>NORTH</v>
      </c>
      <c r="AZ1" s="134"/>
      <c r="BA1" s="134"/>
      <c r="BB1" s="135" t="str">
        <f>AM3</f>
        <v>NORTH</v>
      </c>
      <c r="BC1" s="134"/>
      <c r="BD1" s="134"/>
      <c r="BE1" s="135" t="str">
        <f>AM3</f>
        <v>NORTH</v>
      </c>
      <c r="BF1" s="134"/>
      <c r="BG1" s="134"/>
      <c r="BH1" s="160" t="str">
        <f>BI3</f>
        <v>EAST</v>
      </c>
      <c r="BI1" s="158"/>
      <c r="BJ1" s="159"/>
      <c r="BK1" s="158" t="str">
        <f>BI3</f>
        <v>EAST</v>
      </c>
      <c r="BL1" s="158"/>
      <c r="BM1" s="159"/>
      <c r="BN1" s="158" t="str">
        <f>BI3</f>
        <v>EAST</v>
      </c>
      <c r="BO1" s="158"/>
      <c r="BP1" s="159"/>
      <c r="BQ1" s="158" t="str">
        <f>BI3</f>
        <v>EAST</v>
      </c>
      <c r="BR1" s="158"/>
      <c r="BS1" s="159"/>
      <c r="BT1" s="158" t="str">
        <f>BI3</f>
        <v>EAST</v>
      </c>
      <c r="BU1" s="158"/>
      <c r="BV1" s="159"/>
      <c r="BW1" s="158" t="str">
        <f>BI3</f>
        <v>EAST</v>
      </c>
      <c r="BX1" s="158"/>
      <c r="BY1" s="159"/>
      <c r="BZ1" s="158" t="str">
        <f>BI3</f>
        <v>EAST</v>
      </c>
      <c r="CA1" s="158"/>
      <c r="CB1" s="159"/>
      <c r="CC1" s="166" t="str">
        <f>CD3</f>
        <v>SOUTH</v>
      </c>
      <c r="CD1" s="161"/>
      <c r="CE1" s="162"/>
      <c r="CF1" s="161" t="str">
        <f>CD3</f>
        <v>SOUTH</v>
      </c>
      <c r="CG1" s="161"/>
      <c r="CH1" s="162"/>
      <c r="CI1" s="161" t="str">
        <f>CD3</f>
        <v>SOUTH</v>
      </c>
      <c r="CJ1" s="161"/>
      <c r="CK1" s="162"/>
      <c r="CL1" s="161" t="str">
        <f>CD3</f>
        <v>SOUTH</v>
      </c>
      <c r="CM1" s="161"/>
      <c r="CN1" s="162"/>
      <c r="CO1" s="161" t="str">
        <f>CD3</f>
        <v>SOUTH</v>
      </c>
      <c r="CP1" s="161"/>
      <c r="CQ1" s="162"/>
      <c r="CR1" s="161" t="str">
        <f>CD3</f>
        <v>SOUTH</v>
      </c>
      <c r="CS1" s="161"/>
      <c r="CT1" s="162"/>
      <c r="CU1" s="161" t="str">
        <f>CD3</f>
        <v>SOUTH</v>
      </c>
      <c r="CV1" s="161"/>
      <c r="CW1" s="162"/>
      <c r="CX1" s="163" t="str">
        <f>CX3</f>
        <v>WEST</v>
      </c>
      <c r="CY1" s="164"/>
      <c r="CZ1" s="165"/>
      <c r="DA1" s="164" t="str">
        <f>CX3</f>
        <v>WEST</v>
      </c>
      <c r="DB1" s="164"/>
      <c r="DC1" s="165"/>
      <c r="DD1" s="164" t="str">
        <f>CX3</f>
        <v>WEST</v>
      </c>
      <c r="DE1" s="164"/>
      <c r="DF1" s="165"/>
      <c r="DG1" s="164" t="str">
        <f>CX3</f>
        <v>WEST</v>
      </c>
      <c r="DH1" s="164"/>
      <c r="DI1" s="165"/>
      <c r="DJ1" s="164" t="str">
        <f>CX3</f>
        <v>WEST</v>
      </c>
      <c r="DK1" s="164"/>
      <c r="DL1" s="165"/>
      <c r="DM1" s="164" t="str">
        <f>CX3</f>
        <v>WEST</v>
      </c>
      <c r="DN1" s="164"/>
      <c r="DO1" s="165"/>
      <c r="DP1" s="164" t="str">
        <f>CX3</f>
        <v>WEST</v>
      </c>
      <c r="DQ1" s="164"/>
      <c r="DR1" s="165"/>
      <c r="DS1" s="167" t="str">
        <f>DS3</f>
        <v>ROOF</v>
      </c>
      <c r="DT1" s="168"/>
      <c r="DU1" s="169"/>
      <c r="DV1" s="168" t="str">
        <f>DS3</f>
        <v>ROOF</v>
      </c>
      <c r="DW1" s="168"/>
      <c r="DX1" s="169"/>
      <c r="DY1" s="168" t="str">
        <f>DS3</f>
        <v>ROOF</v>
      </c>
      <c r="DZ1" s="168"/>
      <c r="EA1" s="169"/>
      <c r="EB1" s="168" t="str">
        <f>DS3</f>
        <v>ROOF</v>
      </c>
      <c r="EC1" s="168"/>
      <c r="ED1" s="169"/>
      <c r="EE1" s="168" t="str">
        <f>DS3</f>
        <v>ROOF</v>
      </c>
      <c r="EF1" s="168"/>
      <c r="EG1" s="169"/>
      <c r="EH1" s="168" t="str">
        <f>DS3</f>
        <v>ROOF</v>
      </c>
      <c r="EI1" s="168"/>
      <c r="EJ1" s="169"/>
      <c r="EK1" s="168" t="str">
        <f>DS3</f>
        <v>ROOF</v>
      </c>
      <c r="EL1" s="168"/>
      <c r="EM1" s="169"/>
      <c r="EN1" s="176" t="str">
        <f>EN3</f>
        <v>ATRIUM</v>
      </c>
      <c r="EO1" s="170"/>
      <c r="EP1" s="171"/>
      <c r="EQ1" s="170" t="str">
        <f>EN3</f>
        <v>ATRIUM</v>
      </c>
      <c r="ER1" s="170"/>
      <c r="ES1" s="171"/>
      <c r="ET1" s="170" t="str">
        <f>EN3</f>
        <v>ATRIUM</v>
      </c>
      <c r="EU1" s="170"/>
      <c r="EV1" s="171"/>
      <c r="EW1" s="170" t="str">
        <f>EN3</f>
        <v>ATRIUM</v>
      </c>
      <c r="EX1" s="170"/>
      <c r="EY1" s="171"/>
      <c r="EZ1" s="170" t="str">
        <f>EN3</f>
        <v>ATRIUM</v>
      </c>
      <c r="FA1" s="170"/>
      <c r="FB1" s="171"/>
      <c r="FC1" s="170" t="str">
        <f>EN3</f>
        <v>ATRIUM</v>
      </c>
      <c r="FD1" s="170"/>
      <c r="FE1" s="171"/>
      <c r="FF1" s="170" t="str">
        <f>EN3</f>
        <v>ATRIUM</v>
      </c>
      <c r="FG1" s="170"/>
      <c r="FH1" s="172"/>
      <c r="FI1" s="173" t="str">
        <f>FI3</f>
        <v>F1</v>
      </c>
      <c r="FJ1" s="174"/>
      <c r="FK1" s="175"/>
      <c r="FL1" s="174" t="str">
        <f>FI3</f>
        <v>F1</v>
      </c>
      <c r="FM1" s="174"/>
      <c r="FN1" s="175"/>
      <c r="FO1" s="174" t="str">
        <f>FI3</f>
        <v>F1</v>
      </c>
      <c r="FP1" s="174"/>
      <c r="FQ1" s="175"/>
      <c r="FR1" s="174" t="str">
        <f>FI3</f>
        <v>F1</v>
      </c>
      <c r="FS1" s="174"/>
      <c r="FT1" s="175"/>
      <c r="FU1" s="174" t="str">
        <f>FI3</f>
        <v>F1</v>
      </c>
      <c r="FV1" s="174"/>
      <c r="FW1" s="175"/>
      <c r="FX1" s="174" t="str">
        <f>FI3</f>
        <v>F1</v>
      </c>
      <c r="FY1" s="174"/>
      <c r="FZ1" s="175"/>
      <c r="GA1" s="174" t="str">
        <f>FI3</f>
        <v>F1</v>
      </c>
      <c r="GB1" s="174"/>
      <c r="GC1" s="175"/>
      <c r="GD1" s="177" t="str">
        <f>GD3</f>
        <v>F2</v>
      </c>
      <c r="GE1" s="178"/>
      <c r="GF1" s="179"/>
      <c r="GG1" s="178" t="str">
        <f>GD3</f>
        <v>F2</v>
      </c>
      <c r="GH1" s="178"/>
      <c r="GI1" s="179"/>
      <c r="GJ1" s="178" t="str">
        <f>GD3</f>
        <v>F2</v>
      </c>
      <c r="GK1" s="178"/>
      <c r="GL1" s="179"/>
      <c r="GM1" s="178" t="str">
        <f>GD3</f>
        <v>F2</v>
      </c>
      <c r="GN1" s="178"/>
      <c r="GO1" s="179"/>
      <c r="GP1" s="178" t="str">
        <f>GD3</f>
        <v>F2</v>
      </c>
      <c r="GQ1" s="178"/>
      <c r="GR1" s="179"/>
      <c r="GS1" s="178" t="str">
        <f>GD3</f>
        <v>F2</v>
      </c>
      <c r="GT1" s="178"/>
      <c r="GU1" s="179"/>
      <c r="GV1" s="178" t="str">
        <f>GD3</f>
        <v>F2</v>
      </c>
      <c r="GW1" s="178"/>
      <c r="GX1" s="179"/>
      <c r="GY1" s="182" t="str">
        <f t="shared" ref="GY1:IX1" si="0">$GY$3</f>
        <v>AUTOMATIC</v>
      </c>
      <c r="GZ1" s="181"/>
      <c r="HA1" s="181"/>
      <c r="HB1" s="180" t="str">
        <f t="shared" si="0"/>
        <v>AUTOMATIC</v>
      </c>
      <c r="HC1" s="181"/>
      <c r="HD1" s="181"/>
      <c r="HE1" s="180" t="str">
        <f t="shared" si="0"/>
        <v>AUTOMATIC</v>
      </c>
      <c r="HF1" s="181"/>
      <c r="HG1" s="181"/>
      <c r="HH1" s="180" t="str">
        <f t="shared" si="0"/>
        <v>AUTOMATIC</v>
      </c>
      <c r="HI1" s="181"/>
      <c r="HJ1" s="181"/>
      <c r="HK1" s="180" t="str">
        <f t="shared" si="0"/>
        <v>AUTOMATIC</v>
      </c>
      <c r="HL1" s="181"/>
      <c r="HM1" s="181"/>
      <c r="HN1" s="180" t="str">
        <f t="shared" si="0"/>
        <v>AUTOMATIC</v>
      </c>
      <c r="HO1" s="181"/>
      <c r="HP1" s="181"/>
      <c r="HQ1" s="180" t="str">
        <f t="shared" si="0"/>
        <v>AUTOMATIC</v>
      </c>
      <c r="HR1" s="181"/>
      <c r="HS1" s="181"/>
      <c r="HT1" s="180" t="str">
        <f t="shared" si="0"/>
        <v>AUTOMATIC</v>
      </c>
      <c r="HU1" s="181"/>
      <c r="HV1" s="181"/>
      <c r="HW1" s="180" t="str">
        <f t="shared" si="0"/>
        <v>AUTOMATIC</v>
      </c>
      <c r="HX1" s="181"/>
      <c r="HY1" s="181"/>
      <c r="HZ1" s="180" t="str">
        <f t="shared" si="0"/>
        <v>AUTOMATIC</v>
      </c>
      <c r="IA1" s="181"/>
      <c r="IB1" s="181"/>
      <c r="IC1" s="180" t="str">
        <f t="shared" si="0"/>
        <v>AUTOMATIC</v>
      </c>
      <c r="ID1" s="181"/>
      <c r="IE1" s="181"/>
      <c r="IF1" s="180" t="str">
        <f t="shared" si="0"/>
        <v>AUTOMATIC</v>
      </c>
      <c r="IG1" s="181"/>
      <c r="IH1" s="181"/>
      <c r="II1" s="180" t="str">
        <f t="shared" si="0"/>
        <v>AUTOMATIC</v>
      </c>
      <c r="IJ1" s="181"/>
      <c r="IK1" s="181"/>
      <c r="IL1" s="180" t="str">
        <f t="shared" si="0"/>
        <v>AUTOMATIC</v>
      </c>
      <c r="IM1" s="181"/>
      <c r="IN1" s="181"/>
      <c r="IO1" s="180" t="str">
        <f t="shared" si="0"/>
        <v>AUTOMATIC</v>
      </c>
      <c r="IP1" s="181"/>
      <c r="IQ1" s="181"/>
      <c r="IR1" s="180" t="str">
        <f t="shared" si="0"/>
        <v>AUTOMATIC</v>
      </c>
      <c r="IS1" s="181"/>
      <c r="IT1" s="181"/>
      <c r="IU1" s="180" t="str">
        <f t="shared" si="0"/>
        <v>AUTOMATIC</v>
      </c>
      <c r="IV1" s="181"/>
      <c r="IW1" s="181"/>
      <c r="IX1" s="180" t="str">
        <f t="shared" si="0"/>
        <v>AUTOMATIC</v>
      </c>
      <c r="IY1" s="181"/>
      <c r="IZ1" s="181"/>
      <c r="JA1" s="78"/>
    </row>
    <row r="2" spans="1:261" s="33" customFormat="1" ht="33" customHeight="1" thickBot="1" x14ac:dyDescent="0.3">
      <c r="A2" s="54" t="s">
        <v>46</v>
      </c>
      <c r="B2" s="58" t="s">
        <v>73</v>
      </c>
      <c r="C2" s="55" t="s">
        <v>45</v>
      </c>
      <c r="D2" s="59" t="s">
        <v>73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151">
        <f>SUM(AB7:AB96)</f>
        <v>0</v>
      </c>
      <c r="R2" s="152"/>
      <c r="S2" s="56"/>
      <c r="T2" s="56"/>
      <c r="U2" s="56"/>
      <c r="V2" s="56"/>
      <c r="W2" s="56"/>
      <c r="X2" s="57"/>
      <c r="Y2" s="37"/>
      <c r="Z2" s="37"/>
      <c r="AA2" s="37"/>
      <c r="AB2" s="151">
        <f>O97</f>
        <v>0</v>
      </c>
      <c r="AC2" s="152"/>
      <c r="AD2" s="38"/>
      <c r="AE2" s="38"/>
      <c r="AF2" s="38"/>
      <c r="AG2" s="38"/>
      <c r="AH2" s="38"/>
      <c r="AI2" s="38"/>
      <c r="AJ2" s="38"/>
      <c r="AK2" s="38"/>
      <c r="AL2" s="38"/>
      <c r="AM2" s="123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9"/>
      <c r="BH2" s="117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9"/>
      <c r="CC2" s="117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9"/>
      <c r="CX2" s="39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1"/>
      <c r="DS2" s="39"/>
      <c r="DT2" s="40"/>
      <c r="DU2" s="40"/>
      <c r="DV2" s="40"/>
      <c r="DW2" s="40"/>
      <c r="DX2" s="40"/>
      <c r="DY2" s="40"/>
      <c r="DZ2" s="40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3"/>
      <c r="EN2" s="39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4"/>
      <c r="FI2" s="39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1"/>
      <c r="GD2" s="39"/>
      <c r="GE2" s="40"/>
      <c r="GF2" s="40"/>
      <c r="GG2" s="40"/>
      <c r="GH2" s="40"/>
      <c r="GI2" s="40"/>
      <c r="GJ2" s="40"/>
      <c r="GK2" s="40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3"/>
      <c r="GY2" s="39"/>
      <c r="GZ2" s="40"/>
      <c r="HA2" s="40"/>
      <c r="HB2" s="40"/>
      <c r="HC2" s="40"/>
      <c r="HD2" s="40"/>
      <c r="HE2" s="40"/>
      <c r="HF2" s="40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0"/>
      <c r="HT2" s="40"/>
      <c r="HU2" s="40"/>
      <c r="HV2" s="40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0"/>
      <c r="IJ2" s="40"/>
      <c r="IK2" s="40"/>
      <c r="IL2" s="40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3"/>
    </row>
    <row r="3" spans="1:261" ht="14.25" customHeight="1" x14ac:dyDescent="0.3">
      <c r="A3" s="139" t="s">
        <v>52</v>
      </c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1"/>
      <c r="AC3" s="145" t="s">
        <v>14</v>
      </c>
      <c r="AD3" s="146"/>
      <c r="AE3" s="146"/>
      <c r="AF3" s="146"/>
      <c r="AG3" s="146"/>
      <c r="AH3" s="146"/>
      <c r="AI3" s="146"/>
      <c r="AJ3" s="146"/>
      <c r="AK3" s="146"/>
      <c r="AL3" s="147"/>
      <c r="AM3" s="121" t="s">
        <v>37</v>
      </c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2"/>
      <c r="BH3" s="13"/>
      <c r="BI3" s="120" t="s">
        <v>38</v>
      </c>
      <c r="BJ3" s="121"/>
      <c r="BK3" s="121"/>
      <c r="BL3" s="121"/>
      <c r="BM3" s="121"/>
      <c r="BN3" s="121"/>
      <c r="BO3" s="121"/>
      <c r="BP3" s="121"/>
      <c r="BQ3" s="121"/>
      <c r="BR3" s="121"/>
      <c r="BS3" s="121"/>
      <c r="BT3" s="121"/>
      <c r="BU3" s="121"/>
      <c r="BV3" s="121"/>
      <c r="BW3" s="121"/>
      <c r="BX3" s="121"/>
      <c r="BY3" s="121"/>
      <c r="BZ3" s="121"/>
      <c r="CA3" s="121"/>
      <c r="CB3" s="122"/>
      <c r="CC3" s="13"/>
      <c r="CD3" s="120" t="s">
        <v>39</v>
      </c>
      <c r="CE3" s="121"/>
      <c r="CF3" s="121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  <c r="CS3" s="121"/>
      <c r="CT3" s="121"/>
      <c r="CU3" s="121"/>
      <c r="CV3" s="121"/>
      <c r="CW3" s="122"/>
      <c r="CX3" s="120" t="s">
        <v>40</v>
      </c>
      <c r="CY3" s="121"/>
      <c r="CZ3" s="121"/>
      <c r="DA3" s="121"/>
      <c r="DB3" s="121"/>
      <c r="DC3" s="121"/>
      <c r="DD3" s="121"/>
      <c r="DE3" s="121"/>
      <c r="DF3" s="121"/>
      <c r="DG3" s="121"/>
      <c r="DH3" s="121"/>
      <c r="DI3" s="121"/>
      <c r="DJ3" s="121"/>
      <c r="DK3" s="121"/>
      <c r="DL3" s="121"/>
      <c r="DM3" s="121"/>
      <c r="DN3" s="121"/>
      <c r="DO3" s="121"/>
      <c r="DP3" s="121"/>
      <c r="DQ3" s="121"/>
      <c r="DR3" s="122"/>
      <c r="DS3" s="120" t="s">
        <v>17</v>
      </c>
      <c r="DT3" s="121"/>
      <c r="DU3" s="121"/>
      <c r="DV3" s="121"/>
      <c r="DW3" s="121"/>
      <c r="DX3" s="121"/>
      <c r="DY3" s="121"/>
      <c r="DZ3" s="121"/>
      <c r="EA3" s="121"/>
      <c r="EB3" s="121"/>
      <c r="EC3" s="121"/>
      <c r="ED3" s="121"/>
      <c r="EE3" s="121"/>
      <c r="EF3" s="121"/>
      <c r="EG3" s="121"/>
      <c r="EH3" s="121"/>
      <c r="EI3" s="121"/>
      <c r="EJ3" s="121"/>
      <c r="EK3" s="121"/>
      <c r="EL3" s="121"/>
      <c r="EM3" s="122"/>
      <c r="EN3" s="120" t="s">
        <v>53</v>
      </c>
      <c r="EO3" s="121"/>
      <c r="EP3" s="121"/>
      <c r="EQ3" s="121"/>
      <c r="ER3" s="121"/>
      <c r="ES3" s="121"/>
      <c r="ET3" s="121"/>
      <c r="EU3" s="121"/>
      <c r="EV3" s="121"/>
      <c r="EW3" s="121"/>
      <c r="EX3" s="121"/>
      <c r="EY3" s="121"/>
      <c r="EZ3" s="121"/>
      <c r="FA3" s="121"/>
      <c r="FB3" s="121"/>
      <c r="FC3" s="121"/>
      <c r="FD3" s="121"/>
      <c r="FE3" s="121"/>
      <c r="FF3" s="121"/>
      <c r="FG3" s="121"/>
      <c r="FH3" s="157"/>
      <c r="FI3" s="120" t="s">
        <v>42</v>
      </c>
      <c r="FJ3" s="121"/>
      <c r="FK3" s="121"/>
      <c r="FL3" s="121"/>
      <c r="FM3" s="121"/>
      <c r="FN3" s="121"/>
      <c r="FO3" s="121"/>
      <c r="FP3" s="121"/>
      <c r="FQ3" s="121"/>
      <c r="FR3" s="121"/>
      <c r="FS3" s="121"/>
      <c r="FT3" s="121"/>
      <c r="FU3" s="121"/>
      <c r="FV3" s="121"/>
      <c r="FW3" s="121"/>
      <c r="FX3" s="121"/>
      <c r="FY3" s="121"/>
      <c r="FZ3" s="121"/>
      <c r="GA3" s="121"/>
      <c r="GB3" s="121"/>
      <c r="GC3" s="122"/>
      <c r="GD3" s="120" t="s">
        <v>43</v>
      </c>
      <c r="GE3" s="121"/>
      <c r="GF3" s="121"/>
      <c r="GG3" s="121"/>
      <c r="GH3" s="121"/>
      <c r="GI3" s="121"/>
      <c r="GJ3" s="121"/>
      <c r="GK3" s="121"/>
      <c r="GL3" s="121"/>
      <c r="GM3" s="121"/>
      <c r="GN3" s="121"/>
      <c r="GO3" s="121"/>
      <c r="GP3" s="121"/>
      <c r="GQ3" s="121"/>
      <c r="GR3" s="121"/>
      <c r="GS3" s="121"/>
      <c r="GT3" s="121"/>
      <c r="GU3" s="121"/>
      <c r="GV3" s="121"/>
      <c r="GW3" s="121"/>
      <c r="GX3" s="122"/>
      <c r="GY3" s="153" t="s">
        <v>57</v>
      </c>
      <c r="GZ3" s="154"/>
      <c r="HA3" s="154"/>
      <c r="HB3" s="154"/>
      <c r="HC3" s="154"/>
      <c r="HD3" s="154"/>
      <c r="HE3" s="154"/>
      <c r="HF3" s="154"/>
      <c r="HG3" s="154"/>
      <c r="HH3" s="154"/>
      <c r="HI3" s="154"/>
      <c r="HJ3" s="154"/>
      <c r="HK3" s="154"/>
      <c r="HL3" s="154"/>
      <c r="HM3" s="154"/>
      <c r="HN3" s="154"/>
      <c r="HO3" s="154"/>
      <c r="HP3" s="154"/>
      <c r="HQ3" s="154"/>
      <c r="HR3" s="154"/>
      <c r="HS3" s="154"/>
      <c r="HT3" s="154"/>
      <c r="HU3" s="154"/>
      <c r="HV3" s="154"/>
      <c r="HW3" s="154"/>
      <c r="HX3" s="154"/>
      <c r="HY3" s="154"/>
      <c r="HZ3" s="154"/>
      <c r="IA3" s="154"/>
      <c r="IB3" s="154"/>
      <c r="IC3" s="154"/>
      <c r="ID3" s="154"/>
      <c r="IE3" s="154"/>
      <c r="IF3" s="154"/>
      <c r="IG3" s="154"/>
      <c r="IH3" s="154"/>
      <c r="II3" s="154"/>
      <c r="IJ3" s="154"/>
      <c r="IK3" s="154"/>
      <c r="IL3" s="154"/>
      <c r="IM3" s="154"/>
      <c r="IN3" s="154"/>
      <c r="IO3" s="154"/>
      <c r="IP3" s="154"/>
      <c r="IQ3" s="154"/>
      <c r="IR3" s="154"/>
      <c r="IS3" s="154"/>
      <c r="IT3" s="154"/>
      <c r="IU3" s="154"/>
      <c r="IV3" s="154"/>
      <c r="IW3" s="154"/>
      <c r="IX3" s="154"/>
      <c r="IY3" s="154"/>
      <c r="IZ3" s="155"/>
    </row>
    <row r="4" spans="1:261" ht="13.5" thickBot="1" x14ac:dyDescent="0.35">
      <c r="A4" s="142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/>
      <c r="AC4" s="148"/>
      <c r="AD4" s="149"/>
      <c r="AE4" s="149"/>
      <c r="AF4" s="149"/>
      <c r="AG4" s="149"/>
      <c r="AH4" s="149"/>
      <c r="AI4" s="149"/>
      <c r="AJ4" s="149"/>
      <c r="AK4" s="149"/>
      <c r="AL4" s="150"/>
      <c r="AM4" s="127" t="s">
        <v>5</v>
      </c>
      <c r="AN4" s="124" t="s">
        <v>3</v>
      </c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6"/>
      <c r="BH4" s="127" t="s">
        <v>5</v>
      </c>
      <c r="BI4" s="124" t="s">
        <v>3</v>
      </c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125"/>
      <c r="BX4" s="125"/>
      <c r="BY4" s="125"/>
      <c r="BZ4" s="125"/>
      <c r="CA4" s="125"/>
      <c r="CB4" s="126"/>
      <c r="CC4" s="127" t="s">
        <v>5</v>
      </c>
      <c r="CD4" s="124" t="s">
        <v>3</v>
      </c>
      <c r="CE4" s="125"/>
      <c r="CF4" s="125"/>
      <c r="CG4" s="125"/>
      <c r="CH4" s="125"/>
      <c r="CI4" s="125"/>
      <c r="CJ4" s="125"/>
      <c r="CK4" s="125"/>
      <c r="CL4" s="125"/>
      <c r="CM4" s="125"/>
      <c r="CN4" s="125"/>
      <c r="CO4" s="125"/>
      <c r="CP4" s="125"/>
      <c r="CQ4" s="125"/>
      <c r="CR4" s="125"/>
      <c r="CS4" s="125"/>
      <c r="CT4" s="125"/>
      <c r="CU4" s="125"/>
      <c r="CV4" s="125"/>
      <c r="CW4" s="126"/>
      <c r="CX4" s="130" t="s">
        <v>5</v>
      </c>
      <c r="CY4" s="124" t="s">
        <v>3</v>
      </c>
      <c r="CZ4" s="125"/>
      <c r="DA4" s="125"/>
      <c r="DB4" s="125"/>
      <c r="DC4" s="125"/>
      <c r="DD4" s="125"/>
      <c r="DE4" s="125"/>
      <c r="DF4" s="125"/>
      <c r="DG4" s="125"/>
      <c r="DH4" s="125"/>
      <c r="DI4" s="125"/>
      <c r="DJ4" s="125"/>
      <c r="DK4" s="125"/>
      <c r="DL4" s="125"/>
      <c r="DM4" s="125"/>
      <c r="DN4" s="125"/>
      <c r="DO4" s="125"/>
      <c r="DP4" s="125"/>
      <c r="DQ4" s="125"/>
      <c r="DR4" s="126"/>
      <c r="DS4" s="130" t="s">
        <v>5</v>
      </c>
      <c r="DT4" s="124" t="s">
        <v>3</v>
      </c>
      <c r="DU4" s="125"/>
      <c r="DV4" s="125"/>
      <c r="DW4" s="125"/>
      <c r="DX4" s="125"/>
      <c r="DY4" s="125"/>
      <c r="DZ4" s="125"/>
      <c r="EA4" s="125"/>
      <c r="EB4" s="125"/>
      <c r="EC4" s="125"/>
      <c r="ED4" s="125"/>
      <c r="EE4" s="125"/>
      <c r="EF4" s="125"/>
      <c r="EG4" s="125"/>
      <c r="EH4" s="125"/>
      <c r="EI4" s="125"/>
      <c r="EJ4" s="125"/>
      <c r="EK4" s="125"/>
      <c r="EL4" s="125"/>
      <c r="EM4" s="126"/>
      <c r="EN4" s="130" t="s">
        <v>5</v>
      </c>
      <c r="EO4" s="124" t="s">
        <v>3</v>
      </c>
      <c r="EP4" s="125"/>
      <c r="EQ4" s="125"/>
      <c r="ER4" s="125"/>
      <c r="ES4" s="125"/>
      <c r="ET4" s="125"/>
      <c r="EU4" s="125"/>
      <c r="EV4" s="125"/>
      <c r="EW4" s="125"/>
      <c r="EX4" s="125"/>
      <c r="EY4" s="125"/>
      <c r="EZ4" s="125"/>
      <c r="FA4" s="125"/>
      <c r="FB4" s="125"/>
      <c r="FC4" s="125"/>
      <c r="FD4" s="125"/>
      <c r="FE4" s="125"/>
      <c r="FF4" s="125"/>
      <c r="FG4" s="125"/>
      <c r="FH4" s="156"/>
      <c r="FI4" s="130" t="s">
        <v>5</v>
      </c>
      <c r="FJ4" s="124" t="s">
        <v>3</v>
      </c>
      <c r="FK4" s="125"/>
      <c r="FL4" s="125"/>
      <c r="FM4" s="125"/>
      <c r="FN4" s="125"/>
      <c r="FO4" s="125"/>
      <c r="FP4" s="125"/>
      <c r="FQ4" s="125"/>
      <c r="FR4" s="125"/>
      <c r="FS4" s="125"/>
      <c r="FT4" s="125"/>
      <c r="FU4" s="125"/>
      <c r="FV4" s="125"/>
      <c r="FW4" s="125"/>
      <c r="FX4" s="125"/>
      <c r="FY4" s="125"/>
      <c r="FZ4" s="125"/>
      <c r="GA4" s="125"/>
      <c r="GB4" s="125"/>
      <c r="GC4" s="126"/>
      <c r="GD4" s="130" t="s">
        <v>5</v>
      </c>
      <c r="GE4" s="124" t="s">
        <v>3</v>
      </c>
      <c r="GF4" s="125"/>
      <c r="GG4" s="125"/>
      <c r="GH4" s="125"/>
      <c r="GI4" s="125"/>
      <c r="GJ4" s="125"/>
      <c r="GK4" s="125"/>
      <c r="GL4" s="125"/>
      <c r="GM4" s="125"/>
      <c r="GN4" s="125"/>
      <c r="GO4" s="125"/>
      <c r="GP4" s="125"/>
      <c r="GQ4" s="125"/>
      <c r="GR4" s="125"/>
      <c r="GS4" s="125"/>
      <c r="GT4" s="125"/>
      <c r="GU4" s="125"/>
      <c r="GV4" s="125"/>
      <c r="GW4" s="125"/>
      <c r="GX4" s="126"/>
      <c r="GY4" s="130" t="s">
        <v>5</v>
      </c>
      <c r="GZ4" s="153" t="s">
        <v>3</v>
      </c>
      <c r="HA4" s="154"/>
      <c r="HB4" s="154"/>
      <c r="HC4" s="154"/>
      <c r="HD4" s="154"/>
      <c r="HE4" s="154"/>
      <c r="HF4" s="154"/>
      <c r="HG4" s="154"/>
      <c r="HH4" s="154"/>
      <c r="HI4" s="154"/>
      <c r="HJ4" s="154"/>
      <c r="HK4" s="154"/>
      <c r="HL4" s="154"/>
      <c r="HM4" s="154"/>
      <c r="HN4" s="154"/>
      <c r="HO4" s="154"/>
      <c r="HP4" s="154"/>
      <c r="HQ4" s="154"/>
      <c r="HR4" s="154"/>
      <c r="HS4" s="154"/>
      <c r="HT4" s="154"/>
      <c r="HU4" s="154"/>
      <c r="HV4" s="154"/>
      <c r="HW4" s="154"/>
      <c r="HX4" s="154"/>
      <c r="HY4" s="154"/>
      <c r="HZ4" s="154"/>
      <c r="IA4" s="154"/>
      <c r="IB4" s="154"/>
      <c r="IC4" s="154"/>
      <c r="ID4" s="154"/>
      <c r="IE4" s="154"/>
      <c r="IF4" s="154"/>
      <c r="IG4" s="154"/>
      <c r="IH4" s="154"/>
      <c r="II4" s="154"/>
      <c r="IJ4" s="154"/>
      <c r="IK4" s="154"/>
      <c r="IL4" s="154"/>
      <c r="IM4" s="154"/>
      <c r="IN4" s="154"/>
      <c r="IO4" s="154"/>
      <c r="IP4" s="154"/>
      <c r="IQ4" s="154"/>
      <c r="IR4" s="154"/>
      <c r="IS4" s="154"/>
      <c r="IT4" s="154"/>
      <c r="IU4" s="154"/>
      <c r="IV4" s="154"/>
      <c r="IW4" s="154"/>
      <c r="IX4" s="154"/>
      <c r="IY4" s="154"/>
      <c r="IZ4" s="155"/>
    </row>
    <row r="5" spans="1:261" ht="67.5" thickBot="1" x14ac:dyDescent="0.3">
      <c r="A5" s="14" t="s">
        <v>41</v>
      </c>
      <c r="B5" s="15" t="s">
        <v>18</v>
      </c>
      <c r="C5" s="15" t="s">
        <v>19</v>
      </c>
      <c r="D5" s="15" t="s">
        <v>20</v>
      </c>
      <c r="E5" s="16" t="s">
        <v>26</v>
      </c>
      <c r="F5" s="17" t="s">
        <v>27</v>
      </c>
      <c r="G5" s="17" t="s">
        <v>28</v>
      </c>
      <c r="H5" s="17" t="s">
        <v>29</v>
      </c>
      <c r="I5" s="17" t="s">
        <v>30</v>
      </c>
      <c r="J5" s="17" t="s">
        <v>31</v>
      </c>
      <c r="K5" s="17" t="s">
        <v>32</v>
      </c>
      <c r="L5" s="17" t="s">
        <v>33</v>
      </c>
      <c r="M5" s="17" t="s">
        <v>34</v>
      </c>
      <c r="N5" s="17" t="s">
        <v>35</v>
      </c>
      <c r="O5" s="14" t="s">
        <v>15</v>
      </c>
      <c r="P5" s="15" t="s">
        <v>0</v>
      </c>
      <c r="Q5" s="15" t="s">
        <v>1</v>
      </c>
      <c r="R5" s="14" t="s">
        <v>4</v>
      </c>
      <c r="S5" s="28" t="str">
        <f>AM3</f>
        <v>NORTH</v>
      </c>
      <c r="T5" s="28" t="str">
        <f>BI3</f>
        <v>EAST</v>
      </c>
      <c r="U5" s="28" t="str">
        <f>CD3</f>
        <v>SOUTH</v>
      </c>
      <c r="V5" s="28" t="str">
        <f>CX3</f>
        <v>WEST</v>
      </c>
      <c r="W5" s="28" t="str">
        <f>DS3</f>
        <v>ROOF</v>
      </c>
      <c r="X5" s="28" t="str">
        <f>EN3</f>
        <v>ATRIUM</v>
      </c>
      <c r="Y5" s="28" t="str">
        <f>FI3</f>
        <v>F1</v>
      </c>
      <c r="Z5" s="28" t="str">
        <f>GD3</f>
        <v>F2</v>
      </c>
      <c r="AA5" s="28" t="str">
        <f>GY3</f>
        <v>AUTOMATIC</v>
      </c>
      <c r="AB5" s="14" t="s">
        <v>2</v>
      </c>
      <c r="AC5" s="18" t="s">
        <v>9</v>
      </c>
      <c r="AD5" s="14" t="s">
        <v>10</v>
      </c>
      <c r="AE5" s="14" t="s">
        <v>11</v>
      </c>
      <c r="AF5" s="14" t="s">
        <v>6</v>
      </c>
      <c r="AG5" s="14" t="s">
        <v>7</v>
      </c>
      <c r="AH5" s="14" t="s">
        <v>12</v>
      </c>
      <c r="AI5" s="14" t="s">
        <v>13</v>
      </c>
      <c r="AJ5" s="14" t="s">
        <v>8</v>
      </c>
      <c r="AK5" s="14" t="s">
        <v>16</v>
      </c>
      <c r="AL5" s="19" t="s">
        <v>22</v>
      </c>
      <c r="AM5" s="128"/>
      <c r="AN5" s="20">
        <f t="shared" ref="AN5:BG5" si="1">SUMPRODUCT(AN7:AN96,$R7:$R96)</f>
        <v>0</v>
      </c>
      <c r="AO5" s="20">
        <f t="shared" si="1"/>
        <v>0</v>
      </c>
      <c r="AP5" s="20">
        <f t="shared" si="1"/>
        <v>0</v>
      </c>
      <c r="AQ5" s="20">
        <f t="shared" si="1"/>
        <v>0</v>
      </c>
      <c r="AR5" s="20">
        <f t="shared" si="1"/>
        <v>0</v>
      </c>
      <c r="AS5" s="20">
        <f t="shared" si="1"/>
        <v>0</v>
      </c>
      <c r="AT5" s="20">
        <f t="shared" si="1"/>
        <v>0</v>
      </c>
      <c r="AU5" s="20">
        <f t="shared" si="1"/>
        <v>0</v>
      </c>
      <c r="AV5" s="20">
        <f t="shared" si="1"/>
        <v>0</v>
      </c>
      <c r="AW5" s="20">
        <f t="shared" si="1"/>
        <v>0</v>
      </c>
      <c r="AX5" s="20">
        <f t="shared" si="1"/>
        <v>0</v>
      </c>
      <c r="AY5" s="20">
        <f t="shared" si="1"/>
        <v>0</v>
      </c>
      <c r="AZ5" s="20">
        <f t="shared" si="1"/>
        <v>0</v>
      </c>
      <c r="BA5" s="20">
        <f t="shared" si="1"/>
        <v>0</v>
      </c>
      <c r="BB5" s="20">
        <f t="shared" si="1"/>
        <v>0</v>
      </c>
      <c r="BC5" s="20">
        <f t="shared" si="1"/>
        <v>0</v>
      </c>
      <c r="BD5" s="20">
        <f t="shared" si="1"/>
        <v>0</v>
      </c>
      <c r="BE5" s="20">
        <f t="shared" si="1"/>
        <v>0</v>
      </c>
      <c r="BF5" s="20">
        <f t="shared" si="1"/>
        <v>0</v>
      </c>
      <c r="BG5" s="20">
        <f t="shared" si="1"/>
        <v>0</v>
      </c>
      <c r="BH5" s="128"/>
      <c r="BI5" s="20">
        <f t="shared" ref="BI5:CB5" si="2">SUMPRODUCT(BI7:BI96,$R7:$R96)</f>
        <v>0</v>
      </c>
      <c r="BJ5" s="20">
        <f t="shared" si="2"/>
        <v>0</v>
      </c>
      <c r="BK5" s="20">
        <f t="shared" si="2"/>
        <v>0</v>
      </c>
      <c r="BL5" s="20">
        <f t="shared" si="2"/>
        <v>0</v>
      </c>
      <c r="BM5" s="20">
        <f t="shared" si="2"/>
        <v>0</v>
      </c>
      <c r="BN5" s="20">
        <f t="shared" si="2"/>
        <v>0</v>
      </c>
      <c r="BO5" s="20">
        <f t="shared" si="2"/>
        <v>0</v>
      </c>
      <c r="BP5" s="20">
        <f t="shared" si="2"/>
        <v>0</v>
      </c>
      <c r="BQ5" s="20">
        <f t="shared" si="2"/>
        <v>0</v>
      </c>
      <c r="BR5" s="20">
        <f t="shared" si="2"/>
        <v>0</v>
      </c>
      <c r="BS5" s="20">
        <f t="shared" si="2"/>
        <v>0</v>
      </c>
      <c r="BT5" s="20">
        <f t="shared" si="2"/>
        <v>0</v>
      </c>
      <c r="BU5" s="20">
        <f t="shared" si="2"/>
        <v>0</v>
      </c>
      <c r="BV5" s="20">
        <f t="shared" si="2"/>
        <v>0</v>
      </c>
      <c r="BW5" s="20">
        <f t="shared" si="2"/>
        <v>0</v>
      </c>
      <c r="BX5" s="20">
        <f t="shared" si="2"/>
        <v>0</v>
      </c>
      <c r="BY5" s="20">
        <f t="shared" si="2"/>
        <v>0</v>
      </c>
      <c r="BZ5" s="20">
        <f t="shared" si="2"/>
        <v>0</v>
      </c>
      <c r="CA5" s="20">
        <f t="shared" si="2"/>
        <v>0</v>
      </c>
      <c r="CB5" s="20">
        <f t="shared" si="2"/>
        <v>0</v>
      </c>
      <c r="CC5" s="128"/>
      <c r="CD5" s="20">
        <f t="shared" ref="CD5:CW5" si="3">SUMPRODUCT(CD7:CD96,$R7:$R96)</f>
        <v>0</v>
      </c>
      <c r="CE5" s="20">
        <f t="shared" si="3"/>
        <v>0</v>
      </c>
      <c r="CF5" s="20">
        <f t="shared" si="3"/>
        <v>0</v>
      </c>
      <c r="CG5" s="20">
        <f t="shared" si="3"/>
        <v>0</v>
      </c>
      <c r="CH5" s="20">
        <f t="shared" si="3"/>
        <v>0</v>
      </c>
      <c r="CI5" s="20">
        <f t="shared" si="3"/>
        <v>0</v>
      </c>
      <c r="CJ5" s="20">
        <f t="shared" si="3"/>
        <v>0</v>
      </c>
      <c r="CK5" s="20">
        <f t="shared" si="3"/>
        <v>0</v>
      </c>
      <c r="CL5" s="20">
        <f t="shared" si="3"/>
        <v>0</v>
      </c>
      <c r="CM5" s="20">
        <f t="shared" si="3"/>
        <v>0</v>
      </c>
      <c r="CN5" s="20">
        <f t="shared" si="3"/>
        <v>0</v>
      </c>
      <c r="CO5" s="20">
        <f t="shared" si="3"/>
        <v>0</v>
      </c>
      <c r="CP5" s="20">
        <f t="shared" si="3"/>
        <v>0</v>
      </c>
      <c r="CQ5" s="20">
        <f t="shared" si="3"/>
        <v>0</v>
      </c>
      <c r="CR5" s="20">
        <f t="shared" si="3"/>
        <v>0</v>
      </c>
      <c r="CS5" s="20">
        <f t="shared" si="3"/>
        <v>0</v>
      </c>
      <c r="CT5" s="20">
        <f t="shared" si="3"/>
        <v>0</v>
      </c>
      <c r="CU5" s="20">
        <f t="shared" si="3"/>
        <v>0</v>
      </c>
      <c r="CV5" s="20">
        <f t="shared" si="3"/>
        <v>0</v>
      </c>
      <c r="CW5" s="20">
        <f t="shared" si="3"/>
        <v>0</v>
      </c>
      <c r="CX5" s="131"/>
      <c r="CY5" s="20">
        <f t="shared" ref="CY5:DR5" si="4">SUMPRODUCT(CY7:CY96,$R7:$R96)</f>
        <v>0</v>
      </c>
      <c r="CZ5" s="20">
        <f t="shared" si="4"/>
        <v>0</v>
      </c>
      <c r="DA5" s="20">
        <f t="shared" si="4"/>
        <v>0</v>
      </c>
      <c r="DB5" s="20">
        <f t="shared" si="4"/>
        <v>0</v>
      </c>
      <c r="DC5" s="20">
        <f t="shared" si="4"/>
        <v>0</v>
      </c>
      <c r="DD5" s="20">
        <f t="shared" si="4"/>
        <v>0</v>
      </c>
      <c r="DE5" s="20">
        <f t="shared" si="4"/>
        <v>0</v>
      </c>
      <c r="DF5" s="20">
        <f t="shared" si="4"/>
        <v>0</v>
      </c>
      <c r="DG5" s="20">
        <f t="shared" si="4"/>
        <v>0</v>
      </c>
      <c r="DH5" s="20">
        <f t="shared" si="4"/>
        <v>0</v>
      </c>
      <c r="DI5" s="20">
        <f t="shared" si="4"/>
        <v>0</v>
      </c>
      <c r="DJ5" s="20">
        <f t="shared" si="4"/>
        <v>0</v>
      </c>
      <c r="DK5" s="20">
        <f t="shared" si="4"/>
        <v>0</v>
      </c>
      <c r="DL5" s="20">
        <f t="shared" si="4"/>
        <v>0</v>
      </c>
      <c r="DM5" s="20">
        <f t="shared" si="4"/>
        <v>0</v>
      </c>
      <c r="DN5" s="20">
        <f t="shared" si="4"/>
        <v>0</v>
      </c>
      <c r="DO5" s="20">
        <f t="shared" si="4"/>
        <v>0</v>
      </c>
      <c r="DP5" s="20">
        <f t="shared" si="4"/>
        <v>0</v>
      </c>
      <c r="DQ5" s="20">
        <f t="shared" si="4"/>
        <v>0</v>
      </c>
      <c r="DR5" s="20">
        <f t="shared" si="4"/>
        <v>0</v>
      </c>
      <c r="DS5" s="131"/>
      <c r="DT5" s="20">
        <f t="shared" ref="DT5:EM5" si="5">SUMPRODUCT(DT7:DT96,$R7:$R96)</f>
        <v>0</v>
      </c>
      <c r="DU5" s="20">
        <f t="shared" si="5"/>
        <v>0</v>
      </c>
      <c r="DV5" s="20">
        <f t="shared" si="5"/>
        <v>0</v>
      </c>
      <c r="DW5" s="20">
        <f t="shared" si="5"/>
        <v>0</v>
      </c>
      <c r="DX5" s="20">
        <f t="shared" si="5"/>
        <v>0</v>
      </c>
      <c r="DY5" s="20">
        <f t="shared" si="5"/>
        <v>0</v>
      </c>
      <c r="DZ5" s="20">
        <f t="shared" si="5"/>
        <v>0</v>
      </c>
      <c r="EA5" s="20">
        <f t="shared" si="5"/>
        <v>0</v>
      </c>
      <c r="EB5" s="20">
        <f t="shared" si="5"/>
        <v>0</v>
      </c>
      <c r="EC5" s="20">
        <f t="shared" si="5"/>
        <v>0</v>
      </c>
      <c r="ED5" s="20">
        <f t="shared" si="5"/>
        <v>0</v>
      </c>
      <c r="EE5" s="20">
        <f t="shared" si="5"/>
        <v>0</v>
      </c>
      <c r="EF5" s="20">
        <f t="shared" si="5"/>
        <v>0</v>
      </c>
      <c r="EG5" s="20">
        <f t="shared" si="5"/>
        <v>0</v>
      </c>
      <c r="EH5" s="20">
        <f t="shared" si="5"/>
        <v>0</v>
      </c>
      <c r="EI5" s="20">
        <f t="shared" si="5"/>
        <v>0</v>
      </c>
      <c r="EJ5" s="20">
        <f t="shared" si="5"/>
        <v>0</v>
      </c>
      <c r="EK5" s="20">
        <f t="shared" si="5"/>
        <v>0</v>
      </c>
      <c r="EL5" s="20">
        <f t="shared" si="5"/>
        <v>0</v>
      </c>
      <c r="EM5" s="20">
        <f t="shared" si="5"/>
        <v>0</v>
      </c>
      <c r="EN5" s="131"/>
      <c r="EO5" s="20">
        <f t="shared" ref="EO5:FH5" si="6">SUMPRODUCT(EO7:EO96,$R7:$R96)</f>
        <v>0</v>
      </c>
      <c r="EP5" s="20">
        <f t="shared" si="6"/>
        <v>0</v>
      </c>
      <c r="EQ5" s="20">
        <f t="shared" si="6"/>
        <v>0</v>
      </c>
      <c r="ER5" s="20">
        <f t="shared" si="6"/>
        <v>0</v>
      </c>
      <c r="ES5" s="20">
        <f t="shared" si="6"/>
        <v>0</v>
      </c>
      <c r="ET5" s="20">
        <f t="shared" si="6"/>
        <v>0</v>
      </c>
      <c r="EU5" s="20">
        <f t="shared" si="6"/>
        <v>0</v>
      </c>
      <c r="EV5" s="20">
        <f t="shared" si="6"/>
        <v>0</v>
      </c>
      <c r="EW5" s="20">
        <f t="shared" si="6"/>
        <v>0</v>
      </c>
      <c r="EX5" s="20">
        <f t="shared" si="6"/>
        <v>0</v>
      </c>
      <c r="EY5" s="20">
        <f t="shared" si="6"/>
        <v>0</v>
      </c>
      <c r="EZ5" s="20">
        <f t="shared" si="6"/>
        <v>0</v>
      </c>
      <c r="FA5" s="20">
        <f t="shared" si="6"/>
        <v>0</v>
      </c>
      <c r="FB5" s="20">
        <f t="shared" si="6"/>
        <v>0</v>
      </c>
      <c r="FC5" s="20">
        <f t="shared" si="6"/>
        <v>0</v>
      </c>
      <c r="FD5" s="20">
        <f t="shared" si="6"/>
        <v>0</v>
      </c>
      <c r="FE5" s="20">
        <f t="shared" si="6"/>
        <v>0</v>
      </c>
      <c r="FF5" s="20">
        <f t="shared" si="6"/>
        <v>0</v>
      </c>
      <c r="FG5" s="20">
        <f t="shared" si="6"/>
        <v>0</v>
      </c>
      <c r="FH5" s="20">
        <f t="shared" si="6"/>
        <v>0</v>
      </c>
      <c r="FI5" s="131"/>
      <c r="FJ5" s="20">
        <f t="shared" ref="FJ5:GC5" si="7">SUMPRODUCT(FJ7:FJ96,$R7:$R96)</f>
        <v>0</v>
      </c>
      <c r="FK5" s="20">
        <f t="shared" si="7"/>
        <v>0</v>
      </c>
      <c r="FL5" s="20">
        <f t="shared" si="7"/>
        <v>0</v>
      </c>
      <c r="FM5" s="20">
        <f t="shared" si="7"/>
        <v>0</v>
      </c>
      <c r="FN5" s="20">
        <f t="shared" si="7"/>
        <v>0</v>
      </c>
      <c r="FO5" s="20">
        <f t="shared" si="7"/>
        <v>0</v>
      </c>
      <c r="FP5" s="20">
        <f t="shared" si="7"/>
        <v>0</v>
      </c>
      <c r="FQ5" s="20">
        <f t="shared" si="7"/>
        <v>0</v>
      </c>
      <c r="FR5" s="20">
        <f t="shared" si="7"/>
        <v>0</v>
      </c>
      <c r="FS5" s="20">
        <f t="shared" si="7"/>
        <v>0</v>
      </c>
      <c r="FT5" s="20">
        <f t="shared" si="7"/>
        <v>0</v>
      </c>
      <c r="FU5" s="20">
        <f t="shared" si="7"/>
        <v>0</v>
      </c>
      <c r="FV5" s="20">
        <f t="shared" si="7"/>
        <v>0</v>
      </c>
      <c r="FW5" s="20">
        <f t="shared" si="7"/>
        <v>0</v>
      </c>
      <c r="FX5" s="20">
        <f t="shared" si="7"/>
        <v>0</v>
      </c>
      <c r="FY5" s="20">
        <f t="shared" si="7"/>
        <v>0</v>
      </c>
      <c r="FZ5" s="20">
        <f t="shared" si="7"/>
        <v>0</v>
      </c>
      <c r="GA5" s="20">
        <f t="shared" si="7"/>
        <v>0</v>
      </c>
      <c r="GB5" s="20">
        <f t="shared" si="7"/>
        <v>0</v>
      </c>
      <c r="GC5" s="20">
        <f t="shared" si="7"/>
        <v>0</v>
      </c>
      <c r="GD5" s="131"/>
      <c r="GE5" s="20">
        <f t="shared" ref="GE5:GX5" si="8">SUMPRODUCT(GE7:GE96,$R7:$R96)</f>
        <v>0</v>
      </c>
      <c r="GF5" s="20">
        <f t="shared" si="8"/>
        <v>0</v>
      </c>
      <c r="GG5" s="20">
        <f t="shared" si="8"/>
        <v>0</v>
      </c>
      <c r="GH5" s="20">
        <f t="shared" si="8"/>
        <v>0</v>
      </c>
      <c r="GI5" s="20">
        <f t="shared" si="8"/>
        <v>0</v>
      </c>
      <c r="GJ5" s="20">
        <f t="shared" si="8"/>
        <v>0</v>
      </c>
      <c r="GK5" s="20">
        <f t="shared" si="8"/>
        <v>0</v>
      </c>
      <c r="GL5" s="20">
        <f t="shared" si="8"/>
        <v>0</v>
      </c>
      <c r="GM5" s="20">
        <f t="shared" si="8"/>
        <v>0</v>
      </c>
      <c r="GN5" s="20">
        <f t="shared" si="8"/>
        <v>0</v>
      </c>
      <c r="GO5" s="20">
        <f t="shared" si="8"/>
        <v>0</v>
      </c>
      <c r="GP5" s="20">
        <f t="shared" si="8"/>
        <v>0</v>
      </c>
      <c r="GQ5" s="20">
        <f t="shared" si="8"/>
        <v>0</v>
      </c>
      <c r="GR5" s="20">
        <f t="shared" si="8"/>
        <v>0</v>
      </c>
      <c r="GS5" s="20">
        <f t="shared" si="8"/>
        <v>0</v>
      </c>
      <c r="GT5" s="20">
        <f t="shared" si="8"/>
        <v>0</v>
      </c>
      <c r="GU5" s="20">
        <f t="shared" si="8"/>
        <v>0</v>
      </c>
      <c r="GV5" s="20">
        <f t="shared" si="8"/>
        <v>0</v>
      </c>
      <c r="GW5" s="20">
        <f t="shared" si="8"/>
        <v>0</v>
      </c>
      <c r="GX5" s="20">
        <f t="shared" si="8"/>
        <v>0</v>
      </c>
      <c r="GY5" s="131"/>
      <c r="GZ5" s="20">
        <f t="shared" ref="GZ5:IE5" si="9">SUMPRODUCT(GZ7:GZ96,$R7:$R96)</f>
        <v>0</v>
      </c>
      <c r="HA5" s="20">
        <f t="shared" si="9"/>
        <v>0</v>
      </c>
      <c r="HB5" s="20">
        <f t="shared" si="9"/>
        <v>0</v>
      </c>
      <c r="HC5" s="20">
        <f t="shared" si="9"/>
        <v>0</v>
      </c>
      <c r="HD5" s="20">
        <f t="shared" si="9"/>
        <v>0</v>
      </c>
      <c r="HE5" s="20">
        <f t="shared" si="9"/>
        <v>0</v>
      </c>
      <c r="HF5" s="20">
        <f t="shared" si="9"/>
        <v>0</v>
      </c>
      <c r="HG5" s="20">
        <f t="shared" si="9"/>
        <v>0</v>
      </c>
      <c r="HH5" s="20">
        <f t="shared" si="9"/>
        <v>0</v>
      </c>
      <c r="HI5" s="20">
        <f t="shared" si="9"/>
        <v>0</v>
      </c>
      <c r="HJ5" s="20">
        <f t="shared" si="9"/>
        <v>0</v>
      </c>
      <c r="HK5" s="20">
        <f t="shared" si="9"/>
        <v>0</v>
      </c>
      <c r="HL5" s="20">
        <f t="shared" si="9"/>
        <v>0</v>
      </c>
      <c r="HM5" s="20">
        <f t="shared" si="9"/>
        <v>0</v>
      </c>
      <c r="HN5" s="20">
        <f t="shared" si="9"/>
        <v>0</v>
      </c>
      <c r="HO5" s="20">
        <f t="shared" si="9"/>
        <v>0</v>
      </c>
      <c r="HP5" s="20">
        <f t="shared" si="9"/>
        <v>0</v>
      </c>
      <c r="HQ5" s="20">
        <f t="shared" si="9"/>
        <v>0</v>
      </c>
      <c r="HR5" s="20">
        <f t="shared" si="9"/>
        <v>0</v>
      </c>
      <c r="HS5" s="20">
        <f t="shared" si="9"/>
        <v>0</v>
      </c>
      <c r="HT5" s="20">
        <f t="shared" si="9"/>
        <v>0</v>
      </c>
      <c r="HU5" s="20">
        <f t="shared" si="9"/>
        <v>0</v>
      </c>
      <c r="HV5" s="20">
        <f t="shared" si="9"/>
        <v>0</v>
      </c>
      <c r="HW5" s="20">
        <f t="shared" si="9"/>
        <v>0</v>
      </c>
      <c r="HX5" s="20">
        <f t="shared" si="9"/>
        <v>0</v>
      </c>
      <c r="HY5" s="20">
        <f t="shared" si="9"/>
        <v>0</v>
      </c>
      <c r="HZ5" s="20">
        <f t="shared" si="9"/>
        <v>0</v>
      </c>
      <c r="IA5" s="20">
        <f t="shared" si="9"/>
        <v>0</v>
      </c>
      <c r="IB5" s="20">
        <f t="shared" si="9"/>
        <v>0</v>
      </c>
      <c r="IC5" s="20">
        <f t="shared" si="9"/>
        <v>0</v>
      </c>
      <c r="ID5" s="20">
        <f t="shared" si="9"/>
        <v>0</v>
      </c>
      <c r="IE5" s="20">
        <f t="shared" si="9"/>
        <v>0</v>
      </c>
      <c r="IF5" s="20">
        <f t="shared" ref="IF5:IZ5" si="10">SUMPRODUCT(IF7:IF96,$R7:$R96)</f>
        <v>0</v>
      </c>
      <c r="IG5" s="20">
        <f t="shared" si="10"/>
        <v>0</v>
      </c>
      <c r="IH5" s="20">
        <f t="shared" si="10"/>
        <v>0</v>
      </c>
      <c r="II5" s="20">
        <f t="shared" si="10"/>
        <v>0</v>
      </c>
      <c r="IJ5" s="20">
        <f t="shared" si="10"/>
        <v>0</v>
      </c>
      <c r="IK5" s="20">
        <f t="shared" si="10"/>
        <v>0</v>
      </c>
      <c r="IL5" s="20">
        <f t="shared" si="10"/>
        <v>0</v>
      </c>
      <c r="IM5" s="20">
        <f t="shared" si="10"/>
        <v>0</v>
      </c>
      <c r="IN5" s="20">
        <f t="shared" si="10"/>
        <v>0</v>
      </c>
      <c r="IO5" s="20">
        <f t="shared" si="10"/>
        <v>0</v>
      </c>
      <c r="IP5" s="20">
        <f t="shared" si="10"/>
        <v>0</v>
      </c>
      <c r="IQ5" s="20">
        <f t="shared" si="10"/>
        <v>0</v>
      </c>
      <c r="IR5" s="20">
        <f t="shared" si="10"/>
        <v>0</v>
      </c>
      <c r="IS5" s="20">
        <f t="shared" si="10"/>
        <v>0</v>
      </c>
      <c r="IT5" s="20">
        <f t="shared" si="10"/>
        <v>0</v>
      </c>
      <c r="IU5" s="20">
        <f t="shared" si="10"/>
        <v>0</v>
      </c>
      <c r="IV5" s="20">
        <f t="shared" si="10"/>
        <v>0</v>
      </c>
      <c r="IW5" s="20">
        <f t="shared" si="10"/>
        <v>0</v>
      </c>
      <c r="IX5" s="20">
        <f t="shared" si="10"/>
        <v>0</v>
      </c>
      <c r="IY5" s="20">
        <f t="shared" si="10"/>
        <v>0</v>
      </c>
      <c r="IZ5" s="20">
        <f t="shared" si="10"/>
        <v>0</v>
      </c>
    </row>
    <row r="6" spans="1:261" ht="13.5" thickBot="1" x14ac:dyDescent="0.35">
      <c r="A6" s="21"/>
      <c r="B6" s="21"/>
      <c r="C6" s="21"/>
      <c r="D6" s="21"/>
      <c r="E6" s="136" t="s">
        <v>36</v>
      </c>
      <c r="F6" s="137"/>
      <c r="G6" s="137"/>
      <c r="H6" s="137"/>
      <c r="I6" s="137"/>
      <c r="J6" s="137"/>
      <c r="K6" s="137"/>
      <c r="L6" s="137"/>
      <c r="M6" s="137"/>
      <c r="N6" s="138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79" t="s">
        <v>65</v>
      </c>
      <c r="AD6" s="21" t="s">
        <v>66</v>
      </c>
      <c r="AE6" s="21" t="s">
        <v>66</v>
      </c>
      <c r="AF6" s="79" t="s">
        <v>65</v>
      </c>
      <c r="AG6" s="21" t="s">
        <v>66</v>
      </c>
      <c r="AH6" s="21" t="s">
        <v>66</v>
      </c>
      <c r="AI6" s="79" t="s">
        <v>65</v>
      </c>
      <c r="AJ6" s="21" t="s">
        <v>66</v>
      </c>
      <c r="AK6" s="21" t="s">
        <v>66</v>
      </c>
      <c r="AL6" s="79" t="s">
        <v>65</v>
      </c>
      <c r="AM6" s="129"/>
      <c r="AN6" s="64" t="s">
        <v>23</v>
      </c>
      <c r="AO6" s="64" t="s">
        <v>24</v>
      </c>
      <c r="AP6" s="64">
        <v>1</v>
      </c>
      <c r="AQ6" s="64">
        <v>2</v>
      </c>
      <c r="AR6" s="64">
        <v>3</v>
      </c>
      <c r="AS6" s="64">
        <v>4</v>
      </c>
      <c r="AT6" s="64">
        <v>5</v>
      </c>
      <c r="AU6" s="64">
        <v>6</v>
      </c>
      <c r="AV6" s="64">
        <v>7</v>
      </c>
      <c r="AW6" s="64">
        <v>8</v>
      </c>
      <c r="AX6" s="64">
        <v>9</v>
      </c>
      <c r="AY6" s="64">
        <v>10</v>
      </c>
      <c r="AZ6" s="64">
        <v>11</v>
      </c>
      <c r="BA6" s="64">
        <v>12</v>
      </c>
      <c r="BB6" s="64">
        <v>13</v>
      </c>
      <c r="BC6" s="64">
        <v>14</v>
      </c>
      <c r="BD6" s="64">
        <v>15</v>
      </c>
      <c r="BE6" s="64">
        <v>16</v>
      </c>
      <c r="BF6" s="64">
        <v>17</v>
      </c>
      <c r="BG6" s="64" t="s">
        <v>25</v>
      </c>
      <c r="BH6" s="129"/>
      <c r="BI6" s="64" t="s">
        <v>23</v>
      </c>
      <c r="BJ6" s="64" t="s">
        <v>24</v>
      </c>
      <c r="BK6" s="64">
        <v>1</v>
      </c>
      <c r="BL6" s="64">
        <v>2</v>
      </c>
      <c r="BM6" s="64">
        <v>3</v>
      </c>
      <c r="BN6" s="64">
        <v>4</v>
      </c>
      <c r="BO6" s="64">
        <v>5</v>
      </c>
      <c r="BP6" s="64">
        <v>6</v>
      </c>
      <c r="BQ6" s="64">
        <v>7</v>
      </c>
      <c r="BR6" s="64">
        <v>8</v>
      </c>
      <c r="BS6" s="64">
        <v>9</v>
      </c>
      <c r="BT6" s="64">
        <v>10</v>
      </c>
      <c r="BU6" s="64">
        <v>11</v>
      </c>
      <c r="BV6" s="64">
        <v>12</v>
      </c>
      <c r="BW6" s="64">
        <v>13</v>
      </c>
      <c r="BX6" s="64">
        <v>14</v>
      </c>
      <c r="BY6" s="64">
        <v>15</v>
      </c>
      <c r="BZ6" s="64">
        <v>16</v>
      </c>
      <c r="CA6" s="64">
        <v>17</v>
      </c>
      <c r="CB6" s="64" t="s">
        <v>25</v>
      </c>
      <c r="CC6" s="129"/>
      <c r="CD6" s="64" t="s">
        <v>23</v>
      </c>
      <c r="CE6" s="64" t="s">
        <v>24</v>
      </c>
      <c r="CF6" s="64">
        <v>1</v>
      </c>
      <c r="CG6" s="64">
        <v>2</v>
      </c>
      <c r="CH6" s="64">
        <v>3</v>
      </c>
      <c r="CI6" s="64">
        <v>4</v>
      </c>
      <c r="CJ6" s="64">
        <v>5</v>
      </c>
      <c r="CK6" s="64">
        <v>6</v>
      </c>
      <c r="CL6" s="64">
        <v>7</v>
      </c>
      <c r="CM6" s="64">
        <v>8</v>
      </c>
      <c r="CN6" s="64">
        <v>9</v>
      </c>
      <c r="CO6" s="64">
        <v>10</v>
      </c>
      <c r="CP6" s="64">
        <v>11</v>
      </c>
      <c r="CQ6" s="64">
        <v>12</v>
      </c>
      <c r="CR6" s="64">
        <v>13</v>
      </c>
      <c r="CS6" s="64">
        <v>14</v>
      </c>
      <c r="CT6" s="64">
        <v>15</v>
      </c>
      <c r="CU6" s="64">
        <v>16</v>
      </c>
      <c r="CV6" s="64">
        <v>17</v>
      </c>
      <c r="CW6" s="64" t="s">
        <v>25</v>
      </c>
      <c r="CX6" s="132"/>
      <c r="CY6" s="64" t="s">
        <v>23</v>
      </c>
      <c r="CZ6" s="64" t="s">
        <v>24</v>
      </c>
      <c r="DA6" s="64">
        <v>1</v>
      </c>
      <c r="DB6" s="64">
        <v>2</v>
      </c>
      <c r="DC6" s="64">
        <v>3</v>
      </c>
      <c r="DD6" s="64">
        <v>4</v>
      </c>
      <c r="DE6" s="64">
        <v>5</v>
      </c>
      <c r="DF6" s="64">
        <v>6</v>
      </c>
      <c r="DG6" s="64">
        <v>7</v>
      </c>
      <c r="DH6" s="64">
        <v>8</v>
      </c>
      <c r="DI6" s="64">
        <v>9</v>
      </c>
      <c r="DJ6" s="64">
        <v>10</v>
      </c>
      <c r="DK6" s="64">
        <v>11</v>
      </c>
      <c r="DL6" s="64">
        <v>12</v>
      </c>
      <c r="DM6" s="64">
        <v>13</v>
      </c>
      <c r="DN6" s="64">
        <v>14</v>
      </c>
      <c r="DO6" s="64">
        <v>15</v>
      </c>
      <c r="DP6" s="64">
        <v>16</v>
      </c>
      <c r="DQ6" s="64">
        <v>17</v>
      </c>
      <c r="DR6" s="64" t="s">
        <v>25</v>
      </c>
      <c r="DS6" s="132"/>
      <c r="DT6" s="64" t="s">
        <v>23</v>
      </c>
      <c r="DU6" s="64" t="s">
        <v>24</v>
      </c>
      <c r="DV6" s="64">
        <v>1</v>
      </c>
      <c r="DW6" s="64">
        <v>2</v>
      </c>
      <c r="DX6" s="64">
        <v>3</v>
      </c>
      <c r="DY6" s="64">
        <v>4</v>
      </c>
      <c r="DZ6" s="64">
        <v>5</v>
      </c>
      <c r="EA6" s="64">
        <v>6</v>
      </c>
      <c r="EB6" s="64">
        <v>7</v>
      </c>
      <c r="EC6" s="64">
        <v>8</v>
      </c>
      <c r="ED6" s="64">
        <v>9</v>
      </c>
      <c r="EE6" s="64">
        <v>10</v>
      </c>
      <c r="EF6" s="64">
        <v>11</v>
      </c>
      <c r="EG6" s="64">
        <v>12</v>
      </c>
      <c r="EH6" s="64">
        <v>13</v>
      </c>
      <c r="EI6" s="64">
        <v>14</v>
      </c>
      <c r="EJ6" s="64">
        <v>15</v>
      </c>
      <c r="EK6" s="64">
        <v>16</v>
      </c>
      <c r="EL6" s="64">
        <v>17</v>
      </c>
      <c r="EM6" s="64" t="s">
        <v>25</v>
      </c>
      <c r="EN6" s="132"/>
      <c r="EO6" s="64" t="s">
        <v>23</v>
      </c>
      <c r="EP6" s="64" t="s">
        <v>24</v>
      </c>
      <c r="EQ6" s="64">
        <v>1</v>
      </c>
      <c r="ER6" s="64">
        <v>2</v>
      </c>
      <c r="ES6" s="64">
        <v>3</v>
      </c>
      <c r="ET6" s="64">
        <v>4</v>
      </c>
      <c r="EU6" s="64">
        <v>5</v>
      </c>
      <c r="EV6" s="64">
        <v>6</v>
      </c>
      <c r="EW6" s="64">
        <v>7</v>
      </c>
      <c r="EX6" s="64">
        <v>8</v>
      </c>
      <c r="EY6" s="64">
        <v>9</v>
      </c>
      <c r="EZ6" s="64">
        <v>10</v>
      </c>
      <c r="FA6" s="64">
        <v>11</v>
      </c>
      <c r="FB6" s="64">
        <v>12</v>
      </c>
      <c r="FC6" s="64">
        <v>13</v>
      </c>
      <c r="FD6" s="64">
        <v>14</v>
      </c>
      <c r="FE6" s="64">
        <v>15</v>
      </c>
      <c r="FF6" s="64">
        <v>16</v>
      </c>
      <c r="FG6" s="64">
        <v>17</v>
      </c>
      <c r="FH6" s="64" t="s">
        <v>25</v>
      </c>
      <c r="FI6" s="132"/>
      <c r="FJ6" s="64" t="s">
        <v>23</v>
      </c>
      <c r="FK6" s="64" t="s">
        <v>24</v>
      </c>
      <c r="FL6" s="64">
        <v>1</v>
      </c>
      <c r="FM6" s="64">
        <v>2</v>
      </c>
      <c r="FN6" s="64">
        <v>3</v>
      </c>
      <c r="FO6" s="64">
        <v>4</v>
      </c>
      <c r="FP6" s="64">
        <v>5</v>
      </c>
      <c r="FQ6" s="64">
        <v>6</v>
      </c>
      <c r="FR6" s="64">
        <v>7</v>
      </c>
      <c r="FS6" s="64">
        <v>8</v>
      </c>
      <c r="FT6" s="64">
        <v>9</v>
      </c>
      <c r="FU6" s="64">
        <v>10</v>
      </c>
      <c r="FV6" s="64">
        <v>11</v>
      </c>
      <c r="FW6" s="64">
        <v>12</v>
      </c>
      <c r="FX6" s="64">
        <v>13</v>
      </c>
      <c r="FY6" s="64">
        <v>14</v>
      </c>
      <c r="FZ6" s="64">
        <v>15</v>
      </c>
      <c r="GA6" s="64">
        <v>16</v>
      </c>
      <c r="GB6" s="64">
        <v>17</v>
      </c>
      <c r="GC6" s="64" t="s">
        <v>25</v>
      </c>
      <c r="GD6" s="132"/>
      <c r="GE6" s="64" t="s">
        <v>23</v>
      </c>
      <c r="GF6" s="64" t="s">
        <v>24</v>
      </c>
      <c r="GG6" s="64">
        <v>1</v>
      </c>
      <c r="GH6" s="64">
        <v>2</v>
      </c>
      <c r="GI6" s="64">
        <v>3</v>
      </c>
      <c r="GJ6" s="64">
        <v>4</v>
      </c>
      <c r="GK6" s="64">
        <v>5</v>
      </c>
      <c r="GL6" s="64">
        <v>6</v>
      </c>
      <c r="GM6" s="64">
        <v>7</v>
      </c>
      <c r="GN6" s="64">
        <v>8</v>
      </c>
      <c r="GO6" s="64">
        <v>9</v>
      </c>
      <c r="GP6" s="64">
        <v>10</v>
      </c>
      <c r="GQ6" s="64">
        <v>11</v>
      </c>
      <c r="GR6" s="64">
        <v>12</v>
      </c>
      <c r="GS6" s="64">
        <v>13</v>
      </c>
      <c r="GT6" s="64">
        <v>14</v>
      </c>
      <c r="GU6" s="64">
        <v>15</v>
      </c>
      <c r="GV6" s="64">
        <v>16</v>
      </c>
      <c r="GW6" s="64">
        <v>17</v>
      </c>
      <c r="GX6" s="64" t="s">
        <v>25</v>
      </c>
      <c r="GY6" s="132"/>
      <c r="GZ6" s="68" t="s">
        <v>23</v>
      </c>
      <c r="HA6" s="68" t="s">
        <v>24</v>
      </c>
      <c r="HB6" s="68">
        <v>1</v>
      </c>
      <c r="HC6" s="68">
        <v>2</v>
      </c>
      <c r="HD6" s="68">
        <v>3</v>
      </c>
      <c r="HE6" s="68">
        <v>4</v>
      </c>
      <c r="HF6" s="68">
        <v>5</v>
      </c>
      <c r="HG6" s="68">
        <v>6</v>
      </c>
      <c r="HH6" s="68">
        <v>7</v>
      </c>
      <c r="HI6" s="68">
        <v>8</v>
      </c>
      <c r="HJ6" s="68">
        <v>9</v>
      </c>
      <c r="HK6" s="68">
        <v>10</v>
      </c>
      <c r="HL6" s="68">
        <v>11</v>
      </c>
      <c r="HM6" s="68">
        <v>12</v>
      </c>
      <c r="HN6" s="68">
        <v>13</v>
      </c>
      <c r="HO6" s="68">
        <v>14</v>
      </c>
      <c r="HP6" s="68">
        <v>15</v>
      </c>
      <c r="HQ6" s="68">
        <v>16</v>
      </c>
      <c r="HR6" s="68">
        <v>17</v>
      </c>
      <c r="HS6" s="68">
        <v>18</v>
      </c>
      <c r="HT6" s="68">
        <v>19</v>
      </c>
      <c r="HU6" s="68">
        <v>20</v>
      </c>
      <c r="HV6" s="68">
        <v>21</v>
      </c>
      <c r="HW6" s="68">
        <v>22</v>
      </c>
      <c r="HX6" s="68">
        <v>23</v>
      </c>
      <c r="HY6" s="68">
        <v>24</v>
      </c>
      <c r="HZ6" s="68">
        <v>25</v>
      </c>
      <c r="IA6" s="68">
        <v>26</v>
      </c>
      <c r="IB6" s="68">
        <v>27</v>
      </c>
      <c r="IC6" s="68">
        <v>28</v>
      </c>
      <c r="ID6" s="68">
        <v>29</v>
      </c>
      <c r="IE6" s="68">
        <v>30</v>
      </c>
      <c r="IF6" s="68">
        <v>31</v>
      </c>
      <c r="IG6" s="68">
        <v>32</v>
      </c>
      <c r="IH6" s="68">
        <v>33</v>
      </c>
      <c r="II6" s="68">
        <v>34</v>
      </c>
      <c r="IJ6" s="68">
        <v>35</v>
      </c>
      <c r="IK6" s="68">
        <v>36</v>
      </c>
      <c r="IL6" s="68">
        <v>37</v>
      </c>
      <c r="IM6" s="68">
        <v>38</v>
      </c>
      <c r="IN6" s="68">
        <v>39</v>
      </c>
      <c r="IO6" s="68">
        <v>40</v>
      </c>
      <c r="IP6" s="68">
        <v>41</v>
      </c>
      <c r="IQ6" s="68">
        <v>42</v>
      </c>
      <c r="IR6" s="68">
        <v>43</v>
      </c>
      <c r="IS6" s="68">
        <v>44</v>
      </c>
      <c r="IT6" s="68">
        <v>45</v>
      </c>
      <c r="IU6" s="68">
        <v>46</v>
      </c>
      <c r="IV6" s="68">
        <v>47</v>
      </c>
      <c r="IW6" s="68">
        <v>48</v>
      </c>
      <c r="IX6" s="68">
        <v>49</v>
      </c>
      <c r="IY6" s="68">
        <v>50</v>
      </c>
      <c r="IZ6" s="68" t="s">
        <v>25</v>
      </c>
    </row>
    <row r="7" spans="1:261" ht="13" hidden="1" x14ac:dyDescent="0.3">
      <c r="A7" s="63"/>
      <c r="B7" s="61"/>
      <c r="C7" s="62"/>
      <c r="D7" s="62"/>
      <c r="E7" s="5"/>
      <c r="F7" s="5"/>
      <c r="G7" s="5"/>
      <c r="H7" s="5"/>
      <c r="I7" s="5"/>
      <c r="J7" s="5"/>
      <c r="K7" s="5"/>
      <c r="L7" s="5"/>
      <c r="M7" s="5"/>
      <c r="N7" s="5"/>
      <c r="O7" s="3">
        <f t="shared" ref="O7" si="11">SUM(AN7:BG7,BI7:CB7,CD7:CW7,CY7:DR7,DT7:EM7,EO7:FH7,FJ7:GC7,GE7:GX7,GZ7:IZ7)</f>
        <v>0</v>
      </c>
      <c r="P7" s="7"/>
      <c r="Q7" s="7"/>
      <c r="R7" s="2">
        <f t="shared" ref="R7" si="12">P7*Q7/1000000</f>
        <v>0</v>
      </c>
      <c r="S7" s="27">
        <f t="shared" ref="S7" si="13">AM7</f>
        <v>0</v>
      </c>
      <c r="T7" s="27">
        <f t="shared" ref="T7" si="14">BH7</f>
        <v>0</v>
      </c>
      <c r="U7" s="27">
        <f t="shared" ref="U7" si="15">CC7</f>
        <v>0</v>
      </c>
      <c r="V7" s="27">
        <f t="shared" ref="V7" si="16">CX7</f>
        <v>0</v>
      </c>
      <c r="W7" s="27">
        <f t="shared" ref="W7" si="17">DS7</f>
        <v>0</v>
      </c>
      <c r="X7" s="27">
        <f t="shared" ref="X7" si="18">EN7</f>
        <v>0</v>
      </c>
      <c r="Y7" s="27">
        <f t="shared" ref="Y7" si="19">FI7</f>
        <v>0</v>
      </c>
      <c r="Z7" s="27">
        <f t="shared" ref="Z7" si="20">GD7</f>
        <v>0</v>
      </c>
      <c r="AA7" s="27">
        <f t="shared" ref="AA7" si="21">GY7</f>
        <v>0</v>
      </c>
      <c r="AB7" s="4">
        <f t="shared" ref="AB7" si="22">P7*Q7*O7/1000000</f>
        <v>0</v>
      </c>
      <c r="AC7" s="2" t="str">
        <f t="shared" ref="AC7" si="23">IF(E7=1,E7*$O7*$Q7/1000,IF(E7=2,E7*$O7*$Q7/1000," "))</f>
        <v xml:space="preserve"> </v>
      </c>
      <c r="AD7" s="2" t="str">
        <f t="shared" ref="AD7" si="24">IF(F7=1,F7*$O7*$P7/1000,IF(F7=2,F7*$O7*$P7/1000," "))</f>
        <v xml:space="preserve"> </v>
      </c>
      <c r="AE7" s="2" t="str">
        <f t="shared" ref="AE7" si="25">IF(G7=1,G7*$O7*$P7/1000,IF(G7=2,G7*$O7*$P7/1000," "))</f>
        <v xml:space="preserve"> </v>
      </c>
      <c r="AF7" s="2" t="str">
        <f t="shared" ref="AF7" si="26">IF(H7=1,H7*$O7*$Q7/1000,IF(H7=2,H7*$O7*$Q7/1000," "))</f>
        <v xml:space="preserve"> </v>
      </c>
      <c r="AG7" s="2" t="str">
        <f t="shared" ref="AG7" si="27">IF(I7=1,I7*$O7*$P7/1000,IF(I7=2,I7*$O7*$P7/1000," "))</f>
        <v xml:space="preserve"> </v>
      </c>
      <c r="AH7" s="2" t="str">
        <f t="shared" ref="AH7" si="28">IF(J7=1,J7*$O7*$P7/1000,IF(J7=2,J7*$O7*$P7/1000," "))</f>
        <v xml:space="preserve"> </v>
      </c>
      <c r="AI7" s="2" t="str">
        <f t="shared" ref="AI7" si="29">IF(K7=1,K7*$O7*$Q7/1000,IF(K7=2,K7*$O7*$Q7/1000," "))</f>
        <v xml:space="preserve"> </v>
      </c>
      <c r="AJ7" s="2" t="str">
        <f t="shared" ref="AJ7" si="30">IF(L7=1,L7*$O7*$P7/1000,IF(L7=2,L7*$O7*$P7/1000," "))</f>
        <v xml:space="preserve"> </v>
      </c>
      <c r="AK7" s="2" t="str">
        <f t="shared" ref="AK7" si="31">IF(M7=1,M7*$O7*$P7/1000,IF(M7=2,M7*$O7*$P7/1000," "))</f>
        <v xml:space="preserve"> </v>
      </c>
      <c r="AL7" s="2" t="str">
        <f t="shared" ref="AL7" si="32">IF(N7=1,N7*$O7*$Q7/1000,IF(N7=2,N7*$O7*$Q7/1000," "))</f>
        <v xml:space="preserve"> </v>
      </c>
      <c r="AM7" s="23">
        <f t="shared" ref="AM7" si="33">SUM(AN7:BG7)*R7</f>
        <v>0</v>
      </c>
      <c r="AN7" s="8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1"/>
      <c r="BH7" s="1">
        <f t="shared" ref="BH7" si="34">SUM(BI7:CB7)*R7</f>
        <v>0</v>
      </c>
      <c r="BI7" s="8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11"/>
      <c r="CC7" s="1">
        <f t="shared" ref="CC7" si="35">SUM(CD7:CW7)*R7</f>
        <v>0</v>
      </c>
      <c r="CD7" s="8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11"/>
      <c r="CX7" s="10">
        <f t="shared" ref="CX7" si="36">SUM(CY7:DR7)*R7</f>
        <v>0</v>
      </c>
      <c r="CY7" s="8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11"/>
      <c r="DS7" s="10">
        <f t="shared" ref="DS7" si="37">SUM(DT7:EM7)*R7</f>
        <v>0</v>
      </c>
      <c r="DT7" s="8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11"/>
      <c r="EN7" s="10">
        <f t="shared" ref="EN7" si="38">SUM(EO7:FH7)*R7</f>
        <v>0</v>
      </c>
      <c r="EO7" s="8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11"/>
      <c r="FI7" s="10">
        <f t="shared" ref="FI7" si="39">SUM(FJ7:GC7)*R7</f>
        <v>0</v>
      </c>
      <c r="FJ7" s="8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11"/>
      <c r="GD7" s="10">
        <f t="shared" ref="GD7" si="40">SUM(GE7:GX7)*R7</f>
        <v>0</v>
      </c>
      <c r="GE7" s="8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11"/>
      <c r="GY7" s="10">
        <f t="shared" ref="GY7" si="41">SUM(GZ7:IZ7)*R7</f>
        <v>0</v>
      </c>
      <c r="GZ7" s="8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11"/>
    </row>
    <row r="8" spans="1:261" ht="14.25" customHeight="1" x14ac:dyDescent="0.3">
      <c r="A8" s="63"/>
      <c r="B8" s="61"/>
      <c r="C8" s="62"/>
      <c r="D8" s="62"/>
      <c r="E8" s="5"/>
      <c r="F8" s="5"/>
      <c r="G8" s="5"/>
      <c r="H8" s="5"/>
      <c r="I8" s="5"/>
      <c r="J8" s="5"/>
      <c r="K8" s="5"/>
      <c r="L8" s="5"/>
      <c r="M8" s="5"/>
      <c r="N8" s="5"/>
      <c r="O8" s="3">
        <f t="shared" ref="O8" si="42">SUM(AN8:BG8,BI8:CB8,CD8:CW8,CY8:DR8,DT8:EM8,EO8:FH8,FJ8:GC8,GE8:GX8,GZ8:IZ8)</f>
        <v>0</v>
      </c>
      <c r="P8" s="7"/>
      <c r="Q8" s="7"/>
      <c r="R8" s="2">
        <f t="shared" ref="R8" si="43">P8*Q8/1000000</f>
        <v>0</v>
      </c>
      <c r="S8" s="27">
        <f t="shared" ref="S8" si="44">AM8</f>
        <v>0</v>
      </c>
      <c r="T8" s="27">
        <f t="shared" ref="T8" si="45">BH8</f>
        <v>0</v>
      </c>
      <c r="U8" s="27">
        <f t="shared" ref="U8" si="46">CC8</f>
        <v>0</v>
      </c>
      <c r="V8" s="27">
        <f t="shared" ref="V8" si="47">CX8</f>
        <v>0</v>
      </c>
      <c r="W8" s="27">
        <f t="shared" ref="W8" si="48">DS8</f>
        <v>0</v>
      </c>
      <c r="X8" s="27">
        <f t="shared" ref="X8" si="49">EN8</f>
        <v>0</v>
      </c>
      <c r="Y8" s="27">
        <f t="shared" ref="Y8" si="50">FI8</f>
        <v>0</v>
      </c>
      <c r="Z8" s="27">
        <f t="shared" ref="Z8" si="51">GD8</f>
        <v>0</v>
      </c>
      <c r="AA8" s="27">
        <f t="shared" ref="AA8" si="52">GY8</f>
        <v>0</v>
      </c>
      <c r="AB8" s="4">
        <f t="shared" ref="AB8" si="53">P8*Q8*O8/1000000</f>
        <v>0</v>
      </c>
      <c r="AC8" s="2" t="str">
        <f t="shared" ref="AC8" si="54">IF(E8=1,E8*$O8*$Q8/1000,IF(E8=2,E8*$O8*$Q8/1000," "))</f>
        <v xml:space="preserve"> </v>
      </c>
      <c r="AD8" s="2" t="str">
        <f t="shared" ref="AD8" si="55">IF(F8=1,F8*$O8*$P8/1000,IF(F8=2,F8*$O8*$P8/1000," "))</f>
        <v xml:space="preserve"> </v>
      </c>
      <c r="AE8" s="2" t="str">
        <f t="shared" ref="AE8" si="56">IF(G8=1,G8*$O8*$P8/1000,IF(G8=2,G8*$O8*$P8/1000," "))</f>
        <v xml:space="preserve"> </v>
      </c>
      <c r="AF8" s="2" t="str">
        <f t="shared" ref="AF8" si="57">IF(H8=1,H8*$O8*$Q8/1000,IF(H8=2,H8*$O8*$Q8/1000," "))</f>
        <v xml:space="preserve"> </v>
      </c>
      <c r="AG8" s="2" t="str">
        <f t="shared" ref="AG8" si="58">IF(I8=1,I8*$O8*$P8/1000,IF(I8=2,I8*$O8*$P8/1000," "))</f>
        <v xml:space="preserve"> </v>
      </c>
      <c r="AH8" s="2" t="str">
        <f t="shared" ref="AH8" si="59">IF(J8=1,J8*$O8*$P8/1000,IF(J8=2,J8*$O8*$P8/1000," "))</f>
        <v xml:space="preserve"> </v>
      </c>
      <c r="AI8" s="2" t="str">
        <f t="shared" ref="AI8" si="60">IF(K8=1,K8*$O8*$Q8/1000,IF(K8=2,K8*$O8*$Q8/1000," "))</f>
        <v xml:space="preserve"> </v>
      </c>
      <c r="AJ8" s="2" t="str">
        <f t="shared" ref="AJ8" si="61">IF(L8=1,L8*$O8*$P8/1000,IF(L8=2,L8*$O8*$P8/1000," "))</f>
        <v xml:space="preserve"> </v>
      </c>
      <c r="AK8" s="2" t="str">
        <f t="shared" ref="AK8" si="62">IF(M8=1,M8*$O8*$P8/1000,IF(M8=2,M8*$O8*$P8/1000," "))</f>
        <v xml:space="preserve"> </v>
      </c>
      <c r="AL8" s="2" t="str">
        <f t="shared" ref="AL8" si="63">IF(N8=1,N8*$O8*$Q8/1000,IF(N8=2,N8*$O8*$Q8/1000," "))</f>
        <v xml:space="preserve"> </v>
      </c>
      <c r="AM8" s="23">
        <f t="shared" ref="AM8" si="64">SUM(AN8:BG8)*R8</f>
        <v>0</v>
      </c>
      <c r="AN8" s="8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11"/>
      <c r="BH8" s="1">
        <f t="shared" ref="BH8" si="65">SUM(BI8:CB8)*R8</f>
        <v>0</v>
      </c>
      <c r="BI8" s="8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11"/>
      <c r="CC8" s="1">
        <f t="shared" ref="CC8" si="66">SUM(CD8:CW8)*R8</f>
        <v>0</v>
      </c>
      <c r="CD8" s="8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11"/>
      <c r="CX8" s="10">
        <f t="shared" ref="CX8" si="67">SUM(CY8:DR8)*R8</f>
        <v>0</v>
      </c>
      <c r="CY8" s="8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11"/>
      <c r="DS8" s="10">
        <f t="shared" ref="DS8" si="68">SUM(DT8:EM8)*R8</f>
        <v>0</v>
      </c>
      <c r="DT8" s="8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11"/>
      <c r="EN8" s="10">
        <f t="shared" ref="EN8" si="69">SUM(EO8:FH8)*R8</f>
        <v>0</v>
      </c>
      <c r="EO8" s="8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11"/>
      <c r="FI8" s="10">
        <f t="shared" ref="FI8" si="70">SUM(FJ8:GC8)*R8</f>
        <v>0</v>
      </c>
      <c r="FJ8" s="8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11"/>
      <c r="GD8" s="10">
        <f t="shared" ref="GD8" si="71">SUM(GE8:GX8)*R8</f>
        <v>0</v>
      </c>
      <c r="GE8" s="8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11"/>
      <c r="GY8" s="10">
        <f t="shared" ref="GY8" si="72">SUM(GZ8:IZ8)*R8</f>
        <v>0</v>
      </c>
      <c r="GZ8" s="8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11"/>
    </row>
    <row r="9" spans="1:261" ht="14.25" customHeight="1" x14ac:dyDescent="0.3">
      <c r="A9" s="63"/>
      <c r="B9" s="61"/>
      <c r="C9" s="62"/>
      <c r="D9" s="62"/>
      <c r="E9" s="5"/>
      <c r="F9" s="5"/>
      <c r="G9" s="5"/>
      <c r="H9" s="5"/>
      <c r="I9" s="5"/>
      <c r="J9" s="5"/>
      <c r="K9" s="5"/>
      <c r="L9" s="5"/>
      <c r="M9" s="5"/>
      <c r="N9" s="5"/>
      <c r="O9" s="3">
        <f t="shared" ref="O9" si="73">SUM(AN9:BG9,BI9:CB9,CD9:CW9,CY9:DR9,DT9:EM9,EO9:FH9,FJ9:GC9,GE9:GX9,GZ9:IZ9)</f>
        <v>0</v>
      </c>
      <c r="P9" s="7"/>
      <c r="Q9" s="7"/>
      <c r="R9" s="2">
        <f t="shared" ref="R9" si="74">P9*Q9/1000000</f>
        <v>0</v>
      </c>
      <c r="S9" s="27">
        <f t="shared" ref="S9" si="75">AM9</f>
        <v>0</v>
      </c>
      <c r="T9" s="27">
        <f t="shared" ref="T9" si="76">BH9</f>
        <v>0</v>
      </c>
      <c r="U9" s="27">
        <f t="shared" ref="U9" si="77">CC9</f>
        <v>0</v>
      </c>
      <c r="V9" s="27">
        <f t="shared" ref="V9" si="78">CX9</f>
        <v>0</v>
      </c>
      <c r="W9" s="27">
        <f t="shared" ref="W9" si="79">DS9</f>
        <v>0</v>
      </c>
      <c r="X9" s="27">
        <f t="shared" ref="X9" si="80">EN9</f>
        <v>0</v>
      </c>
      <c r="Y9" s="27">
        <f t="shared" ref="Y9" si="81">FI9</f>
        <v>0</v>
      </c>
      <c r="Z9" s="27">
        <f t="shared" ref="Z9" si="82">GD9</f>
        <v>0</v>
      </c>
      <c r="AA9" s="27">
        <f t="shared" ref="AA9" si="83">GY9</f>
        <v>0</v>
      </c>
      <c r="AB9" s="4">
        <f t="shared" ref="AB9" si="84">P9*Q9*O9/1000000</f>
        <v>0</v>
      </c>
      <c r="AC9" s="2" t="str">
        <f t="shared" ref="AC9" si="85">IF(E9=1,E9*$O9*$Q9/1000,IF(E9=2,E9*$O9*$Q9/1000," "))</f>
        <v xml:space="preserve"> </v>
      </c>
      <c r="AD9" s="2" t="str">
        <f t="shared" ref="AD9" si="86">IF(F9=1,F9*$O9*$P9/1000,IF(F9=2,F9*$O9*$P9/1000," "))</f>
        <v xml:space="preserve"> </v>
      </c>
      <c r="AE9" s="2" t="str">
        <f t="shared" ref="AE9" si="87">IF(G9=1,G9*$O9*$P9/1000,IF(G9=2,G9*$O9*$P9/1000," "))</f>
        <v xml:space="preserve"> </v>
      </c>
      <c r="AF9" s="2" t="str">
        <f t="shared" ref="AF9" si="88">IF(H9=1,H9*$O9*$Q9/1000,IF(H9=2,H9*$O9*$Q9/1000," "))</f>
        <v xml:space="preserve"> </v>
      </c>
      <c r="AG9" s="2" t="str">
        <f t="shared" ref="AG9" si="89">IF(I9=1,I9*$O9*$P9/1000,IF(I9=2,I9*$O9*$P9/1000," "))</f>
        <v xml:space="preserve"> </v>
      </c>
      <c r="AH9" s="2" t="str">
        <f t="shared" ref="AH9" si="90">IF(J9=1,J9*$O9*$P9/1000,IF(J9=2,J9*$O9*$P9/1000," "))</f>
        <v xml:space="preserve"> </v>
      </c>
      <c r="AI9" s="2" t="str">
        <f t="shared" ref="AI9" si="91">IF(K9=1,K9*$O9*$Q9/1000,IF(K9=2,K9*$O9*$Q9/1000," "))</f>
        <v xml:space="preserve"> </v>
      </c>
      <c r="AJ9" s="2" t="str">
        <f t="shared" ref="AJ9" si="92">IF(L9=1,L9*$O9*$P9/1000,IF(L9=2,L9*$O9*$P9/1000," "))</f>
        <v xml:space="preserve"> </v>
      </c>
      <c r="AK9" s="2" t="str">
        <f t="shared" ref="AK9" si="93">IF(M9=1,M9*$O9*$P9/1000,IF(M9=2,M9*$O9*$P9/1000," "))</f>
        <v xml:space="preserve"> </v>
      </c>
      <c r="AL9" s="2" t="str">
        <f t="shared" ref="AL9" si="94">IF(N9=1,N9*$O9*$Q9/1000,IF(N9=2,N9*$O9*$Q9/1000," "))</f>
        <v xml:space="preserve"> </v>
      </c>
      <c r="AM9" s="23">
        <f t="shared" ref="AM9" si="95">SUM(AN9:BG9)*R9</f>
        <v>0</v>
      </c>
      <c r="AN9" s="8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11"/>
      <c r="BH9" s="1">
        <f t="shared" ref="BH9" si="96">SUM(BI9:CB9)*R9</f>
        <v>0</v>
      </c>
      <c r="BI9" s="8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11"/>
      <c r="CC9" s="1">
        <f t="shared" ref="CC9" si="97">SUM(CD9:CW9)*R9</f>
        <v>0</v>
      </c>
      <c r="CD9" s="8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11"/>
      <c r="CX9" s="10">
        <f t="shared" ref="CX9" si="98">SUM(CY9:DR9)*R9</f>
        <v>0</v>
      </c>
      <c r="CY9" s="8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11"/>
      <c r="DS9" s="10">
        <f t="shared" ref="DS9" si="99">SUM(DT9:EM9)*R9</f>
        <v>0</v>
      </c>
      <c r="DT9" s="8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11"/>
      <c r="EN9" s="10">
        <f t="shared" ref="EN9" si="100">SUM(EO9:FH9)*R9</f>
        <v>0</v>
      </c>
      <c r="EO9" s="8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11"/>
      <c r="FI9" s="10">
        <f t="shared" ref="FI9" si="101">SUM(FJ9:GC9)*R9</f>
        <v>0</v>
      </c>
      <c r="FJ9" s="8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11"/>
      <c r="GD9" s="10">
        <f t="shared" ref="GD9" si="102">SUM(GE9:GX9)*R9</f>
        <v>0</v>
      </c>
      <c r="GE9" s="8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11"/>
      <c r="GY9" s="10">
        <f t="shared" ref="GY9" si="103">SUM(GZ9:IZ9)*R9</f>
        <v>0</v>
      </c>
      <c r="GZ9" s="8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11"/>
    </row>
    <row r="10" spans="1:261" ht="14.25" customHeight="1" x14ac:dyDescent="0.3">
      <c r="A10" s="63"/>
      <c r="B10" s="61"/>
      <c r="C10" s="62"/>
      <c r="D10" s="62"/>
      <c r="E10" s="5"/>
      <c r="F10" s="5"/>
      <c r="G10" s="5"/>
      <c r="H10" s="5"/>
      <c r="I10" s="5"/>
      <c r="J10" s="5"/>
      <c r="K10" s="5"/>
      <c r="L10" s="5"/>
      <c r="M10" s="5"/>
      <c r="N10" s="5"/>
      <c r="O10" s="3">
        <f t="shared" ref="O10" si="104">SUM(AN10:BG10,BI10:CB10,CD10:CW10,CY10:DR10,DT10:EM10,EO10:FH10,FJ10:GC10,GE10:GX10,GZ10:IZ10)</f>
        <v>0</v>
      </c>
      <c r="P10" s="7"/>
      <c r="Q10" s="7"/>
      <c r="R10" s="2">
        <f t="shared" ref="R10" si="105">P10*Q10/1000000</f>
        <v>0</v>
      </c>
      <c r="S10" s="27">
        <f t="shared" ref="S10" si="106">AM10</f>
        <v>0</v>
      </c>
      <c r="T10" s="27">
        <f t="shared" ref="T10" si="107">BH10</f>
        <v>0</v>
      </c>
      <c r="U10" s="27">
        <f t="shared" ref="U10" si="108">CC10</f>
        <v>0</v>
      </c>
      <c r="V10" s="27">
        <f t="shared" ref="V10" si="109">CX10</f>
        <v>0</v>
      </c>
      <c r="W10" s="27">
        <f t="shared" ref="W10" si="110">DS10</f>
        <v>0</v>
      </c>
      <c r="X10" s="27">
        <f t="shared" ref="X10" si="111">EN10</f>
        <v>0</v>
      </c>
      <c r="Y10" s="27">
        <f t="shared" ref="Y10" si="112">FI10</f>
        <v>0</v>
      </c>
      <c r="Z10" s="27">
        <f t="shared" ref="Z10" si="113">GD10</f>
        <v>0</v>
      </c>
      <c r="AA10" s="27">
        <f t="shared" ref="AA10" si="114">GY10</f>
        <v>0</v>
      </c>
      <c r="AB10" s="4">
        <f t="shared" ref="AB10" si="115">P10*Q10*O10/1000000</f>
        <v>0</v>
      </c>
      <c r="AC10" s="2" t="str">
        <f t="shared" ref="AC10" si="116">IF(E10=1,E10*$O10*$Q10/1000,IF(E10=2,E10*$O10*$Q10/1000," "))</f>
        <v xml:space="preserve"> </v>
      </c>
      <c r="AD10" s="2" t="str">
        <f t="shared" ref="AD10" si="117">IF(F10=1,F10*$O10*$P10/1000,IF(F10=2,F10*$O10*$P10/1000," "))</f>
        <v xml:space="preserve"> </v>
      </c>
      <c r="AE10" s="2" t="str">
        <f t="shared" ref="AE10" si="118">IF(G10=1,G10*$O10*$P10/1000,IF(G10=2,G10*$O10*$P10/1000," "))</f>
        <v xml:space="preserve"> </v>
      </c>
      <c r="AF10" s="2" t="str">
        <f t="shared" ref="AF10" si="119">IF(H10=1,H10*$O10*$Q10/1000,IF(H10=2,H10*$O10*$Q10/1000," "))</f>
        <v xml:space="preserve"> </v>
      </c>
      <c r="AG10" s="2" t="str">
        <f t="shared" ref="AG10" si="120">IF(I10=1,I10*$O10*$P10/1000,IF(I10=2,I10*$O10*$P10/1000," "))</f>
        <v xml:space="preserve"> </v>
      </c>
      <c r="AH10" s="2" t="str">
        <f t="shared" ref="AH10" si="121">IF(J10=1,J10*$O10*$P10/1000,IF(J10=2,J10*$O10*$P10/1000," "))</f>
        <v xml:space="preserve"> </v>
      </c>
      <c r="AI10" s="2" t="str">
        <f t="shared" ref="AI10" si="122">IF(K10=1,K10*$O10*$Q10/1000,IF(K10=2,K10*$O10*$Q10/1000," "))</f>
        <v xml:space="preserve"> </v>
      </c>
      <c r="AJ10" s="2" t="str">
        <f t="shared" ref="AJ10" si="123">IF(L10=1,L10*$O10*$P10/1000,IF(L10=2,L10*$O10*$P10/1000," "))</f>
        <v xml:space="preserve"> </v>
      </c>
      <c r="AK10" s="2" t="str">
        <f t="shared" ref="AK10" si="124">IF(M10=1,M10*$O10*$P10/1000,IF(M10=2,M10*$O10*$P10/1000," "))</f>
        <v xml:space="preserve"> </v>
      </c>
      <c r="AL10" s="2" t="str">
        <f t="shared" ref="AL10" si="125">IF(N10=1,N10*$O10*$Q10/1000,IF(N10=2,N10*$O10*$Q10/1000," "))</f>
        <v xml:space="preserve"> </v>
      </c>
      <c r="AM10" s="23">
        <f t="shared" ref="AM10" si="126">SUM(AN10:BG10)*R10</f>
        <v>0</v>
      </c>
      <c r="AN10" s="8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11"/>
      <c r="BH10" s="1">
        <f t="shared" ref="BH10" si="127">SUM(BI10:CB10)*R10</f>
        <v>0</v>
      </c>
      <c r="BI10" s="8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11"/>
      <c r="CC10" s="1">
        <f t="shared" ref="CC10" si="128">SUM(CD10:CW10)*R10</f>
        <v>0</v>
      </c>
      <c r="CD10" s="8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11"/>
      <c r="CX10" s="10">
        <f t="shared" ref="CX10" si="129">SUM(CY10:DR10)*R10</f>
        <v>0</v>
      </c>
      <c r="CY10" s="8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11"/>
      <c r="DS10" s="10">
        <f t="shared" ref="DS10" si="130">SUM(DT10:EM10)*R10</f>
        <v>0</v>
      </c>
      <c r="DT10" s="8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11"/>
      <c r="EN10" s="10">
        <f t="shared" ref="EN10" si="131">SUM(EO10:FH10)*R10</f>
        <v>0</v>
      </c>
      <c r="EO10" s="8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11"/>
      <c r="FI10" s="10">
        <f t="shared" ref="FI10" si="132">SUM(FJ10:GC10)*R10</f>
        <v>0</v>
      </c>
      <c r="FJ10" s="8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11"/>
      <c r="GD10" s="10">
        <f t="shared" ref="GD10" si="133">SUM(GE10:GX10)*R10</f>
        <v>0</v>
      </c>
      <c r="GE10" s="8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11"/>
      <c r="GY10" s="10">
        <f t="shared" ref="GY10" si="134">SUM(GZ10:IZ10)*R10</f>
        <v>0</v>
      </c>
      <c r="GZ10" s="8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11"/>
    </row>
    <row r="11" spans="1:261" ht="14.25" customHeight="1" x14ac:dyDescent="0.3">
      <c r="A11" s="63"/>
      <c r="B11" s="61"/>
      <c r="C11" s="62"/>
      <c r="D11" s="62"/>
      <c r="E11" s="5"/>
      <c r="F11" s="5"/>
      <c r="G11" s="5"/>
      <c r="H11" s="5"/>
      <c r="I11" s="5"/>
      <c r="J11" s="5"/>
      <c r="K11" s="5"/>
      <c r="L11" s="5"/>
      <c r="M11" s="5"/>
      <c r="N11" s="5"/>
      <c r="O11" s="3">
        <f t="shared" ref="O11" si="135">SUM(AN11:BG11,BI11:CB11,CD11:CW11,CY11:DR11,DT11:EM11,EO11:FH11,FJ11:GC11,GE11:GX11,GZ11:IZ11)</f>
        <v>0</v>
      </c>
      <c r="P11" s="7"/>
      <c r="Q11" s="7"/>
      <c r="R11" s="2">
        <f t="shared" ref="R11" si="136">P11*Q11/1000000</f>
        <v>0</v>
      </c>
      <c r="S11" s="27">
        <f t="shared" ref="S11" si="137">AM11</f>
        <v>0</v>
      </c>
      <c r="T11" s="27">
        <f t="shared" ref="T11" si="138">BH11</f>
        <v>0</v>
      </c>
      <c r="U11" s="27">
        <f t="shared" ref="U11" si="139">CC11</f>
        <v>0</v>
      </c>
      <c r="V11" s="27">
        <f t="shared" ref="V11" si="140">CX11</f>
        <v>0</v>
      </c>
      <c r="W11" s="27">
        <f t="shared" ref="W11" si="141">DS11</f>
        <v>0</v>
      </c>
      <c r="X11" s="27">
        <f t="shared" ref="X11" si="142">EN11</f>
        <v>0</v>
      </c>
      <c r="Y11" s="27">
        <f t="shared" ref="Y11" si="143">FI11</f>
        <v>0</v>
      </c>
      <c r="Z11" s="27">
        <f t="shared" ref="Z11" si="144">GD11</f>
        <v>0</v>
      </c>
      <c r="AA11" s="27">
        <f t="shared" ref="AA11" si="145">GY11</f>
        <v>0</v>
      </c>
      <c r="AB11" s="4">
        <f t="shared" ref="AB11" si="146">P11*Q11*O11/1000000</f>
        <v>0</v>
      </c>
      <c r="AC11" s="2" t="str">
        <f t="shared" ref="AC11" si="147">IF(E11=1,E11*$O11*$Q11/1000,IF(E11=2,E11*$O11*$Q11/1000," "))</f>
        <v xml:space="preserve"> </v>
      </c>
      <c r="AD11" s="2" t="str">
        <f t="shared" ref="AD11" si="148">IF(F11=1,F11*$O11*$P11/1000,IF(F11=2,F11*$O11*$P11/1000," "))</f>
        <v xml:space="preserve"> </v>
      </c>
      <c r="AE11" s="2" t="str">
        <f t="shared" ref="AE11" si="149">IF(G11=1,G11*$O11*$P11/1000,IF(G11=2,G11*$O11*$P11/1000," "))</f>
        <v xml:space="preserve"> </v>
      </c>
      <c r="AF11" s="2" t="str">
        <f t="shared" ref="AF11" si="150">IF(H11=1,H11*$O11*$Q11/1000,IF(H11=2,H11*$O11*$Q11/1000," "))</f>
        <v xml:space="preserve"> </v>
      </c>
      <c r="AG11" s="2" t="str">
        <f t="shared" ref="AG11" si="151">IF(I11=1,I11*$O11*$P11/1000,IF(I11=2,I11*$O11*$P11/1000," "))</f>
        <v xml:space="preserve"> </v>
      </c>
      <c r="AH11" s="2" t="str">
        <f t="shared" ref="AH11" si="152">IF(J11=1,J11*$O11*$P11/1000,IF(J11=2,J11*$O11*$P11/1000," "))</f>
        <v xml:space="preserve"> </v>
      </c>
      <c r="AI11" s="2" t="str">
        <f t="shared" ref="AI11" si="153">IF(K11=1,K11*$O11*$Q11/1000,IF(K11=2,K11*$O11*$Q11/1000," "))</f>
        <v xml:space="preserve"> </v>
      </c>
      <c r="AJ11" s="2" t="str">
        <f t="shared" ref="AJ11" si="154">IF(L11=1,L11*$O11*$P11/1000,IF(L11=2,L11*$O11*$P11/1000," "))</f>
        <v xml:space="preserve"> </v>
      </c>
      <c r="AK11" s="2" t="str">
        <f t="shared" ref="AK11" si="155">IF(M11=1,M11*$O11*$P11/1000,IF(M11=2,M11*$O11*$P11/1000," "))</f>
        <v xml:space="preserve"> </v>
      </c>
      <c r="AL11" s="2" t="str">
        <f t="shared" ref="AL11" si="156">IF(N11=1,N11*$O11*$Q11/1000,IF(N11=2,N11*$O11*$Q11/1000," "))</f>
        <v xml:space="preserve"> </v>
      </c>
      <c r="AM11" s="23">
        <f t="shared" ref="AM11" si="157">SUM(AN11:BG11)*R11</f>
        <v>0</v>
      </c>
      <c r="AN11" s="8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11"/>
      <c r="BH11" s="1">
        <f t="shared" ref="BH11" si="158">SUM(BI11:CB11)*R11</f>
        <v>0</v>
      </c>
      <c r="BI11" s="8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11"/>
      <c r="CC11" s="1">
        <f t="shared" ref="CC11" si="159">SUM(CD11:CW11)*R11</f>
        <v>0</v>
      </c>
      <c r="CD11" s="8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11"/>
      <c r="CX11" s="10">
        <f t="shared" ref="CX11" si="160">SUM(CY11:DR11)*R11</f>
        <v>0</v>
      </c>
      <c r="CY11" s="8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11"/>
      <c r="DS11" s="10">
        <f t="shared" ref="DS11" si="161">SUM(DT11:EM11)*R11</f>
        <v>0</v>
      </c>
      <c r="DT11" s="8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11"/>
      <c r="EN11" s="10">
        <f t="shared" ref="EN11" si="162">SUM(EO11:FH11)*R11</f>
        <v>0</v>
      </c>
      <c r="EO11" s="8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11"/>
      <c r="FI11" s="10">
        <f t="shared" ref="FI11" si="163">SUM(FJ11:GC11)*R11</f>
        <v>0</v>
      </c>
      <c r="FJ11" s="8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11"/>
      <c r="GD11" s="10">
        <f t="shared" ref="GD11" si="164">SUM(GE11:GX11)*R11</f>
        <v>0</v>
      </c>
      <c r="GE11" s="8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11"/>
      <c r="GY11" s="10">
        <f t="shared" ref="GY11" si="165">SUM(GZ11:IZ11)*R11</f>
        <v>0</v>
      </c>
      <c r="GZ11" s="8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11"/>
    </row>
    <row r="12" spans="1:261" ht="14.25" customHeight="1" x14ac:dyDescent="0.3">
      <c r="A12" s="63"/>
      <c r="B12" s="61"/>
      <c r="C12" s="62"/>
      <c r="D12" s="62"/>
      <c r="E12" s="5"/>
      <c r="F12" s="5"/>
      <c r="G12" s="5"/>
      <c r="H12" s="5"/>
      <c r="I12" s="5"/>
      <c r="J12" s="5"/>
      <c r="K12" s="5"/>
      <c r="L12" s="5"/>
      <c r="M12" s="5"/>
      <c r="N12" s="5"/>
      <c r="O12" s="3">
        <f t="shared" ref="O12" si="166">SUM(AN12:BG12,BI12:CB12,CD12:CW12,CY12:DR12,DT12:EM12,EO12:FH12,FJ12:GC12,GE12:GX12,GZ12:IZ12)</f>
        <v>0</v>
      </c>
      <c r="P12" s="7"/>
      <c r="Q12" s="7"/>
      <c r="R12" s="2">
        <f t="shared" ref="R12" si="167">P12*Q12/1000000</f>
        <v>0</v>
      </c>
      <c r="S12" s="27">
        <f t="shared" ref="S12" si="168">AM12</f>
        <v>0</v>
      </c>
      <c r="T12" s="27">
        <f t="shared" ref="T12" si="169">BH12</f>
        <v>0</v>
      </c>
      <c r="U12" s="27">
        <f t="shared" ref="U12" si="170">CC12</f>
        <v>0</v>
      </c>
      <c r="V12" s="27">
        <f t="shared" ref="V12" si="171">CX12</f>
        <v>0</v>
      </c>
      <c r="W12" s="27">
        <f t="shared" ref="W12" si="172">DS12</f>
        <v>0</v>
      </c>
      <c r="X12" s="27">
        <f t="shared" ref="X12" si="173">EN12</f>
        <v>0</v>
      </c>
      <c r="Y12" s="27">
        <f t="shared" ref="Y12" si="174">FI12</f>
        <v>0</v>
      </c>
      <c r="Z12" s="27">
        <f t="shared" ref="Z12" si="175">GD12</f>
        <v>0</v>
      </c>
      <c r="AA12" s="27">
        <f t="shared" ref="AA12" si="176">GY12</f>
        <v>0</v>
      </c>
      <c r="AB12" s="4">
        <f t="shared" ref="AB12" si="177">P12*Q12*O12/1000000</f>
        <v>0</v>
      </c>
      <c r="AC12" s="2" t="str">
        <f t="shared" ref="AC12" si="178">IF(E12=1,E12*$O12*$Q12/1000,IF(E12=2,E12*$O12*$Q12/1000," "))</f>
        <v xml:space="preserve"> </v>
      </c>
      <c r="AD12" s="2" t="str">
        <f t="shared" ref="AD12" si="179">IF(F12=1,F12*$O12*$P12/1000,IF(F12=2,F12*$O12*$P12/1000," "))</f>
        <v xml:space="preserve"> </v>
      </c>
      <c r="AE12" s="2" t="str">
        <f t="shared" ref="AE12" si="180">IF(G12=1,G12*$O12*$P12/1000,IF(G12=2,G12*$O12*$P12/1000," "))</f>
        <v xml:space="preserve"> </v>
      </c>
      <c r="AF12" s="2" t="str">
        <f t="shared" ref="AF12" si="181">IF(H12=1,H12*$O12*$Q12/1000,IF(H12=2,H12*$O12*$Q12/1000," "))</f>
        <v xml:space="preserve"> </v>
      </c>
      <c r="AG12" s="2" t="str">
        <f t="shared" ref="AG12" si="182">IF(I12=1,I12*$O12*$P12/1000,IF(I12=2,I12*$O12*$P12/1000," "))</f>
        <v xml:space="preserve"> </v>
      </c>
      <c r="AH12" s="2" t="str">
        <f t="shared" ref="AH12" si="183">IF(J12=1,J12*$O12*$P12/1000,IF(J12=2,J12*$O12*$P12/1000," "))</f>
        <v xml:space="preserve"> </v>
      </c>
      <c r="AI12" s="2" t="str">
        <f t="shared" ref="AI12" si="184">IF(K12=1,K12*$O12*$Q12/1000,IF(K12=2,K12*$O12*$Q12/1000," "))</f>
        <v xml:space="preserve"> </v>
      </c>
      <c r="AJ12" s="2" t="str">
        <f t="shared" ref="AJ12" si="185">IF(L12=1,L12*$O12*$P12/1000,IF(L12=2,L12*$O12*$P12/1000," "))</f>
        <v xml:space="preserve"> </v>
      </c>
      <c r="AK12" s="2" t="str">
        <f t="shared" ref="AK12" si="186">IF(M12=1,M12*$O12*$P12/1000,IF(M12=2,M12*$O12*$P12/1000," "))</f>
        <v xml:space="preserve"> </v>
      </c>
      <c r="AL12" s="2" t="str">
        <f t="shared" ref="AL12" si="187">IF(N12=1,N12*$O12*$Q12/1000,IF(N12=2,N12*$O12*$Q12/1000," "))</f>
        <v xml:space="preserve"> </v>
      </c>
      <c r="AM12" s="23">
        <f t="shared" ref="AM12" si="188">SUM(AN12:BG12)*R12</f>
        <v>0</v>
      </c>
      <c r="AN12" s="8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11"/>
      <c r="BH12" s="1">
        <f t="shared" ref="BH12" si="189">SUM(BI12:CB12)*R12</f>
        <v>0</v>
      </c>
      <c r="BI12" s="8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11"/>
      <c r="CC12" s="1">
        <f t="shared" ref="CC12" si="190">SUM(CD12:CW12)*R12</f>
        <v>0</v>
      </c>
      <c r="CD12" s="8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11"/>
      <c r="CX12" s="10">
        <f t="shared" ref="CX12" si="191">SUM(CY12:DR12)*R12</f>
        <v>0</v>
      </c>
      <c r="CY12" s="8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11"/>
      <c r="DS12" s="10">
        <f t="shared" ref="DS12" si="192">SUM(DT12:EM12)*R12</f>
        <v>0</v>
      </c>
      <c r="DT12" s="8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11"/>
      <c r="EN12" s="10">
        <f t="shared" ref="EN12" si="193">SUM(EO12:FH12)*R12</f>
        <v>0</v>
      </c>
      <c r="EO12" s="8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11"/>
      <c r="FI12" s="10">
        <f t="shared" ref="FI12" si="194">SUM(FJ12:GC12)*R12</f>
        <v>0</v>
      </c>
      <c r="FJ12" s="8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11"/>
      <c r="GD12" s="10">
        <f t="shared" ref="GD12" si="195">SUM(GE12:GX12)*R12</f>
        <v>0</v>
      </c>
      <c r="GE12" s="8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11"/>
      <c r="GY12" s="10">
        <f t="shared" ref="GY12" si="196">SUM(GZ12:IZ12)*R12</f>
        <v>0</v>
      </c>
      <c r="GZ12" s="8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11"/>
    </row>
    <row r="13" spans="1:261" ht="14.25" customHeight="1" x14ac:dyDescent="0.3">
      <c r="A13" s="63"/>
      <c r="B13" s="61"/>
      <c r="C13" s="62"/>
      <c r="D13" s="62"/>
      <c r="E13" s="5"/>
      <c r="F13" s="5"/>
      <c r="G13" s="5"/>
      <c r="H13" s="5"/>
      <c r="I13" s="5"/>
      <c r="J13" s="5"/>
      <c r="K13" s="5"/>
      <c r="L13" s="5"/>
      <c r="M13" s="5"/>
      <c r="N13" s="5"/>
      <c r="O13" s="3">
        <f t="shared" ref="O13" si="197">SUM(AN13:BG13,BI13:CB13,CD13:CW13,CY13:DR13,DT13:EM13,EO13:FH13,FJ13:GC13,GE13:GX13,GZ13:IZ13)</f>
        <v>0</v>
      </c>
      <c r="P13" s="7"/>
      <c r="Q13" s="7"/>
      <c r="R13" s="2">
        <f t="shared" ref="R13" si="198">P13*Q13/1000000</f>
        <v>0</v>
      </c>
      <c r="S13" s="27">
        <f t="shared" ref="S13" si="199">AM13</f>
        <v>0</v>
      </c>
      <c r="T13" s="27">
        <f t="shared" ref="T13" si="200">BH13</f>
        <v>0</v>
      </c>
      <c r="U13" s="27">
        <f t="shared" ref="U13" si="201">CC13</f>
        <v>0</v>
      </c>
      <c r="V13" s="27">
        <f t="shared" ref="V13" si="202">CX13</f>
        <v>0</v>
      </c>
      <c r="W13" s="27">
        <f t="shared" ref="W13" si="203">DS13</f>
        <v>0</v>
      </c>
      <c r="X13" s="27">
        <f t="shared" ref="X13" si="204">EN13</f>
        <v>0</v>
      </c>
      <c r="Y13" s="27">
        <f t="shared" ref="Y13" si="205">FI13</f>
        <v>0</v>
      </c>
      <c r="Z13" s="27">
        <f t="shared" ref="Z13" si="206">GD13</f>
        <v>0</v>
      </c>
      <c r="AA13" s="27">
        <f t="shared" ref="AA13" si="207">GY13</f>
        <v>0</v>
      </c>
      <c r="AB13" s="4">
        <f t="shared" ref="AB13" si="208">P13*Q13*O13/1000000</f>
        <v>0</v>
      </c>
      <c r="AC13" s="2" t="str">
        <f t="shared" ref="AC13" si="209">IF(E13=1,E13*$O13*$Q13/1000,IF(E13=2,E13*$O13*$Q13/1000," "))</f>
        <v xml:space="preserve"> </v>
      </c>
      <c r="AD13" s="2" t="str">
        <f t="shared" ref="AD13" si="210">IF(F13=1,F13*$O13*$P13/1000,IF(F13=2,F13*$O13*$P13/1000," "))</f>
        <v xml:space="preserve"> </v>
      </c>
      <c r="AE13" s="2" t="str">
        <f t="shared" ref="AE13" si="211">IF(G13=1,G13*$O13*$P13/1000,IF(G13=2,G13*$O13*$P13/1000," "))</f>
        <v xml:space="preserve"> </v>
      </c>
      <c r="AF13" s="2" t="str">
        <f t="shared" ref="AF13" si="212">IF(H13=1,H13*$O13*$Q13/1000,IF(H13=2,H13*$O13*$Q13/1000," "))</f>
        <v xml:space="preserve"> </v>
      </c>
      <c r="AG13" s="2" t="str">
        <f t="shared" ref="AG13" si="213">IF(I13=1,I13*$O13*$P13/1000,IF(I13=2,I13*$O13*$P13/1000," "))</f>
        <v xml:space="preserve"> </v>
      </c>
      <c r="AH13" s="2" t="str">
        <f t="shared" ref="AH13" si="214">IF(J13=1,J13*$O13*$P13/1000,IF(J13=2,J13*$O13*$P13/1000," "))</f>
        <v xml:space="preserve"> </v>
      </c>
      <c r="AI13" s="2" t="str">
        <f t="shared" ref="AI13" si="215">IF(K13=1,K13*$O13*$Q13/1000,IF(K13=2,K13*$O13*$Q13/1000," "))</f>
        <v xml:space="preserve"> </v>
      </c>
      <c r="AJ13" s="2" t="str">
        <f t="shared" ref="AJ13" si="216">IF(L13=1,L13*$O13*$P13/1000,IF(L13=2,L13*$O13*$P13/1000," "))</f>
        <v xml:space="preserve"> </v>
      </c>
      <c r="AK13" s="2" t="str">
        <f t="shared" ref="AK13" si="217">IF(M13=1,M13*$O13*$P13/1000,IF(M13=2,M13*$O13*$P13/1000," "))</f>
        <v xml:space="preserve"> </v>
      </c>
      <c r="AL13" s="2" t="str">
        <f t="shared" ref="AL13" si="218">IF(N13=1,N13*$O13*$Q13/1000,IF(N13=2,N13*$O13*$Q13/1000," "))</f>
        <v xml:space="preserve"> </v>
      </c>
      <c r="AM13" s="23">
        <f t="shared" ref="AM13" si="219">SUM(AN13:BG13)*R13</f>
        <v>0</v>
      </c>
      <c r="AN13" s="8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11"/>
      <c r="BH13" s="1">
        <f t="shared" ref="BH13" si="220">SUM(BI13:CB13)*R13</f>
        <v>0</v>
      </c>
      <c r="BI13" s="8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11"/>
      <c r="CC13" s="1">
        <f t="shared" ref="CC13" si="221">SUM(CD13:CW13)*R13</f>
        <v>0</v>
      </c>
      <c r="CD13" s="8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11"/>
      <c r="CX13" s="10">
        <f t="shared" ref="CX13" si="222">SUM(CY13:DR13)*R13</f>
        <v>0</v>
      </c>
      <c r="CY13" s="8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11"/>
      <c r="DS13" s="10">
        <f t="shared" ref="DS13" si="223">SUM(DT13:EM13)*R13</f>
        <v>0</v>
      </c>
      <c r="DT13" s="8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11"/>
      <c r="EN13" s="10">
        <f t="shared" ref="EN13" si="224">SUM(EO13:FH13)*R13</f>
        <v>0</v>
      </c>
      <c r="EO13" s="8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11"/>
      <c r="FI13" s="10">
        <f t="shared" ref="FI13" si="225">SUM(FJ13:GC13)*R13</f>
        <v>0</v>
      </c>
      <c r="FJ13" s="8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11"/>
      <c r="GD13" s="10">
        <f t="shared" ref="GD13" si="226">SUM(GE13:GX13)*R13</f>
        <v>0</v>
      </c>
      <c r="GE13" s="8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11"/>
      <c r="GY13" s="10">
        <f t="shared" ref="GY13" si="227">SUM(GZ13:IZ13)*R13</f>
        <v>0</v>
      </c>
      <c r="GZ13" s="8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11"/>
    </row>
    <row r="14" spans="1:261" ht="14.25" customHeight="1" x14ac:dyDescent="0.3">
      <c r="A14" s="63"/>
      <c r="B14" s="61"/>
      <c r="C14" s="62"/>
      <c r="D14" s="62"/>
      <c r="E14" s="5"/>
      <c r="F14" s="5"/>
      <c r="G14" s="5"/>
      <c r="H14" s="5"/>
      <c r="I14" s="5"/>
      <c r="J14" s="5"/>
      <c r="K14" s="5"/>
      <c r="L14" s="5"/>
      <c r="M14" s="5"/>
      <c r="N14" s="5"/>
      <c r="O14" s="3">
        <f t="shared" ref="O14" si="228">SUM(AN14:BG14,BI14:CB14,CD14:CW14,CY14:DR14,DT14:EM14,EO14:FH14,FJ14:GC14,GE14:GX14,GZ14:IZ14)</f>
        <v>0</v>
      </c>
      <c r="P14" s="7"/>
      <c r="Q14" s="7"/>
      <c r="R14" s="2">
        <f t="shared" ref="R14" si="229">P14*Q14/1000000</f>
        <v>0</v>
      </c>
      <c r="S14" s="27">
        <f t="shared" ref="S14" si="230">AM14</f>
        <v>0</v>
      </c>
      <c r="T14" s="27">
        <f t="shared" ref="T14" si="231">BH14</f>
        <v>0</v>
      </c>
      <c r="U14" s="27">
        <f t="shared" ref="U14" si="232">CC14</f>
        <v>0</v>
      </c>
      <c r="V14" s="27">
        <f t="shared" ref="V14" si="233">CX14</f>
        <v>0</v>
      </c>
      <c r="W14" s="27">
        <f t="shared" ref="W14" si="234">DS14</f>
        <v>0</v>
      </c>
      <c r="X14" s="27">
        <f t="shared" ref="X14" si="235">EN14</f>
        <v>0</v>
      </c>
      <c r="Y14" s="27">
        <f t="shared" ref="Y14" si="236">FI14</f>
        <v>0</v>
      </c>
      <c r="Z14" s="27">
        <f t="shared" ref="Z14" si="237">GD14</f>
        <v>0</v>
      </c>
      <c r="AA14" s="27">
        <f t="shared" ref="AA14" si="238">GY14</f>
        <v>0</v>
      </c>
      <c r="AB14" s="4">
        <f t="shared" ref="AB14" si="239">P14*Q14*O14/1000000</f>
        <v>0</v>
      </c>
      <c r="AC14" s="2" t="str">
        <f t="shared" ref="AC14" si="240">IF(E14=1,E14*$O14*$Q14/1000,IF(E14=2,E14*$O14*$Q14/1000," "))</f>
        <v xml:space="preserve"> </v>
      </c>
      <c r="AD14" s="2" t="str">
        <f t="shared" ref="AD14" si="241">IF(F14=1,F14*$O14*$P14/1000,IF(F14=2,F14*$O14*$P14/1000," "))</f>
        <v xml:space="preserve"> </v>
      </c>
      <c r="AE14" s="2" t="str">
        <f t="shared" ref="AE14" si="242">IF(G14=1,G14*$O14*$P14/1000,IF(G14=2,G14*$O14*$P14/1000," "))</f>
        <v xml:space="preserve"> </v>
      </c>
      <c r="AF14" s="2" t="str">
        <f t="shared" ref="AF14" si="243">IF(H14=1,H14*$O14*$Q14/1000,IF(H14=2,H14*$O14*$Q14/1000," "))</f>
        <v xml:space="preserve"> </v>
      </c>
      <c r="AG14" s="2" t="str">
        <f t="shared" ref="AG14" si="244">IF(I14=1,I14*$O14*$P14/1000,IF(I14=2,I14*$O14*$P14/1000," "))</f>
        <v xml:space="preserve"> </v>
      </c>
      <c r="AH14" s="2" t="str">
        <f t="shared" ref="AH14" si="245">IF(J14=1,J14*$O14*$P14/1000,IF(J14=2,J14*$O14*$P14/1000," "))</f>
        <v xml:space="preserve"> </v>
      </c>
      <c r="AI14" s="2" t="str">
        <f t="shared" ref="AI14" si="246">IF(K14=1,K14*$O14*$Q14/1000,IF(K14=2,K14*$O14*$Q14/1000," "))</f>
        <v xml:space="preserve"> </v>
      </c>
      <c r="AJ14" s="2" t="str">
        <f t="shared" ref="AJ14" si="247">IF(L14=1,L14*$O14*$P14/1000,IF(L14=2,L14*$O14*$P14/1000," "))</f>
        <v xml:space="preserve"> </v>
      </c>
      <c r="AK14" s="2" t="str">
        <f t="shared" ref="AK14" si="248">IF(M14=1,M14*$O14*$P14/1000,IF(M14=2,M14*$O14*$P14/1000," "))</f>
        <v xml:space="preserve"> </v>
      </c>
      <c r="AL14" s="2" t="str">
        <f t="shared" ref="AL14" si="249">IF(N14=1,N14*$O14*$Q14/1000,IF(N14=2,N14*$O14*$Q14/1000," "))</f>
        <v xml:space="preserve"> </v>
      </c>
      <c r="AM14" s="23">
        <f t="shared" ref="AM14" si="250">SUM(AN14:BG14)*R14</f>
        <v>0</v>
      </c>
      <c r="AN14" s="8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11"/>
      <c r="BH14" s="1">
        <f t="shared" ref="BH14" si="251">SUM(BI14:CB14)*R14</f>
        <v>0</v>
      </c>
      <c r="BI14" s="8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11"/>
      <c r="CC14" s="1">
        <f t="shared" ref="CC14" si="252">SUM(CD14:CW14)*R14</f>
        <v>0</v>
      </c>
      <c r="CD14" s="8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11"/>
      <c r="CX14" s="10">
        <f t="shared" ref="CX14" si="253">SUM(CY14:DR14)*R14</f>
        <v>0</v>
      </c>
      <c r="CY14" s="8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11"/>
      <c r="DS14" s="10">
        <f t="shared" ref="DS14" si="254">SUM(DT14:EM14)*R14</f>
        <v>0</v>
      </c>
      <c r="DT14" s="8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11"/>
      <c r="EN14" s="10">
        <f t="shared" ref="EN14" si="255">SUM(EO14:FH14)*R14</f>
        <v>0</v>
      </c>
      <c r="EO14" s="8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11"/>
      <c r="FI14" s="10">
        <f t="shared" ref="FI14" si="256">SUM(FJ14:GC14)*R14</f>
        <v>0</v>
      </c>
      <c r="FJ14" s="8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11"/>
      <c r="GD14" s="10">
        <f t="shared" ref="GD14" si="257">SUM(GE14:GX14)*R14</f>
        <v>0</v>
      </c>
      <c r="GE14" s="8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11"/>
      <c r="GY14" s="10">
        <f t="shared" ref="GY14" si="258">SUM(GZ14:IZ14)*R14</f>
        <v>0</v>
      </c>
      <c r="GZ14" s="8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11"/>
    </row>
    <row r="15" spans="1:261" ht="14.25" customHeight="1" x14ac:dyDescent="0.3">
      <c r="A15" s="63"/>
      <c r="B15" s="61"/>
      <c r="C15" s="62"/>
      <c r="D15" s="62"/>
      <c r="E15" s="5"/>
      <c r="F15" s="5"/>
      <c r="G15" s="5"/>
      <c r="H15" s="5"/>
      <c r="I15" s="5"/>
      <c r="J15" s="5"/>
      <c r="K15" s="5"/>
      <c r="L15" s="5"/>
      <c r="M15" s="5"/>
      <c r="N15" s="5"/>
      <c r="O15" s="3">
        <f t="shared" ref="O15" si="259">SUM(AN15:BG15,BI15:CB15,CD15:CW15,CY15:DR15,DT15:EM15,EO15:FH15,FJ15:GC15,GE15:GX15,GZ15:IZ15)</f>
        <v>0</v>
      </c>
      <c r="P15" s="7"/>
      <c r="Q15" s="7"/>
      <c r="R15" s="2">
        <f t="shared" ref="R15" si="260">P15*Q15/1000000</f>
        <v>0</v>
      </c>
      <c r="S15" s="27">
        <f t="shared" ref="S15" si="261">AM15</f>
        <v>0</v>
      </c>
      <c r="T15" s="27">
        <f t="shared" ref="T15" si="262">BH15</f>
        <v>0</v>
      </c>
      <c r="U15" s="27">
        <f t="shared" ref="U15" si="263">CC15</f>
        <v>0</v>
      </c>
      <c r="V15" s="27">
        <f t="shared" ref="V15" si="264">CX15</f>
        <v>0</v>
      </c>
      <c r="W15" s="27">
        <f t="shared" ref="W15" si="265">DS15</f>
        <v>0</v>
      </c>
      <c r="X15" s="27">
        <f t="shared" ref="X15" si="266">EN15</f>
        <v>0</v>
      </c>
      <c r="Y15" s="27">
        <f t="shared" ref="Y15" si="267">FI15</f>
        <v>0</v>
      </c>
      <c r="Z15" s="27">
        <f t="shared" ref="Z15" si="268">GD15</f>
        <v>0</v>
      </c>
      <c r="AA15" s="27">
        <f t="shared" ref="AA15" si="269">GY15</f>
        <v>0</v>
      </c>
      <c r="AB15" s="4">
        <f t="shared" ref="AB15" si="270">P15*Q15*O15/1000000</f>
        <v>0</v>
      </c>
      <c r="AC15" s="2" t="str">
        <f t="shared" ref="AC15" si="271">IF(E15=1,E15*$O15*$Q15/1000,IF(E15=2,E15*$O15*$Q15/1000," "))</f>
        <v xml:space="preserve"> </v>
      </c>
      <c r="AD15" s="2" t="str">
        <f t="shared" ref="AD15" si="272">IF(F15=1,F15*$O15*$P15/1000,IF(F15=2,F15*$O15*$P15/1000," "))</f>
        <v xml:space="preserve"> </v>
      </c>
      <c r="AE15" s="2" t="str">
        <f t="shared" ref="AE15" si="273">IF(G15=1,G15*$O15*$P15/1000,IF(G15=2,G15*$O15*$P15/1000," "))</f>
        <v xml:space="preserve"> </v>
      </c>
      <c r="AF15" s="2" t="str">
        <f t="shared" ref="AF15" si="274">IF(H15=1,H15*$O15*$Q15/1000,IF(H15=2,H15*$O15*$Q15/1000," "))</f>
        <v xml:space="preserve"> </v>
      </c>
      <c r="AG15" s="2" t="str">
        <f t="shared" ref="AG15" si="275">IF(I15=1,I15*$O15*$P15/1000,IF(I15=2,I15*$O15*$P15/1000," "))</f>
        <v xml:space="preserve"> </v>
      </c>
      <c r="AH15" s="2" t="str">
        <f t="shared" ref="AH15" si="276">IF(J15=1,J15*$O15*$P15/1000,IF(J15=2,J15*$O15*$P15/1000," "))</f>
        <v xml:space="preserve"> </v>
      </c>
      <c r="AI15" s="2" t="str">
        <f t="shared" ref="AI15" si="277">IF(K15=1,K15*$O15*$Q15/1000,IF(K15=2,K15*$O15*$Q15/1000," "))</f>
        <v xml:space="preserve"> </v>
      </c>
      <c r="AJ15" s="2" t="str">
        <f t="shared" ref="AJ15" si="278">IF(L15=1,L15*$O15*$P15/1000,IF(L15=2,L15*$O15*$P15/1000," "))</f>
        <v xml:space="preserve"> </v>
      </c>
      <c r="AK15" s="2" t="str">
        <f t="shared" ref="AK15" si="279">IF(M15=1,M15*$O15*$P15/1000,IF(M15=2,M15*$O15*$P15/1000," "))</f>
        <v xml:space="preserve"> </v>
      </c>
      <c r="AL15" s="2" t="str">
        <f t="shared" ref="AL15" si="280">IF(N15=1,N15*$O15*$Q15/1000,IF(N15=2,N15*$O15*$Q15/1000," "))</f>
        <v xml:space="preserve"> </v>
      </c>
      <c r="AM15" s="23">
        <f t="shared" ref="AM15" si="281">SUM(AN15:BG15)*R15</f>
        <v>0</v>
      </c>
      <c r="AN15" s="8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11"/>
      <c r="BH15" s="1">
        <f t="shared" ref="BH15" si="282">SUM(BI15:CB15)*R15</f>
        <v>0</v>
      </c>
      <c r="BI15" s="8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11"/>
      <c r="CC15" s="1">
        <f t="shared" ref="CC15" si="283">SUM(CD15:CW15)*R15</f>
        <v>0</v>
      </c>
      <c r="CD15" s="8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11"/>
      <c r="CX15" s="10">
        <f t="shared" ref="CX15" si="284">SUM(CY15:DR15)*R15</f>
        <v>0</v>
      </c>
      <c r="CY15" s="8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11"/>
      <c r="DS15" s="10">
        <f t="shared" ref="DS15" si="285">SUM(DT15:EM15)*R15</f>
        <v>0</v>
      </c>
      <c r="DT15" s="8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11"/>
      <c r="EN15" s="10">
        <f t="shared" ref="EN15" si="286">SUM(EO15:FH15)*R15</f>
        <v>0</v>
      </c>
      <c r="EO15" s="8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11"/>
      <c r="FI15" s="10">
        <f t="shared" ref="FI15" si="287">SUM(FJ15:GC15)*R15</f>
        <v>0</v>
      </c>
      <c r="FJ15" s="8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11"/>
      <c r="GD15" s="10">
        <f t="shared" ref="GD15" si="288">SUM(GE15:GX15)*R15</f>
        <v>0</v>
      </c>
      <c r="GE15" s="8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11"/>
      <c r="GY15" s="10">
        <f t="shared" ref="GY15" si="289">SUM(GZ15:IZ15)*R15</f>
        <v>0</v>
      </c>
      <c r="GZ15" s="8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11"/>
    </row>
    <row r="16" spans="1:261" ht="14.25" customHeight="1" x14ac:dyDescent="0.3">
      <c r="A16" s="63"/>
      <c r="B16" s="61"/>
      <c r="C16" s="62"/>
      <c r="D16" s="62"/>
      <c r="E16" s="5"/>
      <c r="F16" s="5"/>
      <c r="G16" s="5"/>
      <c r="H16" s="5"/>
      <c r="I16" s="5"/>
      <c r="J16" s="5"/>
      <c r="K16" s="5"/>
      <c r="L16" s="5"/>
      <c r="M16" s="5"/>
      <c r="N16" s="5"/>
      <c r="O16" s="3">
        <f t="shared" ref="O16" si="290">SUM(AN16:BG16,BI16:CB16,CD16:CW16,CY16:DR16,DT16:EM16,EO16:FH16,FJ16:GC16,GE16:GX16,GZ16:IZ16)</f>
        <v>0</v>
      </c>
      <c r="P16" s="7"/>
      <c r="Q16" s="7"/>
      <c r="R16" s="2">
        <f t="shared" ref="R16" si="291">P16*Q16/1000000</f>
        <v>0</v>
      </c>
      <c r="S16" s="27">
        <f t="shared" ref="S16" si="292">AM16</f>
        <v>0</v>
      </c>
      <c r="T16" s="27">
        <f t="shared" ref="T16" si="293">BH16</f>
        <v>0</v>
      </c>
      <c r="U16" s="27">
        <f t="shared" ref="U16" si="294">CC16</f>
        <v>0</v>
      </c>
      <c r="V16" s="27">
        <f t="shared" ref="V16" si="295">CX16</f>
        <v>0</v>
      </c>
      <c r="W16" s="27">
        <f t="shared" ref="W16" si="296">DS16</f>
        <v>0</v>
      </c>
      <c r="X16" s="27">
        <f t="shared" ref="X16" si="297">EN16</f>
        <v>0</v>
      </c>
      <c r="Y16" s="27">
        <f t="shared" ref="Y16" si="298">FI16</f>
        <v>0</v>
      </c>
      <c r="Z16" s="27">
        <f t="shared" ref="Z16" si="299">GD16</f>
        <v>0</v>
      </c>
      <c r="AA16" s="27">
        <f t="shared" ref="AA16" si="300">GY16</f>
        <v>0</v>
      </c>
      <c r="AB16" s="4">
        <f t="shared" ref="AB16" si="301">P16*Q16*O16/1000000</f>
        <v>0</v>
      </c>
      <c r="AC16" s="2" t="str">
        <f t="shared" ref="AC16" si="302">IF(E16=1,E16*$O16*$Q16/1000,IF(E16=2,E16*$O16*$Q16/1000," "))</f>
        <v xml:space="preserve"> </v>
      </c>
      <c r="AD16" s="2" t="str">
        <f t="shared" ref="AD16" si="303">IF(F16=1,F16*$O16*$P16/1000,IF(F16=2,F16*$O16*$P16/1000," "))</f>
        <v xml:space="preserve"> </v>
      </c>
      <c r="AE16" s="2" t="str">
        <f t="shared" ref="AE16" si="304">IF(G16=1,G16*$O16*$P16/1000,IF(G16=2,G16*$O16*$P16/1000," "))</f>
        <v xml:space="preserve"> </v>
      </c>
      <c r="AF16" s="2" t="str">
        <f t="shared" ref="AF16" si="305">IF(H16=1,H16*$O16*$Q16/1000,IF(H16=2,H16*$O16*$Q16/1000," "))</f>
        <v xml:space="preserve"> </v>
      </c>
      <c r="AG16" s="2" t="str">
        <f t="shared" ref="AG16" si="306">IF(I16=1,I16*$O16*$P16/1000,IF(I16=2,I16*$O16*$P16/1000," "))</f>
        <v xml:space="preserve"> </v>
      </c>
      <c r="AH16" s="2" t="str">
        <f t="shared" ref="AH16" si="307">IF(J16=1,J16*$O16*$P16/1000,IF(J16=2,J16*$O16*$P16/1000," "))</f>
        <v xml:space="preserve"> </v>
      </c>
      <c r="AI16" s="2" t="str">
        <f t="shared" ref="AI16" si="308">IF(K16=1,K16*$O16*$Q16/1000,IF(K16=2,K16*$O16*$Q16/1000," "))</f>
        <v xml:space="preserve"> </v>
      </c>
      <c r="AJ16" s="2" t="str">
        <f t="shared" ref="AJ16" si="309">IF(L16=1,L16*$O16*$P16/1000,IF(L16=2,L16*$O16*$P16/1000," "))</f>
        <v xml:space="preserve"> </v>
      </c>
      <c r="AK16" s="2" t="str">
        <f t="shared" ref="AK16" si="310">IF(M16=1,M16*$O16*$P16/1000,IF(M16=2,M16*$O16*$P16/1000," "))</f>
        <v xml:space="preserve"> </v>
      </c>
      <c r="AL16" s="2" t="str">
        <f t="shared" ref="AL16" si="311">IF(N16=1,N16*$O16*$Q16/1000,IF(N16=2,N16*$O16*$Q16/1000," "))</f>
        <v xml:space="preserve"> </v>
      </c>
      <c r="AM16" s="23">
        <f t="shared" ref="AM16" si="312">SUM(AN16:BG16)*R16</f>
        <v>0</v>
      </c>
      <c r="AN16" s="8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11"/>
      <c r="BH16" s="1">
        <f t="shared" ref="BH16" si="313">SUM(BI16:CB16)*R16</f>
        <v>0</v>
      </c>
      <c r="BI16" s="8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11"/>
      <c r="CC16" s="1">
        <f t="shared" ref="CC16" si="314">SUM(CD16:CW16)*R16</f>
        <v>0</v>
      </c>
      <c r="CD16" s="8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11"/>
      <c r="CX16" s="10">
        <f t="shared" ref="CX16" si="315">SUM(CY16:DR16)*R16</f>
        <v>0</v>
      </c>
      <c r="CY16" s="8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11"/>
      <c r="DS16" s="10">
        <f t="shared" ref="DS16" si="316">SUM(DT16:EM16)*R16</f>
        <v>0</v>
      </c>
      <c r="DT16" s="8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11"/>
      <c r="EN16" s="10">
        <f t="shared" ref="EN16" si="317">SUM(EO16:FH16)*R16</f>
        <v>0</v>
      </c>
      <c r="EO16" s="8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11"/>
      <c r="FI16" s="10">
        <f t="shared" ref="FI16" si="318">SUM(FJ16:GC16)*R16</f>
        <v>0</v>
      </c>
      <c r="FJ16" s="8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11"/>
      <c r="GD16" s="10">
        <f t="shared" ref="GD16" si="319">SUM(GE16:GX16)*R16</f>
        <v>0</v>
      </c>
      <c r="GE16" s="8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11"/>
      <c r="GY16" s="10">
        <f t="shared" ref="GY16" si="320">SUM(GZ16:IZ16)*R16</f>
        <v>0</v>
      </c>
      <c r="GZ16" s="8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11"/>
    </row>
    <row r="17" spans="1:260" ht="14.25" customHeight="1" x14ac:dyDescent="0.3">
      <c r="A17" s="63"/>
      <c r="B17" s="61"/>
      <c r="C17" s="62"/>
      <c r="D17" s="62"/>
      <c r="E17" s="5"/>
      <c r="F17" s="5"/>
      <c r="G17" s="5"/>
      <c r="H17" s="5"/>
      <c r="I17" s="5"/>
      <c r="J17" s="5"/>
      <c r="K17" s="5"/>
      <c r="L17" s="5"/>
      <c r="M17" s="5"/>
      <c r="N17" s="5"/>
      <c r="O17" s="3">
        <f t="shared" ref="O17" si="321">SUM(AN17:BG17,BI17:CB17,CD17:CW17,CY17:DR17,DT17:EM17,EO17:FH17,FJ17:GC17,GE17:GX17,GZ17:IZ17)</f>
        <v>0</v>
      </c>
      <c r="P17" s="7"/>
      <c r="Q17" s="7"/>
      <c r="R17" s="2">
        <f t="shared" ref="R17" si="322">P17*Q17/1000000</f>
        <v>0</v>
      </c>
      <c r="S17" s="27">
        <f t="shared" ref="S17" si="323">AM17</f>
        <v>0</v>
      </c>
      <c r="T17" s="27">
        <f t="shared" ref="T17" si="324">BH17</f>
        <v>0</v>
      </c>
      <c r="U17" s="27">
        <f t="shared" ref="U17" si="325">CC17</f>
        <v>0</v>
      </c>
      <c r="V17" s="27">
        <f t="shared" ref="V17" si="326">CX17</f>
        <v>0</v>
      </c>
      <c r="W17" s="27">
        <f t="shared" ref="W17" si="327">DS17</f>
        <v>0</v>
      </c>
      <c r="X17" s="27">
        <f t="shared" ref="X17" si="328">EN17</f>
        <v>0</v>
      </c>
      <c r="Y17" s="27">
        <f t="shared" ref="Y17" si="329">FI17</f>
        <v>0</v>
      </c>
      <c r="Z17" s="27">
        <f t="shared" ref="Z17" si="330">GD17</f>
        <v>0</v>
      </c>
      <c r="AA17" s="27">
        <f t="shared" ref="AA17" si="331">GY17</f>
        <v>0</v>
      </c>
      <c r="AB17" s="4">
        <f t="shared" ref="AB17" si="332">P17*Q17*O17/1000000</f>
        <v>0</v>
      </c>
      <c r="AC17" s="2" t="str">
        <f t="shared" ref="AC17" si="333">IF(E17=1,E17*$O17*$Q17/1000,IF(E17=2,E17*$O17*$Q17/1000," "))</f>
        <v xml:space="preserve"> </v>
      </c>
      <c r="AD17" s="2" t="str">
        <f t="shared" ref="AD17" si="334">IF(F17=1,F17*$O17*$P17/1000,IF(F17=2,F17*$O17*$P17/1000," "))</f>
        <v xml:space="preserve"> </v>
      </c>
      <c r="AE17" s="2" t="str">
        <f t="shared" ref="AE17" si="335">IF(G17=1,G17*$O17*$P17/1000,IF(G17=2,G17*$O17*$P17/1000," "))</f>
        <v xml:space="preserve"> </v>
      </c>
      <c r="AF17" s="2" t="str">
        <f t="shared" ref="AF17" si="336">IF(H17=1,H17*$O17*$Q17/1000,IF(H17=2,H17*$O17*$Q17/1000," "))</f>
        <v xml:space="preserve"> </v>
      </c>
      <c r="AG17" s="2" t="str">
        <f t="shared" ref="AG17" si="337">IF(I17=1,I17*$O17*$P17/1000,IF(I17=2,I17*$O17*$P17/1000," "))</f>
        <v xml:space="preserve"> </v>
      </c>
      <c r="AH17" s="2" t="str">
        <f t="shared" ref="AH17" si="338">IF(J17=1,J17*$O17*$P17/1000,IF(J17=2,J17*$O17*$P17/1000," "))</f>
        <v xml:space="preserve"> </v>
      </c>
      <c r="AI17" s="2" t="str">
        <f t="shared" ref="AI17" si="339">IF(K17=1,K17*$O17*$Q17/1000,IF(K17=2,K17*$O17*$Q17/1000," "))</f>
        <v xml:space="preserve"> </v>
      </c>
      <c r="AJ17" s="2" t="str">
        <f t="shared" ref="AJ17" si="340">IF(L17=1,L17*$O17*$P17/1000,IF(L17=2,L17*$O17*$P17/1000," "))</f>
        <v xml:space="preserve"> </v>
      </c>
      <c r="AK17" s="2" t="str">
        <f t="shared" ref="AK17" si="341">IF(M17=1,M17*$O17*$P17/1000,IF(M17=2,M17*$O17*$P17/1000," "))</f>
        <v xml:space="preserve"> </v>
      </c>
      <c r="AL17" s="2" t="str">
        <f t="shared" ref="AL17" si="342">IF(N17=1,N17*$O17*$Q17/1000,IF(N17=2,N17*$O17*$Q17/1000," "))</f>
        <v xml:space="preserve"> </v>
      </c>
      <c r="AM17" s="23">
        <f t="shared" ref="AM17" si="343">SUM(AN17:BG17)*R17</f>
        <v>0</v>
      </c>
      <c r="AN17" s="8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11"/>
      <c r="BH17" s="1">
        <f t="shared" ref="BH17" si="344">SUM(BI17:CB17)*R17</f>
        <v>0</v>
      </c>
      <c r="BI17" s="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11"/>
      <c r="CC17" s="1">
        <f t="shared" ref="CC17" si="345">SUM(CD17:CW17)*R17</f>
        <v>0</v>
      </c>
      <c r="CD17" s="8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11"/>
      <c r="CX17" s="10">
        <f t="shared" ref="CX17" si="346">SUM(CY17:DR17)*R17</f>
        <v>0</v>
      </c>
      <c r="CY17" s="8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11"/>
      <c r="DS17" s="10">
        <f t="shared" ref="DS17" si="347">SUM(DT17:EM17)*R17</f>
        <v>0</v>
      </c>
      <c r="DT17" s="8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11"/>
      <c r="EN17" s="10">
        <f t="shared" ref="EN17" si="348">SUM(EO17:FH17)*R17</f>
        <v>0</v>
      </c>
      <c r="EO17" s="8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11"/>
      <c r="FI17" s="10">
        <f t="shared" ref="FI17" si="349">SUM(FJ17:GC17)*R17</f>
        <v>0</v>
      </c>
      <c r="FJ17" s="8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11"/>
      <c r="GD17" s="10">
        <f t="shared" ref="GD17" si="350">SUM(GE17:GX17)*R17</f>
        <v>0</v>
      </c>
      <c r="GE17" s="8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11"/>
      <c r="GY17" s="10">
        <f t="shared" ref="GY17" si="351">SUM(GZ17:IZ17)*R17</f>
        <v>0</v>
      </c>
      <c r="GZ17" s="8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11"/>
    </row>
    <row r="18" spans="1:260" ht="14.25" customHeight="1" x14ac:dyDescent="0.3">
      <c r="A18" s="63"/>
      <c r="B18" s="61"/>
      <c r="C18" s="62"/>
      <c r="D18" s="62"/>
      <c r="E18" s="5"/>
      <c r="F18" s="5"/>
      <c r="G18" s="5"/>
      <c r="H18" s="5"/>
      <c r="I18" s="5"/>
      <c r="J18" s="5"/>
      <c r="K18" s="5"/>
      <c r="L18" s="5"/>
      <c r="M18" s="5"/>
      <c r="N18" s="5"/>
      <c r="O18" s="3">
        <f t="shared" ref="O18" si="352">SUM(AN18:BG18,BI18:CB18,CD18:CW18,CY18:DR18,DT18:EM18,EO18:FH18,FJ18:GC18,GE18:GX18,GZ18:IZ18)</f>
        <v>0</v>
      </c>
      <c r="P18" s="7"/>
      <c r="Q18" s="7"/>
      <c r="R18" s="2">
        <f t="shared" ref="R18" si="353">P18*Q18/1000000</f>
        <v>0</v>
      </c>
      <c r="S18" s="27">
        <f t="shared" ref="S18" si="354">AM18</f>
        <v>0</v>
      </c>
      <c r="T18" s="27">
        <f t="shared" ref="T18" si="355">BH18</f>
        <v>0</v>
      </c>
      <c r="U18" s="27">
        <f t="shared" ref="U18" si="356">CC18</f>
        <v>0</v>
      </c>
      <c r="V18" s="27">
        <f t="shared" ref="V18" si="357">CX18</f>
        <v>0</v>
      </c>
      <c r="W18" s="27">
        <f t="shared" ref="W18" si="358">DS18</f>
        <v>0</v>
      </c>
      <c r="X18" s="27">
        <f t="shared" ref="X18" si="359">EN18</f>
        <v>0</v>
      </c>
      <c r="Y18" s="27">
        <f t="shared" ref="Y18" si="360">FI18</f>
        <v>0</v>
      </c>
      <c r="Z18" s="27">
        <f t="shared" ref="Z18" si="361">GD18</f>
        <v>0</v>
      </c>
      <c r="AA18" s="27">
        <f t="shared" ref="AA18" si="362">GY18</f>
        <v>0</v>
      </c>
      <c r="AB18" s="4">
        <f t="shared" ref="AB18" si="363">P18*Q18*O18/1000000</f>
        <v>0</v>
      </c>
      <c r="AC18" s="2" t="str">
        <f t="shared" ref="AC18" si="364">IF(E18=1,E18*$O18*$Q18/1000,IF(E18=2,E18*$O18*$Q18/1000," "))</f>
        <v xml:space="preserve"> </v>
      </c>
      <c r="AD18" s="2" t="str">
        <f t="shared" ref="AD18" si="365">IF(F18=1,F18*$O18*$P18/1000,IF(F18=2,F18*$O18*$P18/1000," "))</f>
        <v xml:space="preserve"> </v>
      </c>
      <c r="AE18" s="2" t="str">
        <f t="shared" ref="AE18" si="366">IF(G18=1,G18*$O18*$P18/1000,IF(G18=2,G18*$O18*$P18/1000," "))</f>
        <v xml:space="preserve"> </v>
      </c>
      <c r="AF18" s="2" t="str">
        <f t="shared" ref="AF18" si="367">IF(H18=1,H18*$O18*$Q18/1000,IF(H18=2,H18*$O18*$Q18/1000," "))</f>
        <v xml:space="preserve"> </v>
      </c>
      <c r="AG18" s="2" t="str">
        <f t="shared" ref="AG18" si="368">IF(I18=1,I18*$O18*$P18/1000,IF(I18=2,I18*$O18*$P18/1000," "))</f>
        <v xml:space="preserve"> </v>
      </c>
      <c r="AH18" s="2" t="str">
        <f t="shared" ref="AH18" si="369">IF(J18=1,J18*$O18*$P18/1000,IF(J18=2,J18*$O18*$P18/1000," "))</f>
        <v xml:space="preserve"> </v>
      </c>
      <c r="AI18" s="2" t="str">
        <f t="shared" ref="AI18" si="370">IF(K18=1,K18*$O18*$Q18/1000,IF(K18=2,K18*$O18*$Q18/1000," "))</f>
        <v xml:space="preserve"> </v>
      </c>
      <c r="AJ18" s="2" t="str">
        <f t="shared" ref="AJ18" si="371">IF(L18=1,L18*$O18*$P18/1000,IF(L18=2,L18*$O18*$P18/1000," "))</f>
        <v xml:space="preserve"> </v>
      </c>
      <c r="AK18" s="2" t="str">
        <f t="shared" ref="AK18" si="372">IF(M18=1,M18*$O18*$P18/1000,IF(M18=2,M18*$O18*$P18/1000," "))</f>
        <v xml:space="preserve"> </v>
      </c>
      <c r="AL18" s="2" t="str">
        <f t="shared" ref="AL18" si="373">IF(N18=1,N18*$O18*$Q18/1000,IF(N18=2,N18*$O18*$Q18/1000," "))</f>
        <v xml:space="preserve"> </v>
      </c>
      <c r="AM18" s="23">
        <f t="shared" ref="AM18" si="374">SUM(AN18:BG18)*R18</f>
        <v>0</v>
      </c>
      <c r="AN18" s="8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11"/>
      <c r="BH18" s="1">
        <f t="shared" ref="BH18" si="375">SUM(BI18:CB18)*R18</f>
        <v>0</v>
      </c>
      <c r="BI18" s="8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11"/>
      <c r="CC18" s="1">
        <f t="shared" ref="CC18" si="376">SUM(CD18:CW18)*R18</f>
        <v>0</v>
      </c>
      <c r="CD18" s="8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11"/>
      <c r="CX18" s="10">
        <f t="shared" ref="CX18" si="377">SUM(CY18:DR18)*R18</f>
        <v>0</v>
      </c>
      <c r="CY18" s="8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11"/>
      <c r="DS18" s="10">
        <f t="shared" ref="DS18" si="378">SUM(DT18:EM18)*R18</f>
        <v>0</v>
      </c>
      <c r="DT18" s="8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11"/>
      <c r="EN18" s="10">
        <f t="shared" ref="EN18" si="379">SUM(EO18:FH18)*R18</f>
        <v>0</v>
      </c>
      <c r="EO18" s="8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11"/>
      <c r="FI18" s="10">
        <f t="shared" ref="FI18" si="380">SUM(FJ18:GC18)*R18</f>
        <v>0</v>
      </c>
      <c r="FJ18" s="8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11"/>
      <c r="GD18" s="10">
        <f t="shared" ref="GD18" si="381">SUM(GE18:GX18)*R18</f>
        <v>0</v>
      </c>
      <c r="GE18" s="8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11"/>
      <c r="GY18" s="10">
        <f t="shared" ref="GY18" si="382">SUM(GZ18:IZ18)*R18</f>
        <v>0</v>
      </c>
      <c r="GZ18" s="8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11"/>
    </row>
    <row r="19" spans="1:260" ht="14.25" customHeight="1" x14ac:dyDescent="0.3">
      <c r="A19" s="63"/>
      <c r="B19" s="61"/>
      <c r="C19" s="62"/>
      <c r="D19" s="62"/>
      <c r="E19" s="5"/>
      <c r="F19" s="5"/>
      <c r="G19" s="5"/>
      <c r="H19" s="5"/>
      <c r="I19" s="5"/>
      <c r="J19" s="5"/>
      <c r="K19" s="5"/>
      <c r="L19" s="5"/>
      <c r="M19" s="5"/>
      <c r="N19" s="5"/>
      <c r="O19" s="3">
        <f t="shared" ref="O19" si="383">SUM(AN19:BG19,BI19:CB19,CD19:CW19,CY19:DR19,DT19:EM19,EO19:FH19,FJ19:GC19,GE19:GX19,GZ19:IZ19)</f>
        <v>0</v>
      </c>
      <c r="P19" s="7"/>
      <c r="Q19" s="7"/>
      <c r="R19" s="2">
        <f t="shared" ref="R19" si="384">P19*Q19/1000000</f>
        <v>0</v>
      </c>
      <c r="S19" s="27">
        <f t="shared" ref="S19" si="385">AM19</f>
        <v>0</v>
      </c>
      <c r="T19" s="27">
        <f t="shared" ref="T19" si="386">BH19</f>
        <v>0</v>
      </c>
      <c r="U19" s="27">
        <f t="shared" ref="U19" si="387">CC19</f>
        <v>0</v>
      </c>
      <c r="V19" s="27">
        <f t="shared" ref="V19" si="388">CX19</f>
        <v>0</v>
      </c>
      <c r="W19" s="27">
        <f t="shared" ref="W19" si="389">DS19</f>
        <v>0</v>
      </c>
      <c r="X19" s="27">
        <f t="shared" ref="X19" si="390">EN19</f>
        <v>0</v>
      </c>
      <c r="Y19" s="27">
        <f t="shared" ref="Y19" si="391">FI19</f>
        <v>0</v>
      </c>
      <c r="Z19" s="27">
        <f t="shared" ref="Z19" si="392">GD19</f>
        <v>0</v>
      </c>
      <c r="AA19" s="27">
        <f t="shared" ref="AA19" si="393">GY19</f>
        <v>0</v>
      </c>
      <c r="AB19" s="4">
        <f t="shared" ref="AB19" si="394">P19*Q19*O19/1000000</f>
        <v>0</v>
      </c>
      <c r="AC19" s="2" t="str">
        <f t="shared" ref="AC19" si="395">IF(E19=1,E19*$O19*$Q19/1000,IF(E19=2,E19*$O19*$Q19/1000," "))</f>
        <v xml:space="preserve"> </v>
      </c>
      <c r="AD19" s="2" t="str">
        <f t="shared" ref="AD19" si="396">IF(F19=1,F19*$O19*$P19/1000,IF(F19=2,F19*$O19*$P19/1000," "))</f>
        <v xml:space="preserve"> </v>
      </c>
      <c r="AE19" s="2" t="str">
        <f t="shared" ref="AE19" si="397">IF(G19=1,G19*$O19*$P19/1000,IF(G19=2,G19*$O19*$P19/1000," "))</f>
        <v xml:space="preserve"> </v>
      </c>
      <c r="AF19" s="2" t="str">
        <f t="shared" ref="AF19" si="398">IF(H19=1,H19*$O19*$Q19/1000,IF(H19=2,H19*$O19*$Q19/1000," "))</f>
        <v xml:space="preserve"> </v>
      </c>
      <c r="AG19" s="2" t="str">
        <f t="shared" ref="AG19" si="399">IF(I19=1,I19*$O19*$P19/1000,IF(I19=2,I19*$O19*$P19/1000," "))</f>
        <v xml:space="preserve"> </v>
      </c>
      <c r="AH19" s="2" t="str">
        <f t="shared" ref="AH19" si="400">IF(J19=1,J19*$O19*$P19/1000,IF(J19=2,J19*$O19*$P19/1000," "))</f>
        <v xml:space="preserve"> </v>
      </c>
      <c r="AI19" s="2" t="str">
        <f t="shared" ref="AI19" si="401">IF(K19=1,K19*$O19*$Q19/1000,IF(K19=2,K19*$O19*$Q19/1000," "))</f>
        <v xml:space="preserve"> </v>
      </c>
      <c r="AJ19" s="2" t="str">
        <f t="shared" ref="AJ19" si="402">IF(L19=1,L19*$O19*$P19/1000,IF(L19=2,L19*$O19*$P19/1000," "))</f>
        <v xml:space="preserve"> </v>
      </c>
      <c r="AK19" s="2" t="str">
        <f t="shared" ref="AK19" si="403">IF(M19=1,M19*$O19*$P19/1000,IF(M19=2,M19*$O19*$P19/1000," "))</f>
        <v xml:space="preserve"> </v>
      </c>
      <c r="AL19" s="2" t="str">
        <f t="shared" ref="AL19" si="404">IF(N19=1,N19*$O19*$Q19/1000,IF(N19=2,N19*$O19*$Q19/1000," "))</f>
        <v xml:space="preserve"> </v>
      </c>
      <c r="AM19" s="23">
        <f t="shared" ref="AM19" si="405">SUM(AN19:BG19)*R19</f>
        <v>0</v>
      </c>
      <c r="AN19" s="8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11"/>
      <c r="BH19" s="1">
        <f t="shared" ref="BH19" si="406">SUM(BI19:CB19)*R19</f>
        <v>0</v>
      </c>
      <c r="BI19" s="8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11"/>
      <c r="CC19" s="1">
        <f t="shared" ref="CC19" si="407">SUM(CD19:CW19)*R19</f>
        <v>0</v>
      </c>
      <c r="CD19" s="8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11"/>
      <c r="CX19" s="10">
        <f t="shared" ref="CX19" si="408">SUM(CY19:DR19)*R19</f>
        <v>0</v>
      </c>
      <c r="CY19" s="8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11"/>
      <c r="DS19" s="10">
        <f t="shared" ref="DS19" si="409">SUM(DT19:EM19)*R19</f>
        <v>0</v>
      </c>
      <c r="DT19" s="8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11"/>
      <c r="EN19" s="10">
        <f t="shared" ref="EN19" si="410">SUM(EO19:FH19)*R19</f>
        <v>0</v>
      </c>
      <c r="EO19" s="8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11"/>
      <c r="FI19" s="10">
        <f t="shared" ref="FI19" si="411">SUM(FJ19:GC19)*R19</f>
        <v>0</v>
      </c>
      <c r="FJ19" s="8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11"/>
      <c r="GD19" s="10">
        <f t="shared" ref="GD19" si="412">SUM(GE19:GX19)*R19</f>
        <v>0</v>
      </c>
      <c r="GE19" s="8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11"/>
      <c r="GY19" s="10">
        <f t="shared" ref="GY19" si="413">SUM(GZ19:IZ19)*R19</f>
        <v>0</v>
      </c>
      <c r="GZ19" s="8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11"/>
    </row>
    <row r="20" spans="1:260" ht="14.25" customHeight="1" x14ac:dyDescent="0.3">
      <c r="A20" s="63"/>
      <c r="B20" s="61"/>
      <c r="C20" s="62"/>
      <c r="D20" s="62"/>
      <c r="E20" s="5"/>
      <c r="F20" s="5"/>
      <c r="G20" s="5"/>
      <c r="H20" s="5"/>
      <c r="I20" s="5"/>
      <c r="J20" s="5"/>
      <c r="K20" s="5"/>
      <c r="L20" s="5"/>
      <c r="M20" s="5"/>
      <c r="N20" s="5"/>
      <c r="O20" s="3">
        <f t="shared" ref="O20" si="414">SUM(AN20:BG20,BI20:CB20,CD20:CW20,CY20:DR20,DT20:EM20,EO20:FH20,FJ20:GC20,GE20:GX20,GZ20:IZ20)</f>
        <v>0</v>
      </c>
      <c r="P20" s="7"/>
      <c r="Q20" s="7"/>
      <c r="R20" s="2">
        <f t="shared" ref="R20" si="415">P20*Q20/1000000</f>
        <v>0</v>
      </c>
      <c r="S20" s="27">
        <f t="shared" ref="S20" si="416">AM20</f>
        <v>0</v>
      </c>
      <c r="T20" s="27">
        <f t="shared" ref="T20" si="417">BH20</f>
        <v>0</v>
      </c>
      <c r="U20" s="27">
        <f t="shared" ref="U20" si="418">CC20</f>
        <v>0</v>
      </c>
      <c r="V20" s="27">
        <f t="shared" ref="V20" si="419">CX20</f>
        <v>0</v>
      </c>
      <c r="W20" s="27">
        <f t="shared" ref="W20" si="420">DS20</f>
        <v>0</v>
      </c>
      <c r="X20" s="27">
        <f t="shared" ref="X20" si="421">EN20</f>
        <v>0</v>
      </c>
      <c r="Y20" s="27">
        <f t="shared" ref="Y20" si="422">FI20</f>
        <v>0</v>
      </c>
      <c r="Z20" s="27">
        <f t="shared" ref="Z20" si="423">GD20</f>
        <v>0</v>
      </c>
      <c r="AA20" s="27">
        <f t="shared" ref="AA20" si="424">GY20</f>
        <v>0</v>
      </c>
      <c r="AB20" s="4">
        <f t="shared" ref="AB20" si="425">P20*Q20*O20/1000000</f>
        <v>0</v>
      </c>
      <c r="AC20" s="2" t="str">
        <f t="shared" ref="AC20" si="426">IF(E20=1,E20*$O20*$Q20/1000,IF(E20=2,E20*$O20*$Q20/1000," "))</f>
        <v xml:space="preserve"> </v>
      </c>
      <c r="AD20" s="2" t="str">
        <f t="shared" ref="AD20" si="427">IF(F20=1,F20*$O20*$P20/1000,IF(F20=2,F20*$O20*$P20/1000," "))</f>
        <v xml:space="preserve"> </v>
      </c>
      <c r="AE20" s="2" t="str">
        <f t="shared" ref="AE20" si="428">IF(G20=1,G20*$O20*$P20/1000,IF(G20=2,G20*$O20*$P20/1000," "))</f>
        <v xml:space="preserve"> </v>
      </c>
      <c r="AF20" s="2" t="str">
        <f t="shared" ref="AF20" si="429">IF(H20=1,H20*$O20*$Q20/1000,IF(H20=2,H20*$O20*$Q20/1000," "))</f>
        <v xml:space="preserve"> </v>
      </c>
      <c r="AG20" s="2" t="str">
        <f t="shared" ref="AG20" si="430">IF(I20=1,I20*$O20*$P20/1000,IF(I20=2,I20*$O20*$P20/1000," "))</f>
        <v xml:space="preserve"> </v>
      </c>
      <c r="AH20" s="2" t="str">
        <f t="shared" ref="AH20" si="431">IF(J20=1,J20*$O20*$P20/1000,IF(J20=2,J20*$O20*$P20/1000," "))</f>
        <v xml:space="preserve"> </v>
      </c>
      <c r="AI20" s="2" t="str">
        <f t="shared" ref="AI20" si="432">IF(K20=1,K20*$O20*$Q20/1000,IF(K20=2,K20*$O20*$Q20/1000," "))</f>
        <v xml:space="preserve"> </v>
      </c>
      <c r="AJ20" s="2" t="str">
        <f t="shared" ref="AJ20" si="433">IF(L20=1,L20*$O20*$P20/1000,IF(L20=2,L20*$O20*$P20/1000," "))</f>
        <v xml:space="preserve"> </v>
      </c>
      <c r="AK20" s="2" t="str">
        <f t="shared" ref="AK20" si="434">IF(M20=1,M20*$O20*$P20/1000,IF(M20=2,M20*$O20*$P20/1000," "))</f>
        <v xml:space="preserve"> </v>
      </c>
      <c r="AL20" s="2" t="str">
        <f t="shared" ref="AL20" si="435">IF(N20=1,N20*$O20*$Q20/1000,IF(N20=2,N20*$O20*$Q20/1000," "))</f>
        <v xml:space="preserve"> </v>
      </c>
      <c r="AM20" s="23">
        <f t="shared" ref="AM20" si="436">SUM(AN20:BG20)*R20</f>
        <v>0</v>
      </c>
      <c r="AN20" s="8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11"/>
      <c r="BH20" s="1">
        <f t="shared" ref="BH20" si="437">SUM(BI20:CB20)*R20</f>
        <v>0</v>
      </c>
      <c r="BI20" s="8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11"/>
      <c r="CC20" s="1">
        <f t="shared" ref="CC20" si="438">SUM(CD20:CW20)*R20</f>
        <v>0</v>
      </c>
      <c r="CD20" s="8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11"/>
      <c r="CX20" s="10">
        <f t="shared" ref="CX20" si="439">SUM(CY20:DR20)*R20</f>
        <v>0</v>
      </c>
      <c r="CY20" s="8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11"/>
      <c r="DS20" s="10">
        <f t="shared" ref="DS20" si="440">SUM(DT20:EM20)*R20</f>
        <v>0</v>
      </c>
      <c r="DT20" s="8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11"/>
      <c r="EN20" s="10">
        <f t="shared" ref="EN20" si="441">SUM(EO20:FH20)*R20</f>
        <v>0</v>
      </c>
      <c r="EO20" s="8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11"/>
      <c r="FI20" s="10">
        <f t="shared" ref="FI20" si="442">SUM(FJ20:GC20)*R20</f>
        <v>0</v>
      </c>
      <c r="FJ20" s="8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11"/>
      <c r="GD20" s="10">
        <f t="shared" ref="GD20" si="443">SUM(GE20:GX20)*R20</f>
        <v>0</v>
      </c>
      <c r="GE20" s="8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11"/>
      <c r="GY20" s="10">
        <f t="shared" ref="GY20" si="444">SUM(GZ20:IZ20)*R20</f>
        <v>0</v>
      </c>
      <c r="GZ20" s="8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11"/>
    </row>
    <row r="21" spans="1:260" ht="14.25" customHeight="1" x14ac:dyDescent="0.3">
      <c r="A21" s="63"/>
      <c r="B21" s="61"/>
      <c r="C21" s="62"/>
      <c r="D21" s="62"/>
      <c r="E21" s="5"/>
      <c r="F21" s="5"/>
      <c r="G21" s="5"/>
      <c r="H21" s="5"/>
      <c r="I21" s="5"/>
      <c r="J21" s="5"/>
      <c r="K21" s="5"/>
      <c r="L21" s="5"/>
      <c r="M21" s="5"/>
      <c r="N21" s="5"/>
      <c r="O21" s="3">
        <f t="shared" ref="O21" si="445">SUM(AN21:BG21,BI21:CB21,CD21:CW21,CY21:DR21,DT21:EM21,EO21:FH21,FJ21:GC21,GE21:GX21,GZ21:IZ21)</f>
        <v>0</v>
      </c>
      <c r="P21" s="7"/>
      <c r="Q21" s="7"/>
      <c r="R21" s="2">
        <f t="shared" ref="R21" si="446">P21*Q21/1000000</f>
        <v>0</v>
      </c>
      <c r="S21" s="27">
        <f t="shared" ref="S21" si="447">AM21</f>
        <v>0</v>
      </c>
      <c r="T21" s="27">
        <f t="shared" ref="T21" si="448">BH21</f>
        <v>0</v>
      </c>
      <c r="U21" s="27">
        <f t="shared" ref="U21" si="449">CC21</f>
        <v>0</v>
      </c>
      <c r="V21" s="27">
        <f t="shared" ref="V21" si="450">CX21</f>
        <v>0</v>
      </c>
      <c r="W21" s="27">
        <f t="shared" ref="W21" si="451">DS21</f>
        <v>0</v>
      </c>
      <c r="X21" s="27">
        <f t="shared" ref="X21" si="452">EN21</f>
        <v>0</v>
      </c>
      <c r="Y21" s="27">
        <f t="shared" ref="Y21" si="453">FI21</f>
        <v>0</v>
      </c>
      <c r="Z21" s="27">
        <f t="shared" ref="Z21" si="454">GD21</f>
        <v>0</v>
      </c>
      <c r="AA21" s="27">
        <f t="shared" ref="AA21" si="455">GY21</f>
        <v>0</v>
      </c>
      <c r="AB21" s="4">
        <f t="shared" ref="AB21" si="456">P21*Q21*O21/1000000</f>
        <v>0</v>
      </c>
      <c r="AC21" s="2" t="str">
        <f t="shared" ref="AC21" si="457">IF(E21=1,E21*$O21*$Q21/1000,IF(E21=2,E21*$O21*$Q21/1000," "))</f>
        <v xml:space="preserve"> </v>
      </c>
      <c r="AD21" s="2" t="str">
        <f t="shared" ref="AD21" si="458">IF(F21=1,F21*$O21*$P21/1000,IF(F21=2,F21*$O21*$P21/1000," "))</f>
        <v xml:space="preserve"> </v>
      </c>
      <c r="AE21" s="2" t="str">
        <f t="shared" ref="AE21" si="459">IF(G21=1,G21*$O21*$P21/1000,IF(G21=2,G21*$O21*$P21/1000," "))</f>
        <v xml:space="preserve"> </v>
      </c>
      <c r="AF21" s="2" t="str">
        <f t="shared" ref="AF21" si="460">IF(H21=1,H21*$O21*$Q21/1000,IF(H21=2,H21*$O21*$Q21/1000," "))</f>
        <v xml:space="preserve"> </v>
      </c>
      <c r="AG21" s="2" t="str">
        <f t="shared" ref="AG21" si="461">IF(I21=1,I21*$O21*$P21/1000,IF(I21=2,I21*$O21*$P21/1000," "))</f>
        <v xml:space="preserve"> </v>
      </c>
      <c r="AH21" s="2" t="str">
        <f t="shared" ref="AH21" si="462">IF(J21=1,J21*$O21*$P21/1000,IF(J21=2,J21*$O21*$P21/1000," "))</f>
        <v xml:space="preserve"> </v>
      </c>
      <c r="AI21" s="2" t="str">
        <f t="shared" ref="AI21" si="463">IF(K21=1,K21*$O21*$Q21/1000,IF(K21=2,K21*$O21*$Q21/1000," "))</f>
        <v xml:space="preserve"> </v>
      </c>
      <c r="AJ21" s="2" t="str">
        <f t="shared" ref="AJ21" si="464">IF(L21=1,L21*$O21*$P21/1000,IF(L21=2,L21*$O21*$P21/1000," "))</f>
        <v xml:space="preserve"> </v>
      </c>
      <c r="AK21" s="2" t="str">
        <f t="shared" ref="AK21" si="465">IF(M21=1,M21*$O21*$P21/1000,IF(M21=2,M21*$O21*$P21/1000," "))</f>
        <v xml:space="preserve"> </v>
      </c>
      <c r="AL21" s="2" t="str">
        <f t="shared" ref="AL21" si="466">IF(N21=1,N21*$O21*$Q21/1000,IF(N21=2,N21*$O21*$Q21/1000," "))</f>
        <v xml:space="preserve"> </v>
      </c>
      <c r="AM21" s="23">
        <f t="shared" ref="AM21" si="467">SUM(AN21:BG21)*R21</f>
        <v>0</v>
      </c>
      <c r="AN21" s="8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11"/>
      <c r="BH21" s="1">
        <f t="shared" ref="BH21" si="468">SUM(BI21:CB21)*R21</f>
        <v>0</v>
      </c>
      <c r="BI21" s="8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11"/>
      <c r="CC21" s="1">
        <f t="shared" ref="CC21" si="469">SUM(CD21:CW21)*R21</f>
        <v>0</v>
      </c>
      <c r="CD21" s="8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11"/>
      <c r="CX21" s="10">
        <f t="shared" ref="CX21" si="470">SUM(CY21:DR21)*R21</f>
        <v>0</v>
      </c>
      <c r="CY21" s="8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11"/>
      <c r="DS21" s="10">
        <f t="shared" ref="DS21" si="471">SUM(DT21:EM21)*R21</f>
        <v>0</v>
      </c>
      <c r="DT21" s="8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11"/>
      <c r="EN21" s="10">
        <f t="shared" ref="EN21" si="472">SUM(EO21:FH21)*R21</f>
        <v>0</v>
      </c>
      <c r="EO21" s="8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11"/>
      <c r="FI21" s="10">
        <f t="shared" ref="FI21" si="473">SUM(FJ21:GC21)*R21</f>
        <v>0</v>
      </c>
      <c r="FJ21" s="8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11"/>
      <c r="GD21" s="10">
        <f t="shared" ref="GD21" si="474">SUM(GE21:GX21)*R21</f>
        <v>0</v>
      </c>
      <c r="GE21" s="8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11"/>
      <c r="GY21" s="10">
        <f t="shared" ref="GY21" si="475">SUM(GZ21:IZ21)*R21</f>
        <v>0</v>
      </c>
      <c r="GZ21" s="8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11"/>
    </row>
    <row r="22" spans="1:260" ht="14.25" customHeight="1" x14ac:dyDescent="0.3">
      <c r="A22" s="63"/>
      <c r="B22" s="61"/>
      <c r="C22" s="62"/>
      <c r="D22" s="62"/>
      <c r="E22" s="5"/>
      <c r="F22" s="5"/>
      <c r="G22" s="5"/>
      <c r="H22" s="5"/>
      <c r="I22" s="5"/>
      <c r="J22" s="5"/>
      <c r="K22" s="5"/>
      <c r="L22" s="5"/>
      <c r="M22" s="5"/>
      <c r="N22" s="5"/>
      <c r="O22" s="3">
        <f t="shared" ref="O22" si="476">SUM(AN22:BG22,BI22:CB22,CD22:CW22,CY22:DR22,DT22:EM22,EO22:FH22,FJ22:GC22,GE22:GX22,GZ22:IZ22)</f>
        <v>0</v>
      </c>
      <c r="P22" s="7"/>
      <c r="Q22" s="7"/>
      <c r="R22" s="2">
        <f t="shared" ref="R22" si="477">P22*Q22/1000000</f>
        <v>0</v>
      </c>
      <c r="S22" s="27">
        <f t="shared" ref="S22" si="478">AM22</f>
        <v>0</v>
      </c>
      <c r="T22" s="27">
        <f t="shared" ref="T22" si="479">BH22</f>
        <v>0</v>
      </c>
      <c r="U22" s="27">
        <f t="shared" ref="U22" si="480">CC22</f>
        <v>0</v>
      </c>
      <c r="V22" s="27">
        <f t="shared" ref="V22" si="481">CX22</f>
        <v>0</v>
      </c>
      <c r="W22" s="27">
        <f t="shared" ref="W22" si="482">DS22</f>
        <v>0</v>
      </c>
      <c r="X22" s="27">
        <f t="shared" ref="X22" si="483">EN22</f>
        <v>0</v>
      </c>
      <c r="Y22" s="27">
        <f t="shared" ref="Y22" si="484">FI22</f>
        <v>0</v>
      </c>
      <c r="Z22" s="27">
        <f t="shared" ref="Z22" si="485">GD22</f>
        <v>0</v>
      </c>
      <c r="AA22" s="27">
        <f t="shared" ref="AA22" si="486">GY22</f>
        <v>0</v>
      </c>
      <c r="AB22" s="4">
        <f t="shared" ref="AB22" si="487">P22*Q22*O22/1000000</f>
        <v>0</v>
      </c>
      <c r="AC22" s="2" t="str">
        <f t="shared" ref="AC22" si="488">IF(E22=1,E22*$O22*$Q22/1000,IF(E22=2,E22*$O22*$Q22/1000," "))</f>
        <v xml:space="preserve"> </v>
      </c>
      <c r="AD22" s="2" t="str">
        <f t="shared" ref="AD22" si="489">IF(F22=1,F22*$O22*$P22/1000,IF(F22=2,F22*$O22*$P22/1000," "))</f>
        <v xml:space="preserve"> </v>
      </c>
      <c r="AE22" s="2" t="str">
        <f t="shared" ref="AE22" si="490">IF(G22=1,G22*$O22*$P22/1000,IF(G22=2,G22*$O22*$P22/1000," "))</f>
        <v xml:space="preserve"> </v>
      </c>
      <c r="AF22" s="2" t="str">
        <f t="shared" ref="AF22" si="491">IF(H22=1,H22*$O22*$Q22/1000,IF(H22=2,H22*$O22*$Q22/1000," "))</f>
        <v xml:space="preserve"> </v>
      </c>
      <c r="AG22" s="2" t="str">
        <f t="shared" ref="AG22" si="492">IF(I22=1,I22*$O22*$P22/1000,IF(I22=2,I22*$O22*$P22/1000," "))</f>
        <v xml:space="preserve"> </v>
      </c>
      <c r="AH22" s="2" t="str">
        <f t="shared" ref="AH22" si="493">IF(J22=1,J22*$O22*$P22/1000,IF(J22=2,J22*$O22*$P22/1000," "))</f>
        <v xml:space="preserve"> </v>
      </c>
      <c r="AI22" s="2" t="str">
        <f t="shared" ref="AI22" si="494">IF(K22=1,K22*$O22*$Q22/1000,IF(K22=2,K22*$O22*$Q22/1000," "))</f>
        <v xml:space="preserve"> </v>
      </c>
      <c r="AJ22" s="2" t="str">
        <f t="shared" ref="AJ22" si="495">IF(L22=1,L22*$O22*$P22/1000,IF(L22=2,L22*$O22*$P22/1000," "))</f>
        <v xml:space="preserve"> </v>
      </c>
      <c r="AK22" s="2" t="str">
        <f t="shared" ref="AK22" si="496">IF(M22=1,M22*$O22*$P22/1000,IF(M22=2,M22*$O22*$P22/1000," "))</f>
        <v xml:space="preserve"> </v>
      </c>
      <c r="AL22" s="2" t="str">
        <f t="shared" ref="AL22" si="497">IF(N22=1,N22*$O22*$Q22/1000,IF(N22=2,N22*$O22*$Q22/1000," "))</f>
        <v xml:space="preserve"> </v>
      </c>
      <c r="AM22" s="23">
        <f t="shared" ref="AM22" si="498">SUM(AN22:BG22)*R22</f>
        <v>0</v>
      </c>
      <c r="AN22" s="8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11"/>
      <c r="BH22" s="1">
        <f t="shared" ref="BH22" si="499">SUM(BI22:CB22)*R22</f>
        <v>0</v>
      </c>
      <c r="BI22" s="8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11"/>
      <c r="CC22" s="1">
        <f t="shared" ref="CC22" si="500">SUM(CD22:CW22)*R22</f>
        <v>0</v>
      </c>
      <c r="CD22" s="8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11"/>
      <c r="CX22" s="10">
        <f t="shared" ref="CX22" si="501">SUM(CY22:DR22)*R22</f>
        <v>0</v>
      </c>
      <c r="CY22" s="8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11"/>
      <c r="DS22" s="10">
        <f t="shared" ref="DS22" si="502">SUM(DT22:EM22)*R22</f>
        <v>0</v>
      </c>
      <c r="DT22" s="8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11"/>
      <c r="EN22" s="10">
        <f t="shared" ref="EN22" si="503">SUM(EO22:FH22)*R22</f>
        <v>0</v>
      </c>
      <c r="EO22" s="8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11"/>
      <c r="FI22" s="10">
        <f t="shared" ref="FI22" si="504">SUM(FJ22:GC22)*R22</f>
        <v>0</v>
      </c>
      <c r="FJ22" s="8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11"/>
      <c r="GD22" s="10">
        <f t="shared" ref="GD22" si="505">SUM(GE22:GX22)*R22</f>
        <v>0</v>
      </c>
      <c r="GE22" s="8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11"/>
      <c r="GY22" s="10">
        <f t="shared" ref="GY22" si="506">SUM(GZ22:IZ22)*R22</f>
        <v>0</v>
      </c>
      <c r="GZ22" s="8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11"/>
    </row>
    <row r="23" spans="1:260" ht="14.25" customHeight="1" x14ac:dyDescent="0.3">
      <c r="A23" s="63"/>
      <c r="B23" s="61"/>
      <c r="C23" s="62"/>
      <c r="D23" s="62"/>
      <c r="E23" s="5"/>
      <c r="F23" s="5"/>
      <c r="G23" s="5"/>
      <c r="H23" s="5"/>
      <c r="I23" s="5"/>
      <c r="J23" s="5"/>
      <c r="K23" s="5"/>
      <c r="L23" s="5"/>
      <c r="M23" s="5"/>
      <c r="N23" s="5"/>
      <c r="O23" s="3">
        <f t="shared" ref="O23" si="507">SUM(AN23:BG23,BI23:CB23,CD23:CW23,CY23:DR23,DT23:EM23,EO23:FH23,FJ23:GC23,GE23:GX23,GZ23:IZ23)</f>
        <v>0</v>
      </c>
      <c r="P23" s="7"/>
      <c r="Q23" s="7"/>
      <c r="R23" s="2">
        <f t="shared" ref="R23" si="508">P23*Q23/1000000</f>
        <v>0</v>
      </c>
      <c r="S23" s="27">
        <f t="shared" ref="S23" si="509">AM23</f>
        <v>0</v>
      </c>
      <c r="T23" s="27">
        <f t="shared" ref="T23" si="510">BH23</f>
        <v>0</v>
      </c>
      <c r="U23" s="27">
        <f t="shared" ref="U23" si="511">CC23</f>
        <v>0</v>
      </c>
      <c r="V23" s="27">
        <f t="shared" ref="V23" si="512">CX23</f>
        <v>0</v>
      </c>
      <c r="W23" s="27">
        <f t="shared" ref="W23" si="513">DS23</f>
        <v>0</v>
      </c>
      <c r="X23" s="27">
        <f t="shared" ref="X23" si="514">EN23</f>
        <v>0</v>
      </c>
      <c r="Y23" s="27">
        <f t="shared" ref="Y23" si="515">FI23</f>
        <v>0</v>
      </c>
      <c r="Z23" s="27">
        <f t="shared" ref="Z23" si="516">GD23</f>
        <v>0</v>
      </c>
      <c r="AA23" s="27">
        <f t="shared" ref="AA23" si="517">GY23</f>
        <v>0</v>
      </c>
      <c r="AB23" s="4">
        <f t="shared" ref="AB23" si="518">P23*Q23*O23/1000000</f>
        <v>0</v>
      </c>
      <c r="AC23" s="2" t="str">
        <f t="shared" ref="AC23" si="519">IF(E23=1,E23*$O23*$Q23/1000,IF(E23=2,E23*$O23*$Q23/1000," "))</f>
        <v xml:space="preserve"> </v>
      </c>
      <c r="AD23" s="2" t="str">
        <f t="shared" ref="AD23" si="520">IF(F23=1,F23*$O23*$P23/1000,IF(F23=2,F23*$O23*$P23/1000," "))</f>
        <v xml:space="preserve"> </v>
      </c>
      <c r="AE23" s="2" t="str">
        <f t="shared" ref="AE23" si="521">IF(G23=1,G23*$O23*$P23/1000,IF(G23=2,G23*$O23*$P23/1000," "))</f>
        <v xml:space="preserve"> </v>
      </c>
      <c r="AF23" s="2" t="str">
        <f t="shared" ref="AF23" si="522">IF(H23=1,H23*$O23*$Q23/1000,IF(H23=2,H23*$O23*$Q23/1000," "))</f>
        <v xml:space="preserve"> </v>
      </c>
      <c r="AG23" s="2" t="str">
        <f t="shared" ref="AG23" si="523">IF(I23=1,I23*$O23*$P23/1000,IF(I23=2,I23*$O23*$P23/1000," "))</f>
        <v xml:space="preserve"> </v>
      </c>
      <c r="AH23" s="2" t="str">
        <f t="shared" ref="AH23" si="524">IF(J23=1,J23*$O23*$P23/1000,IF(J23=2,J23*$O23*$P23/1000," "))</f>
        <v xml:space="preserve"> </v>
      </c>
      <c r="AI23" s="2" t="str">
        <f t="shared" ref="AI23" si="525">IF(K23=1,K23*$O23*$Q23/1000,IF(K23=2,K23*$O23*$Q23/1000," "))</f>
        <v xml:space="preserve"> </v>
      </c>
      <c r="AJ23" s="2" t="str">
        <f t="shared" ref="AJ23" si="526">IF(L23=1,L23*$O23*$P23/1000,IF(L23=2,L23*$O23*$P23/1000," "))</f>
        <v xml:space="preserve"> </v>
      </c>
      <c r="AK23" s="2" t="str">
        <f t="shared" ref="AK23" si="527">IF(M23=1,M23*$O23*$P23/1000,IF(M23=2,M23*$O23*$P23/1000," "))</f>
        <v xml:space="preserve"> </v>
      </c>
      <c r="AL23" s="2" t="str">
        <f t="shared" ref="AL23" si="528">IF(N23=1,N23*$O23*$Q23/1000,IF(N23=2,N23*$O23*$Q23/1000," "))</f>
        <v xml:space="preserve"> </v>
      </c>
      <c r="AM23" s="23">
        <f t="shared" ref="AM23" si="529">SUM(AN23:BG23)*R23</f>
        <v>0</v>
      </c>
      <c r="AN23" s="8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11"/>
      <c r="BH23" s="1">
        <f t="shared" ref="BH23" si="530">SUM(BI23:CB23)*R23</f>
        <v>0</v>
      </c>
      <c r="BI23" s="8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11"/>
      <c r="CC23" s="1">
        <f t="shared" ref="CC23" si="531">SUM(CD23:CW23)*R23</f>
        <v>0</v>
      </c>
      <c r="CD23" s="8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11"/>
      <c r="CX23" s="10">
        <f t="shared" ref="CX23" si="532">SUM(CY23:DR23)*R23</f>
        <v>0</v>
      </c>
      <c r="CY23" s="8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11"/>
      <c r="DS23" s="10">
        <f t="shared" ref="DS23" si="533">SUM(DT23:EM23)*R23</f>
        <v>0</v>
      </c>
      <c r="DT23" s="8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11"/>
      <c r="EN23" s="10">
        <f t="shared" ref="EN23" si="534">SUM(EO23:FH23)*R23</f>
        <v>0</v>
      </c>
      <c r="EO23" s="8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11"/>
      <c r="FI23" s="10">
        <f t="shared" ref="FI23" si="535">SUM(FJ23:GC23)*R23</f>
        <v>0</v>
      </c>
      <c r="FJ23" s="8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11"/>
      <c r="GD23" s="10">
        <f t="shared" ref="GD23" si="536">SUM(GE23:GX23)*R23</f>
        <v>0</v>
      </c>
      <c r="GE23" s="8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11"/>
      <c r="GY23" s="10">
        <f t="shared" ref="GY23" si="537">SUM(GZ23:IZ23)*R23</f>
        <v>0</v>
      </c>
      <c r="GZ23" s="8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11"/>
    </row>
    <row r="24" spans="1:260" ht="14.25" customHeight="1" x14ac:dyDescent="0.3">
      <c r="A24" s="63"/>
      <c r="B24" s="61"/>
      <c r="C24" s="62"/>
      <c r="D24" s="62"/>
      <c r="E24" s="5"/>
      <c r="F24" s="5"/>
      <c r="G24" s="5"/>
      <c r="H24" s="5"/>
      <c r="I24" s="5"/>
      <c r="J24" s="5"/>
      <c r="K24" s="5"/>
      <c r="L24" s="5"/>
      <c r="M24" s="5"/>
      <c r="N24" s="5"/>
      <c r="O24" s="3">
        <f t="shared" ref="O24" si="538">SUM(AN24:BG24,BI24:CB24,CD24:CW24,CY24:DR24,DT24:EM24,EO24:FH24,FJ24:GC24,GE24:GX24,GZ24:IZ24)</f>
        <v>0</v>
      </c>
      <c r="P24" s="7"/>
      <c r="Q24" s="7"/>
      <c r="R24" s="2">
        <f t="shared" ref="R24" si="539">P24*Q24/1000000</f>
        <v>0</v>
      </c>
      <c r="S24" s="27">
        <f t="shared" ref="S24" si="540">AM24</f>
        <v>0</v>
      </c>
      <c r="T24" s="27">
        <f t="shared" ref="T24" si="541">BH24</f>
        <v>0</v>
      </c>
      <c r="U24" s="27">
        <f t="shared" ref="U24" si="542">CC24</f>
        <v>0</v>
      </c>
      <c r="V24" s="27">
        <f t="shared" ref="V24" si="543">CX24</f>
        <v>0</v>
      </c>
      <c r="W24" s="27">
        <f t="shared" ref="W24" si="544">DS24</f>
        <v>0</v>
      </c>
      <c r="X24" s="27">
        <f t="shared" ref="X24" si="545">EN24</f>
        <v>0</v>
      </c>
      <c r="Y24" s="27">
        <f t="shared" ref="Y24" si="546">FI24</f>
        <v>0</v>
      </c>
      <c r="Z24" s="27">
        <f t="shared" ref="Z24" si="547">GD24</f>
        <v>0</v>
      </c>
      <c r="AA24" s="27">
        <f t="shared" ref="AA24" si="548">GY24</f>
        <v>0</v>
      </c>
      <c r="AB24" s="4">
        <f t="shared" ref="AB24" si="549">P24*Q24*O24/1000000</f>
        <v>0</v>
      </c>
      <c r="AC24" s="2" t="str">
        <f t="shared" ref="AC24" si="550">IF(E24=1,E24*$O24*$Q24/1000,IF(E24=2,E24*$O24*$Q24/1000," "))</f>
        <v xml:space="preserve"> </v>
      </c>
      <c r="AD24" s="2" t="str">
        <f t="shared" ref="AD24" si="551">IF(F24=1,F24*$O24*$P24/1000,IF(F24=2,F24*$O24*$P24/1000," "))</f>
        <v xml:space="preserve"> </v>
      </c>
      <c r="AE24" s="2" t="str">
        <f t="shared" ref="AE24" si="552">IF(G24=1,G24*$O24*$P24/1000,IF(G24=2,G24*$O24*$P24/1000," "))</f>
        <v xml:space="preserve"> </v>
      </c>
      <c r="AF24" s="2" t="str">
        <f t="shared" ref="AF24" si="553">IF(H24=1,H24*$O24*$Q24/1000,IF(H24=2,H24*$O24*$Q24/1000," "))</f>
        <v xml:space="preserve"> </v>
      </c>
      <c r="AG24" s="2" t="str">
        <f t="shared" ref="AG24" si="554">IF(I24=1,I24*$O24*$P24/1000,IF(I24=2,I24*$O24*$P24/1000," "))</f>
        <v xml:space="preserve"> </v>
      </c>
      <c r="AH24" s="2" t="str">
        <f t="shared" ref="AH24" si="555">IF(J24=1,J24*$O24*$P24/1000,IF(J24=2,J24*$O24*$P24/1000," "))</f>
        <v xml:space="preserve"> </v>
      </c>
      <c r="AI24" s="2" t="str">
        <f t="shared" ref="AI24" si="556">IF(K24=1,K24*$O24*$Q24/1000,IF(K24=2,K24*$O24*$Q24/1000," "))</f>
        <v xml:space="preserve"> </v>
      </c>
      <c r="AJ24" s="2" t="str">
        <f t="shared" ref="AJ24" si="557">IF(L24=1,L24*$O24*$P24/1000,IF(L24=2,L24*$O24*$P24/1000," "))</f>
        <v xml:space="preserve"> </v>
      </c>
      <c r="AK24" s="2" t="str">
        <f t="shared" ref="AK24" si="558">IF(M24=1,M24*$O24*$P24/1000,IF(M24=2,M24*$O24*$P24/1000," "))</f>
        <v xml:space="preserve"> </v>
      </c>
      <c r="AL24" s="2" t="str">
        <f t="shared" ref="AL24" si="559">IF(N24=1,N24*$O24*$Q24/1000,IF(N24=2,N24*$O24*$Q24/1000," "))</f>
        <v xml:space="preserve"> </v>
      </c>
      <c r="AM24" s="23">
        <f t="shared" ref="AM24" si="560">SUM(AN24:BG24)*R24</f>
        <v>0</v>
      </c>
      <c r="AN24" s="8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11"/>
      <c r="BH24" s="1">
        <f t="shared" ref="BH24" si="561">SUM(BI24:CB24)*R24</f>
        <v>0</v>
      </c>
      <c r="BI24" s="8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11"/>
      <c r="CC24" s="1">
        <f t="shared" ref="CC24" si="562">SUM(CD24:CW24)*R24</f>
        <v>0</v>
      </c>
      <c r="CD24" s="8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11"/>
      <c r="CX24" s="10">
        <f t="shared" ref="CX24" si="563">SUM(CY24:DR24)*R24</f>
        <v>0</v>
      </c>
      <c r="CY24" s="8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11"/>
      <c r="DS24" s="10">
        <f t="shared" ref="DS24" si="564">SUM(DT24:EM24)*R24</f>
        <v>0</v>
      </c>
      <c r="DT24" s="8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11"/>
      <c r="EN24" s="10">
        <f t="shared" ref="EN24" si="565">SUM(EO24:FH24)*R24</f>
        <v>0</v>
      </c>
      <c r="EO24" s="8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11"/>
      <c r="FI24" s="10">
        <f t="shared" ref="FI24" si="566">SUM(FJ24:GC24)*R24</f>
        <v>0</v>
      </c>
      <c r="FJ24" s="8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11"/>
      <c r="GD24" s="10">
        <f t="shared" ref="GD24" si="567">SUM(GE24:GX24)*R24</f>
        <v>0</v>
      </c>
      <c r="GE24" s="8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11"/>
      <c r="GY24" s="10">
        <f t="shared" ref="GY24" si="568">SUM(GZ24:IZ24)*R24</f>
        <v>0</v>
      </c>
      <c r="GZ24" s="8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11"/>
    </row>
    <row r="25" spans="1:260" ht="14.25" customHeight="1" x14ac:dyDescent="0.3">
      <c r="A25" s="63"/>
      <c r="B25" s="61"/>
      <c r="C25" s="62"/>
      <c r="D25" s="62"/>
      <c r="E25" s="5"/>
      <c r="F25" s="5"/>
      <c r="G25" s="5"/>
      <c r="H25" s="5"/>
      <c r="I25" s="5"/>
      <c r="J25" s="5"/>
      <c r="K25" s="5"/>
      <c r="L25" s="5"/>
      <c r="M25" s="5"/>
      <c r="N25" s="5"/>
      <c r="O25" s="3">
        <f t="shared" ref="O25" si="569">SUM(AN25:BG25,BI25:CB25,CD25:CW25,CY25:DR25,DT25:EM25,EO25:FH25,FJ25:GC25,GE25:GX25,GZ25:IZ25)</f>
        <v>0</v>
      </c>
      <c r="P25" s="7"/>
      <c r="Q25" s="7"/>
      <c r="R25" s="2">
        <f t="shared" ref="R25" si="570">P25*Q25/1000000</f>
        <v>0</v>
      </c>
      <c r="S25" s="27">
        <f t="shared" ref="S25" si="571">AM25</f>
        <v>0</v>
      </c>
      <c r="T25" s="27">
        <f t="shared" ref="T25" si="572">BH25</f>
        <v>0</v>
      </c>
      <c r="U25" s="27">
        <f t="shared" ref="U25" si="573">CC25</f>
        <v>0</v>
      </c>
      <c r="V25" s="27">
        <f t="shared" ref="V25" si="574">CX25</f>
        <v>0</v>
      </c>
      <c r="W25" s="27">
        <f t="shared" ref="W25" si="575">DS25</f>
        <v>0</v>
      </c>
      <c r="X25" s="27">
        <f t="shared" ref="X25" si="576">EN25</f>
        <v>0</v>
      </c>
      <c r="Y25" s="27">
        <f t="shared" ref="Y25" si="577">FI25</f>
        <v>0</v>
      </c>
      <c r="Z25" s="27">
        <f t="shared" ref="Z25" si="578">GD25</f>
        <v>0</v>
      </c>
      <c r="AA25" s="27">
        <f t="shared" ref="AA25" si="579">GY25</f>
        <v>0</v>
      </c>
      <c r="AB25" s="4">
        <f t="shared" ref="AB25" si="580">P25*Q25*O25/1000000</f>
        <v>0</v>
      </c>
      <c r="AC25" s="2" t="str">
        <f t="shared" ref="AC25" si="581">IF(E25=1,E25*$O25*$Q25/1000,IF(E25=2,E25*$O25*$Q25/1000," "))</f>
        <v xml:space="preserve"> </v>
      </c>
      <c r="AD25" s="2" t="str">
        <f t="shared" ref="AD25" si="582">IF(F25=1,F25*$O25*$P25/1000,IF(F25=2,F25*$O25*$P25/1000," "))</f>
        <v xml:space="preserve"> </v>
      </c>
      <c r="AE25" s="2" t="str">
        <f t="shared" ref="AE25" si="583">IF(G25=1,G25*$O25*$P25/1000,IF(G25=2,G25*$O25*$P25/1000," "))</f>
        <v xml:space="preserve"> </v>
      </c>
      <c r="AF25" s="2" t="str">
        <f t="shared" ref="AF25" si="584">IF(H25=1,H25*$O25*$Q25/1000,IF(H25=2,H25*$O25*$Q25/1000," "))</f>
        <v xml:space="preserve"> </v>
      </c>
      <c r="AG25" s="2" t="str">
        <f t="shared" ref="AG25" si="585">IF(I25=1,I25*$O25*$P25/1000,IF(I25=2,I25*$O25*$P25/1000," "))</f>
        <v xml:space="preserve"> </v>
      </c>
      <c r="AH25" s="2" t="str">
        <f t="shared" ref="AH25" si="586">IF(J25=1,J25*$O25*$P25/1000,IF(J25=2,J25*$O25*$P25/1000," "))</f>
        <v xml:space="preserve"> </v>
      </c>
      <c r="AI25" s="2" t="str">
        <f t="shared" ref="AI25" si="587">IF(K25=1,K25*$O25*$Q25/1000,IF(K25=2,K25*$O25*$Q25/1000," "))</f>
        <v xml:space="preserve"> </v>
      </c>
      <c r="AJ25" s="2" t="str">
        <f t="shared" ref="AJ25" si="588">IF(L25=1,L25*$O25*$P25/1000,IF(L25=2,L25*$O25*$P25/1000," "))</f>
        <v xml:space="preserve"> </v>
      </c>
      <c r="AK25" s="2" t="str">
        <f t="shared" ref="AK25" si="589">IF(M25=1,M25*$O25*$P25/1000,IF(M25=2,M25*$O25*$P25/1000," "))</f>
        <v xml:space="preserve"> </v>
      </c>
      <c r="AL25" s="2" t="str">
        <f t="shared" ref="AL25" si="590">IF(N25=1,N25*$O25*$Q25/1000,IF(N25=2,N25*$O25*$Q25/1000," "))</f>
        <v xml:space="preserve"> </v>
      </c>
      <c r="AM25" s="23">
        <f t="shared" ref="AM25" si="591">SUM(AN25:BG25)*R25</f>
        <v>0</v>
      </c>
      <c r="AN25" s="8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11"/>
      <c r="BH25" s="1">
        <f t="shared" ref="BH25" si="592">SUM(BI25:CB25)*R25</f>
        <v>0</v>
      </c>
      <c r="BI25" s="8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11"/>
      <c r="CC25" s="1">
        <f t="shared" ref="CC25" si="593">SUM(CD25:CW25)*R25</f>
        <v>0</v>
      </c>
      <c r="CD25" s="8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11"/>
      <c r="CX25" s="10">
        <f t="shared" ref="CX25" si="594">SUM(CY25:DR25)*R25</f>
        <v>0</v>
      </c>
      <c r="CY25" s="8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11"/>
      <c r="DS25" s="10">
        <f t="shared" ref="DS25" si="595">SUM(DT25:EM25)*R25</f>
        <v>0</v>
      </c>
      <c r="DT25" s="8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11"/>
      <c r="EN25" s="10">
        <f t="shared" ref="EN25" si="596">SUM(EO25:FH25)*R25</f>
        <v>0</v>
      </c>
      <c r="EO25" s="8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11"/>
      <c r="FI25" s="10">
        <f t="shared" ref="FI25" si="597">SUM(FJ25:GC25)*R25</f>
        <v>0</v>
      </c>
      <c r="FJ25" s="8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11"/>
      <c r="GD25" s="10">
        <f t="shared" ref="GD25" si="598">SUM(GE25:GX25)*R25</f>
        <v>0</v>
      </c>
      <c r="GE25" s="8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11"/>
      <c r="GY25" s="10">
        <f t="shared" ref="GY25" si="599">SUM(GZ25:IZ25)*R25</f>
        <v>0</v>
      </c>
      <c r="GZ25" s="8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11"/>
    </row>
    <row r="26" spans="1:260" ht="14.25" customHeight="1" x14ac:dyDescent="0.3">
      <c r="A26" s="63"/>
      <c r="B26" s="61"/>
      <c r="C26" s="62"/>
      <c r="D26" s="62"/>
      <c r="E26" s="5"/>
      <c r="F26" s="5"/>
      <c r="G26" s="5"/>
      <c r="H26" s="5"/>
      <c r="I26" s="5"/>
      <c r="J26" s="5"/>
      <c r="K26" s="5"/>
      <c r="L26" s="5"/>
      <c r="M26" s="5"/>
      <c r="N26" s="5"/>
      <c r="O26" s="3">
        <f t="shared" ref="O26" si="600">SUM(AN26:BG26,BI26:CB26,CD26:CW26,CY26:DR26,DT26:EM26,EO26:FH26,FJ26:GC26,GE26:GX26,GZ26:IZ26)</f>
        <v>0</v>
      </c>
      <c r="P26" s="7"/>
      <c r="Q26" s="7"/>
      <c r="R26" s="2">
        <f t="shared" ref="R26" si="601">P26*Q26/1000000</f>
        <v>0</v>
      </c>
      <c r="S26" s="27">
        <f t="shared" ref="S26" si="602">AM26</f>
        <v>0</v>
      </c>
      <c r="T26" s="27">
        <f t="shared" ref="T26" si="603">BH26</f>
        <v>0</v>
      </c>
      <c r="U26" s="27">
        <f t="shared" ref="U26" si="604">CC26</f>
        <v>0</v>
      </c>
      <c r="V26" s="27">
        <f t="shared" ref="V26" si="605">CX26</f>
        <v>0</v>
      </c>
      <c r="W26" s="27">
        <f t="shared" ref="W26" si="606">DS26</f>
        <v>0</v>
      </c>
      <c r="X26" s="27">
        <f t="shared" ref="X26" si="607">EN26</f>
        <v>0</v>
      </c>
      <c r="Y26" s="27">
        <f t="shared" ref="Y26" si="608">FI26</f>
        <v>0</v>
      </c>
      <c r="Z26" s="27">
        <f t="shared" ref="Z26" si="609">GD26</f>
        <v>0</v>
      </c>
      <c r="AA26" s="27">
        <f t="shared" ref="AA26" si="610">GY26</f>
        <v>0</v>
      </c>
      <c r="AB26" s="4">
        <f t="shared" ref="AB26" si="611">P26*Q26*O26/1000000</f>
        <v>0</v>
      </c>
      <c r="AC26" s="2" t="str">
        <f t="shared" ref="AC26" si="612">IF(E26=1,E26*$O26*$Q26/1000,IF(E26=2,E26*$O26*$Q26/1000," "))</f>
        <v xml:space="preserve"> </v>
      </c>
      <c r="AD26" s="2" t="str">
        <f t="shared" ref="AD26" si="613">IF(F26=1,F26*$O26*$P26/1000,IF(F26=2,F26*$O26*$P26/1000," "))</f>
        <v xml:space="preserve"> </v>
      </c>
      <c r="AE26" s="2" t="str">
        <f t="shared" ref="AE26" si="614">IF(G26=1,G26*$O26*$P26/1000,IF(G26=2,G26*$O26*$P26/1000," "))</f>
        <v xml:space="preserve"> </v>
      </c>
      <c r="AF26" s="2" t="str">
        <f t="shared" ref="AF26" si="615">IF(H26=1,H26*$O26*$Q26/1000,IF(H26=2,H26*$O26*$Q26/1000," "))</f>
        <v xml:space="preserve"> </v>
      </c>
      <c r="AG26" s="2" t="str">
        <f t="shared" ref="AG26" si="616">IF(I26=1,I26*$O26*$P26/1000,IF(I26=2,I26*$O26*$P26/1000," "))</f>
        <v xml:space="preserve"> </v>
      </c>
      <c r="AH26" s="2" t="str">
        <f t="shared" ref="AH26" si="617">IF(J26=1,J26*$O26*$P26/1000,IF(J26=2,J26*$O26*$P26/1000," "))</f>
        <v xml:space="preserve"> </v>
      </c>
      <c r="AI26" s="2" t="str">
        <f t="shared" ref="AI26" si="618">IF(K26=1,K26*$O26*$Q26/1000,IF(K26=2,K26*$O26*$Q26/1000," "))</f>
        <v xml:space="preserve"> </v>
      </c>
      <c r="AJ26" s="2" t="str">
        <f t="shared" ref="AJ26" si="619">IF(L26=1,L26*$O26*$P26/1000,IF(L26=2,L26*$O26*$P26/1000," "))</f>
        <v xml:space="preserve"> </v>
      </c>
      <c r="AK26" s="2" t="str">
        <f t="shared" ref="AK26" si="620">IF(M26=1,M26*$O26*$P26/1000,IF(M26=2,M26*$O26*$P26/1000," "))</f>
        <v xml:space="preserve"> </v>
      </c>
      <c r="AL26" s="2" t="str">
        <f t="shared" ref="AL26" si="621">IF(N26=1,N26*$O26*$Q26/1000,IF(N26=2,N26*$O26*$Q26/1000," "))</f>
        <v xml:space="preserve"> </v>
      </c>
      <c r="AM26" s="23">
        <f t="shared" ref="AM26" si="622">SUM(AN26:BG26)*R26</f>
        <v>0</v>
      </c>
      <c r="AN26" s="8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11"/>
      <c r="BH26" s="1">
        <f t="shared" ref="BH26" si="623">SUM(BI26:CB26)*R26</f>
        <v>0</v>
      </c>
      <c r="BI26" s="8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11"/>
      <c r="CC26" s="1">
        <f t="shared" ref="CC26" si="624">SUM(CD26:CW26)*R26</f>
        <v>0</v>
      </c>
      <c r="CD26" s="8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11"/>
      <c r="CX26" s="10">
        <f t="shared" ref="CX26" si="625">SUM(CY26:DR26)*R26</f>
        <v>0</v>
      </c>
      <c r="CY26" s="8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11"/>
      <c r="DS26" s="10">
        <f t="shared" ref="DS26" si="626">SUM(DT26:EM26)*R26</f>
        <v>0</v>
      </c>
      <c r="DT26" s="8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11"/>
      <c r="EN26" s="10">
        <f t="shared" ref="EN26" si="627">SUM(EO26:FH26)*R26</f>
        <v>0</v>
      </c>
      <c r="EO26" s="8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11"/>
      <c r="FI26" s="10">
        <f t="shared" ref="FI26" si="628">SUM(FJ26:GC26)*R26</f>
        <v>0</v>
      </c>
      <c r="FJ26" s="8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11"/>
      <c r="GD26" s="10">
        <f t="shared" ref="GD26" si="629">SUM(GE26:GX26)*R26</f>
        <v>0</v>
      </c>
      <c r="GE26" s="8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11"/>
      <c r="GY26" s="10">
        <f t="shared" ref="GY26" si="630">SUM(GZ26:IZ26)*R26</f>
        <v>0</v>
      </c>
      <c r="GZ26" s="8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11"/>
    </row>
    <row r="27" spans="1:260" ht="14.25" customHeight="1" x14ac:dyDescent="0.3">
      <c r="A27" s="63"/>
      <c r="B27" s="61"/>
      <c r="C27" s="62"/>
      <c r="D27" s="62"/>
      <c r="E27" s="5"/>
      <c r="F27" s="5"/>
      <c r="G27" s="5"/>
      <c r="H27" s="5"/>
      <c r="I27" s="5"/>
      <c r="J27" s="5"/>
      <c r="K27" s="5"/>
      <c r="L27" s="5"/>
      <c r="M27" s="5"/>
      <c r="N27" s="5"/>
      <c r="O27" s="3">
        <f t="shared" ref="O27" si="631">SUM(AN27:BG27,BI27:CB27,CD27:CW27,CY27:DR27,DT27:EM27,EO27:FH27,FJ27:GC27,GE27:GX27,GZ27:IZ27)</f>
        <v>0</v>
      </c>
      <c r="P27" s="7"/>
      <c r="Q27" s="7"/>
      <c r="R27" s="2">
        <f t="shared" ref="R27" si="632">P27*Q27/1000000</f>
        <v>0</v>
      </c>
      <c r="S27" s="27">
        <f t="shared" ref="S27" si="633">AM27</f>
        <v>0</v>
      </c>
      <c r="T27" s="27">
        <f t="shared" ref="T27" si="634">BH27</f>
        <v>0</v>
      </c>
      <c r="U27" s="27">
        <f t="shared" ref="U27" si="635">CC27</f>
        <v>0</v>
      </c>
      <c r="V27" s="27">
        <f t="shared" ref="V27" si="636">CX27</f>
        <v>0</v>
      </c>
      <c r="W27" s="27">
        <f t="shared" ref="W27" si="637">DS27</f>
        <v>0</v>
      </c>
      <c r="X27" s="27">
        <f t="shared" ref="X27" si="638">EN27</f>
        <v>0</v>
      </c>
      <c r="Y27" s="27">
        <f t="shared" ref="Y27" si="639">FI27</f>
        <v>0</v>
      </c>
      <c r="Z27" s="27">
        <f t="shared" ref="Z27" si="640">GD27</f>
        <v>0</v>
      </c>
      <c r="AA27" s="27">
        <f t="shared" ref="AA27" si="641">GY27</f>
        <v>0</v>
      </c>
      <c r="AB27" s="4">
        <f t="shared" ref="AB27" si="642">P27*Q27*O27/1000000</f>
        <v>0</v>
      </c>
      <c r="AC27" s="2" t="str">
        <f t="shared" ref="AC27" si="643">IF(E27=1,E27*$O27*$Q27/1000,IF(E27=2,E27*$O27*$Q27/1000," "))</f>
        <v xml:space="preserve"> </v>
      </c>
      <c r="AD27" s="2" t="str">
        <f t="shared" ref="AD27" si="644">IF(F27=1,F27*$O27*$P27/1000,IF(F27=2,F27*$O27*$P27/1000," "))</f>
        <v xml:space="preserve"> </v>
      </c>
      <c r="AE27" s="2" t="str">
        <f t="shared" ref="AE27" si="645">IF(G27=1,G27*$O27*$P27/1000,IF(G27=2,G27*$O27*$P27/1000," "))</f>
        <v xml:space="preserve"> </v>
      </c>
      <c r="AF27" s="2" t="str">
        <f t="shared" ref="AF27" si="646">IF(H27=1,H27*$O27*$Q27/1000,IF(H27=2,H27*$O27*$Q27/1000," "))</f>
        <v xml:space="preserve"> </v>
      </c>
      <c r="AG27" s="2" t="str">
        <f t="shared" ref="AG27" si="647">IF(I27=1,I27*$O27*$P27/1000,IF(I27=2,I27*$O27*$P27/1000," "))</f>
        <v xml:space="preserve"> </v>
      </c>
      <c r="AH27" s="2" t="str">
        <f t="shared" ref="AH27" si="648">IF(J27=1,J27*$O27*$P27/1000,IF(J27=2,J27*$O27*$P27/1000," "))</f>
        <v xml:space="preserve"> </v>
      </c>
      <c r="AI27" s="2" t="str">
        <f t="shared" ref="AI27" si="649">IF(K27=1,K27*$O27*$Q27/1000,IF(K27=2,K27*$O27*$Q27/1000," "))</f>
        <v xml:space="preserve"> </v>
      </c>
      <c r="AJ27" s="2" t="str">
        <f t="shared" ref="AJ27" si="650">IF(L27=1,L27*$O27*$P27/1000,IF(L27=2,L27*$O27*$P27/1000," "))</f>
        <v xml:space="preserve"> </v>
      </c>
      <c r="AK27" s="2" t="str">
        <f t="shared" ref="AK27" si="651">IF(M27=1,M27*$O27*$P27/1000,IF(M27=2,M27*$O27*$P27/1000," "))</f>
        <v xml:space="preserve"> </v>
      </c>
      <c r="AL27" s="2" t="str">
        <f t="shared" ref="AL27" si="652">IF(N27=1,N27*$O27*$Q27/1000,IF(N27=2,N27*$O27*$Q27/1000," "))</f>
        <v xml:space="preserve"> </v>
      </c>
      <c r="AM27" s="23">
        <f t="shared" ref="AM27" si="653">SUM(AN27:BG27)*R27</f>
        <v>0</v>
      </c>
      <c r="AN27" s="8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11"/>
      <c r="BH27" s="1">
        <f t="shared" ref="BH27" si="654">SUM(BI27:CB27)*R27</f>
        <v>0</v>
      </c>
      <c r="BI27" s="8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11"/>
      <c r="CC27" s="1">
        <f t="shared" ref="CC27" si="655">SUM(CD27:CW27)*R27</f>
        <v>0</v>
      </c>
      <c r="CD27" s="8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11"/>
      <c r="CX27" s="10">
        <f t="shared" ref="CX27" si="656">SUM(CY27:DR27)*R27</f>
        <v>0</v>
      </c>
      <c r="CY27" s="8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11"/>
      <c r="DS27" s="10">
        <f t="shared" ref="DS27" si="657">SUM(DT27:EM27)*R27</f>
        <v>0</v>
      </c>
      <c r="DT27" s="8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11"/>
      <c r="EN27" s="10">
        <f t="shared" ref="EN27" si="658">SUM(EO27:FH27)*R27</f>
        <v>0</v>
      </c>
      <c r="EO27" s="8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11"/>
      <c r="FI27" s="10">
        <f t="shared" ref="FI27" si="659">SUM(FJ27:GC27)*R27</f>
        <v>0</v>
      </c>
      <c r="FJ27" s="8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11"/>
      <c r="GD27" s="10">
        <f t="shared" ref="GD27" si="660">SUM(GE27:GX27)*R27</f>
        <v>0</v>
      </c>
      <c r="GE27" s="8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11"/>
      <c r="GY27" s="10">
        <f t="shared" ref="GY27" si="661">SUM(GZ27:IZ27)*R27</f>
        <v>0</v>
      </c>
      <c r="GZ27" s="8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11"/>
    </row>
    <row r="28" spans="1:260" ht="14.25" customHeight="1" x14ac:dyDescent="0.3">
      <c r="A28" s="63"/>
      <c r="B28" s="61"/>
      <c r="C28" s="62"/>
      <c r="D28" s="62"/>
      <c r="E28" s="5"/>
      <c r="F28" s="5"/>
      <c r="G28" s="5"/>
      <c r="H28" s="5"/>
      <c r="I28" s="5"/>
      <c r="J28" s="5"/>
      <c r="K28" s="5"/>
      <c r="L28" s="5"/>
      <c r="M28" s="5"/>
      <c r="N28" s="5"/>
      <c r="O28" s="3">
        <f t="shared" ref="O28" si="662">SUM(AN28:BG28,BI28:CB28,CD28:CW28,CY28:DR28,DT28:EM28,EO28:FH28,FJ28:GC28,GE28:GX28,GZ28:IZ28)</f>
        <v>0</v>
      </c>
      <c r="P28" s="7"/>
      <c r="Q28" s="7"/>
      <c r="R28" s="2">
        <f t="shared" ref="R28" si="663">P28*Q28/1000000</f>
        <v>0</v>
      </c>
      <c r="S28" s="27">
        <f t="shared" ref="S28" si="664">AM28</f>
        <v>0</v>
      </c>
      <c r="T28" s="27">
        <f t="shared" ref="T28" si="665">BH28</f>
        <v>0</v>
      </c>
      <c r="U28" s="27">
        <f t="shared" ref="U28" si="666">CC28</f>
        <v>0</v>
      </c>
      <c r="V28" s="27">
        <f t="shared" ref="V28" si="667">CX28</f>
        <v>0</v>
      </c>
      <c r="W28" s="27">
        <f t="shared" ref="W28" si="668">DS28</f>
        <v>0</v>
      </c>
      <c r="X28" s="27">
        <f t="shared" ref="X28" si="669">EN28</f>
        <v>0</v>
      </c>
      <c r="Y28" s="27">
        <f t="shared" ref="Y28" si="670">FI28</f>
        <v>0</v>
      </c>
      <c r="Z28" s="27">
        <f t="shared" ref="Z28" si="671">GD28</f>
        <v>0</v>
      </c>
      <c r="AA28" s="27">
        <f t="shared" ref="AA28" si="672">GY28</f>
        <v>0</v>
      </c>
      <c r="AB28" s="4">
        <f t="shared" ref="AB28" si="673">P28*Q28*O28/1000000</f>
        <v>0</v>
      </c>
      <c r="AC28" s="2" t="str">
        <f t="shared" ref="AC28" si="674">IF(E28=1,E28*$O28*$Q28/1000,IF(E28=2,E28*$O28*$Q28/1000," "))</f>
        <v xml:space="preserve"> </v>
      </c>
      <c r="AD28" s="2" t="str">
        <f t="shared" ref="AD28" si="675">IF(F28=1,F28*$O28*$P28/1000,IF(F28=2,F28*$O28*$P28/1000," "))</f>
        <v xml:space="preserve"> </v>
      </c>
      <c r="AE28" s="2" t="str">
        <f t="shared" ref="AE28" si="676">IF(G28=1,G28*$O28*$P28/1000,IF(G28=2,G28*$O28*$P28/1000," "))</f>
        <v xml:space="preserve"> </v>
      </c>
      <c r="AF28" s="2" t="str">
        <f t="shared" ref="AF28" si="677">IF(H28=1,H28*$O28*$Q28/1000,IF(H28=2,H28*$O28*$Q28/1000," "))</f>
        <v xml:space="preserve"> </v>
      </c>
      <c r="AG28" s="2" t="str">
        <f t="shared" ref="AG28" si="678">IF(I28=1,I28*$O28*$P28/1000,IF(I28=2,I28*$O28*$P28/1000," "))</f>
        <v xml:space="preserve"> </v>
      </c>
      <c r="AH28" s="2" t="str">
        <f t="shared" ref="AH28" si="679">IF(J28=1,J28*$O28*$P28/1000,IF(J28=2,J28*$O28*$P28/1000," "))</f>
        <v xml:space="preserve"> </v>
      </c>
      <c r="AI28" s="2" t="str">
        <f t="shared" ref="AI28" si="680">IF(K28=1,K28*$O28*$Q28/1000,IF(K28=2,K28*$O28*$Q28/1000," "))</f>
        <v xml:space="preserve"> </v>
      </c>
      <c r="AJ28" s="2" t="str">
        <f t="shared" ref="AJ28" si="681">IF(L28=1,L28*$O28*$P28/1000,IF(L28=2,L28*$O28*$P28/1000," "))</f>
        <v xml:space="preserve"> </v>
      </c>
      <c r="AK28" s="2" t="str">
        <f t="shared" ref="AK28" si="682">IF(M28=1,M28*$O28*$P28/1000,IF(M28=2,M28*$O28*$P28/1000," "))</f>
        <v xml:space="preserve"> </v>
      </c>
      <c r="AL28" s="2" t="str">
        <f t="shared" ref="AL28" si="683">IF(N28=1,N28*$O28*$Q28/1000,IF(N28=2,N28*$O28*$Q28/1000," "))</f>
        <v xml:space="preserve"> </v>
      </c>
      <c r="AM28" s="23">
        <f t="shared" ref="AM28" si="684">SUM(AN28:BG28)*R28</f>
        <v>0</v>
      </c>
      <c r="AN28" s="8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11"/>
      <c r="BH28" s="1">
        <f t="shared" ref="BH28" si="685">SUM(BI28:CB28)*R28</f>
        <v>0</v>
      </c>
      <c r="BI28" s="8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11"/>
      <c r="CC28" s="1">
        <f t="shared" ref="CC28" si="686">SUM(CD28:CW28)*R28</f>
        <v>0</v>
      </c>
      <c r="CD28" s="8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11"/>
      <c r="CX28" s="10">
        <f t="shared" ref="CX28" si="687">SUM(CY28:DR28)*R28</f>
        <v>0</v>
      </c>
      <c r="CY28" s="8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11"/>
      <c r="DS28" s="10">
        <f t="shared" ref="DS28" si="688">SUM(DT28:EM28)*R28</f>
        <v>0</v>
      </c>
      <c r="DT28" s="8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11"/>
      <c r="EN28" s="10">
        <f t="shared" ref="EN28" si="689">SUM(EO28:FH28)*R28</f>
        <v>0</v>
      </c>
      <c r="EO28" s="8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11"/>
      <c r="FI28" s="10">
        <f t="shared" ref="FI28" si="690">SUM(FJ28:GC28)*R28</f>
        <v>0</v>
      </c>
      <c r="FJ28" s="8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11"/>
      <c r="GD28" s="10">
        <f t="shared" ref="GD28" si="691">SUM(GE28:GX28)*R28</f>
        <v>0</v>
      </c>
      <c r="GE28" s="8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11"/>
      <c r="GY28" s="10">
        <f t="shared" ref="GY28" si="692">SUM(GZ28:IZ28)*R28</f>
        <v>0</v>
      </c>
      <c r="GZ28" s="8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11"/>
    </row>
    <row r="29" spans="1:260" ht="14.25" customHeight="1" x14ac:dyDescent="0.3">
      <c r="A29" s="63"/>
      <c r="B29" s="61"/>
      <c r="C29" s="62"/>
      <c r="D29" s="62"/>
      <c r="E29" s="5"/>
      <c r="F29" s="5"/>
      <c r="G29" s="5"/>
      <c r="H29" s="5"/>
      <c r="I29" s="5"/>
      <c r="J29" s="5"/>
      <c r="K29" s="5"/>
      <c r="L29" s="5"/>
      <c r="M29" s="5"/>
      <c r="N29" s="5"/>
      <c r="O29" s="3">
        <f t="shared" ref="O29" si="693">SUM(AN29:BG29,BI29:CB29,CD29:CW29,CY29:DR29,DT29:EM29,EO29:FH29,FJ29:GC29,GE29:GX29,GZ29:IZ29)</f>
        <v>0</v>
      </c>
      <c r="P29" s="7"/>
      <c r="Q29" s="7"/>
      <c r="R29" s="2">
        <f t="shared" ref="R29" si="694">P29*Q29/1000000</f>
        <v>0</v>
      </c>
      <c r="S29" s="27">
        <f t="shared" ref="S29" si="695">AM29</f>
        <v>0</v>
      </c>
      <c r="T29" s="27">
        <f t="shared" ref="T29" si="696">BH29</f>
        <v>0</v>
      </c>
      <c r="U29" s="27">
        <f t="shared" ref="U29" si="697">CC29</f>
        <v>0</v>
      </c>
      <c r="V29" s="27">
        <f t="shared" ref="V29" si="698">CX29</f>
        <v>0</v>
      </c>
      <c r="W29" s="27">
        <f t="shared" ref="W29" si="699">DS29</f>
        <v>0</v>
      </c>
      <c r="X29" s="27">
        <f t="shared" ref="X29" si="700">EN29</f>
        <v>0</v>
      </c>
      <c r="Y29" s="27">
        <f t="shared" ref="Y29" si="701">FI29</f>
        <v>0</v>
      </c>
      <c r="Z29" s="27">
        <f t="shared" ref="Z29" si="702">GD29</f>
        <v>0</v>
      </c>
      <c r="AA29" s="27">
        <f t="shared" ref="AA29" si="703">GY29</f>
        <v>0</v>
      </c>
      <c r="AB29" s="4">
        <f t="shared" ref="AB29" si="704">P29*Q29*O29/1000000</f>
        <v>0</v>
      </c>
      <c r="AC29" s="2" t="str">
        <f t="shared" ref="AC29" si="705">IF(E29=1,E29*$O29*$Q29/1000,IF(E29=2,E29*$O29*$Q29/1000," "))</f>
        <v xml:space="preserve"> </v>
      </c>
      <c r="AD29" s="2" t="str">
        <f t="shared" ref="AD29" si="706">IF(F29=1,F29*$O29*$P29/1000,IF(F29=2,F29*$O29*$P29/1000," "))</f>
        <v xml:space="preserve"> </v>
      </c>
      <c r="AE29" s="2" t="str">
        <f t="shared" ref="AE29" si="707">IF(G29=1,G29*$O29*$P29/1000,IF(G29=2,G29*$O29*$P29/1000," "))</f>
        <v xml:space="preserve"> </v>
      </c>
      <c r="AF29" s="2" t="str">
        <f t="shared" ref="AF29" si="708">IF(H29=1,H29*$O29*$Q29/1000,IF(H29=2,H29*$O29*$Q29/1000," "))</f>
        <v xml:space="preserve"> </v>
      </c>
      <c r="AG29" s="2" t="str">
        <f t="shared" ref="AG29" si="709">IF(I29=1,I29*$O29*$P29/1000,IF(I29=2,I29*$O29*$P29/1000," "))</f>
        <v xml:space="preserve"> </v>
      </c>
      <c r="AH29" s="2" t="str">
        <f t="shared" ref="AH29" si="710">IF(J29=1,J29*$O29*$P29/1000,IF(J29=2,J29*$O29*$P29/1000," "))</f>
        <v xml:space="preserve"> </v>
      </c>
      <c r="AI29" s="2" t="str">
        <f t="shared" ref="AI29" si="711">IF(K29=1,K29*$O29*$Q29/1000,IF(K29=2,K29*$O29*$Q29/1000," "))</f>
        <v xml:space="preserve"> </v>
      </c>
      <c r="AJ29" s="2" t="str">
        <f t="shared" ref="AJ29" si="712">IF(L29=1,L29*$O29*$P29/1000,IF(L29=2,L29*$O29*$P29/1000," "))</f>
        <v xml:space="preserve"> </v>
      </c>
      <c r="AK29" s="2" t="str">
        <f t="shared" ref="AK29" si="713">IF(M29=1,M29*$O29*$P29/1000,IF(M29=2,M29*$O29*$P29/1000," "))</f>
        <v xml:space="preserve"> </v>
      </c>
      <c r="AL29" s="2" t="str">
        <f t="shared" ref="AL29" si="714">IF(N29=1,N29*$O29*$Q29/1000,IF(N29=2,N29*$O29*$Q29/1000," "))</f>
        <v xml:space="preserve"> </v>
      </c>
      <c r="AM29" s="23">
        <f t="shared" ref="AM29" si="715">SUM(AN29:BG29)*R29</f>
        <v>0</v>
      </c>
      <c r="AN29" s="8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11"/>
      <c r="BH29" s="1">
        <f t="shared" ref="BH29" si="716">SUM(BI29:CB29)*R29</f>
        <v>0</v>
      </c>
      <c r="BI29" s="8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11"/>
      <c r="CC29" s="1">
        <f t="shared" ref="CC29" si="717">SUM(CD29:CW29)*R29</f>
        <v>0</v>
      </c>
      <c r="CD29" s="8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11"/>
      <c r="CX29" s="10">
        <f t="shared" ref="CX29" si="718">SUM(CY29:DR29)*R29</f>
        <v>0</v>
      </c>
      <c r="CY29" s="8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11"/>
      <c r="DS29" s="10">
        <f t="shared" ref="DS29" si="719">SUM(DT29:EM29)*R29</f>
        <v>0</v>
      </c>
      <c r="DT29" s="8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11"/>
      <c r="EN29" s="10">
        <f t="shared" ref="EN29" si="720">SUM(EO29:FH29)*R29</f>
        <v>0</v>
      </c>
      <c r="EO29" s="8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11"/>
      <c r="FI29" s="10">
        <f t="shared" ref="FI29" si="721">SUM(FJ29:GC29)*R29</f>
        <v>0</v>
      </c>
      <c r="FJ29" s="8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11"/>
      <c r="GD29" s="10">
        <f t="shared" ref="GD29" si="722">SUM(GE29:GX29)*R29</f>
        <v>0</v>
      </c>
      <c r="GE29" s="8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11"/>
      <c r="GY29" s="10">
        <f t="shared" ref="GY29" si="723">SUM(GZ29:IZ29)*R29</f>
        <v>0</v>
      </c>
      <c r="GZ29" s="8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11"/>
    </row>
    <row r="30" spans="1:260" ht="14.25" customHeight="1" x14ac:dyDescent="0.3">
      <c r="A30" s="63"/>
      <c r="B30" s="61"/>
      <c r="C30" s="62"/>
      <c r="D30" s="62"/>
      <c r="E30" s="5"/>
      <c r="F30" s="5"/>
      <c r="G30" s="5"/>
      <c r="H30" s="5"/>
      <c r="I30" s="5"/>
      <c r="J30" s="5"/>
      <c r="K30" s="5"/>
      <c r="L30" s="5"/>
      <c r="M30" s="5"/>
      <c r="N30" s="5"/>
      <c r="O30" s="3">
        <f t="shared" ref="O30" si="724">SUM(AN30:BG30,BI30:CB30,CD30:CW30,CY30:DR30,DT30:EM30,EO30:FH30,FJ30:GC30,GE30:GX30,GZ30:IZ30)</f>
        <v>0</v>
      </c>
      <c r="P30" s="7"/>
      <c r="Q30" s="7"/>
      <c r="R30" s="2">
        <f t="shared" ref="R30" si="725">P30*Q30/1000000</f>
        <v>0</v>
      </c>
      <c r="S30" s="27">
        <f t="shared" ref="S30" si="726">AM30</f>
        <v>0</v>
      </c>
      <c r="T30" s="27">
        <f t="shared" ref="T30" si="727">BH30</f>
        <v>0</v>
      </c>
      <c r="U30" s="27">
        <f t="shared" ref="U30" si="728">CC30</f>
        <v>0</v>
      </c>
      <c r="V30" s="27">
        <f t="shared" ref="V30" si="729">CX30</f>
        <v>0</v>
      </c>
      <c r="W30" s="27">
        <f t="shared" ref="W30" si="730">DS30</f>
        <v>0</v>
      </c>
      <c r="X30" s="27">
        <f t="shared" ref="X30" si="731">EN30</f>
        <v>0</v>
      </c>
      <c r="Y30" s="27">
        <f t="shared" ref="Y30" si="732">FI30</f>
        <v>0</v>
      </c>
      <c r="Z30" s="27">
        <f t="shared" ref="Z30" si="733">GD30</f>
        <v>0</v>
      </c>
      <c r="AA30" s="27">
        <f t="shared" ref="AA30" si="734">GY30</f>
        <v>0</v>
      </c>
      <c r="AB30" s="4">
        <f t="shared" ref="AB30" si="735">P30*Q30*O30/1000000</f>
        <v>0</v>
      </c>
      <c r="AC30" s="2" t="str">
        <f t="shared" ref="AC30" si="736">IF(E30=1,E30*$O30*$Q30/1000,IF(E30=2,E30*$O30*$Q30/1000," "))</f>
        <v xml:space="preserve"> </v>
      </c>
      <c r="AD30" s="2" t="str">
        <f t="shared" ref="AD30" si="737">IF(F30=1,F30*$O30*$P30/1000,IF(F30=2,F30*$O30*$P30/1000," "))</f>
        <v xml:space="preserve"> </v>
      </c>
      <c r="AE30" s="2" t="str">
        <f t="shared" ref="AE30" si="738">IF(G30=1,G30*$O30*$P30/1000,IF(G30=2,G30*$O30*$P30/1000," "))</f>
        <v xml:space="preserve"> </v>
      </c>
      <c r="AF30" s="2" t="str">
        <f t="shared" ref="AF30" si="739">IF(H30=1,H30*$O30*$Q30/1000,IF(H30=2,H30*$O30*$Q30/1000," "))</f>
        <v xml:space="preserve"> </v>
      </c>
      <c r="AG30" s="2" t="str">
        <f t="shared" ref="AG30" si="740">IF(I30=1,I30*$O30*$P30/1000,IF(I30=2,I30*$O30*$P30/1000," "))</f>
        <v xml:space="preserve"> </v>
      </c>
      <c r="AH30" s="2" t="str">
        <f t="shared" ref="AH30" si="741">IF(J30=1,J30*$O30*$P30/1000,IF(J30=2,J30*$O30*$P30/1000," "))</f>
        <v xml:space="preserve"> </v>
      </c>
      <c r="AI30" s="2" t="str">
        <f t="shared" ref="AI30" si="742">IF(K30=1,K30*$O30*$Q30/1000,IF(K30=2,K30*$O30*$Q30/1000," "))</f>
        <v xml:space="preserve"> </v>
      </c>
      <c r="AJ30" s="2" t="str">
        <f t="shared" ref="AJ30" si="743">IF(L30=1,L30*$O30*$P30/1000,IF(L30=2,L30*$O30*$P30/1000," "))</f>
        <v xml:space="preserve"> </v>
      </c>
      <c r="AK30" s="2" t="str">
        <f t="shared" ref="AK30" si="744">IF(M30=1,M30*$O30*$P30/1000,IF(M30=2,M30*$O30*$P30/1000," "))</f>
        <v xml:space="preserve"> </v>
      </c>
      <c r="AL30" s="2" t="str">
        <f t="shared" ref="AL30" si="745">IF(N30=1,N30*$O30*$Q30/1000,IF(N30=2,N30*$O30*$Q30/1000," "))</f>
        <v xml:space="preserve"> </v>
      </c>
      <c r="AM30" s="23">
        <f t="shared" ref="AM30" si="746">SUM(AN30:BG30)*R30</f>
        <v>0</v>
      </c>
      <c r="AN30" s="8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11"/>
      <c r="BH30" s="1">
        <f t="shared" ref="BH30" si="747">SUM(BI30:CB30)*R30</f>
        <v>0</v>
      </c>
      <c r="BI30" s="8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11"/>
      <c r="CC30" s="1">
        <f t="shared" ref="CC30" si="748">SUM(CD30:CW30)*R30</f>
        <v>0</v>
      </c>
      <c r="CD30" s="8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11"/>
      <c r="CX30" s="10">
        <f t="shared" ref="CX30" si="749">SUM(CY30:DR30)*R30</f>
        <v>0</v>
      </c>
      <c r="CY30" s="8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11"/>
      <c r="DS30" s="10">
        <f t="shared" ref="DS30" si="750">SUM(DT30:EM30)*R30</f>
        <v>0</v>
      </c>
      <c r="DT30" s="8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11"/>
      <c r="EN30" s="10">
        <f t="shared" ref="EN30" si="751">SUM(EO30:FH30)*R30</f>
        <v>0</v>
      </c>
      <c r="EO30" s="8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11"/>
      <c r="FI30" s="10">
        <f t="shared" ref="FI30" si="752">SUM(FJ30:GC30)*R30</f>
        <v>0</v>
      </c>
      <c r="FJ30" s="8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11"/>
      <c r="GD30" s="10">
        <f t="shared" ref="GD30" si="753">SUM(GE30:GX30)*R30</f>
        <v>0</v>
      </c>
      <c r="GE30" s="8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11"/>
      <c r="GY30" s="10">
        <f t="shared" ref="GY30" si="754">SUM(GZ30:IZ30)*R30</f>
        <v>0</v>
      </c>
      <c r="GZ30" s="8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11"/>
    </row>
    <row r="31" spans="1:260" ht="14.25" customHeight="1" x14ac:dyDescent="0.3">
      <c r="A31" s="63"/>
      <c r="B31" s="61"/>
      <c r="C31" s="62"/>
      <c r="D31" s="62"/>
      <c r="E31" s="5"/>
      <c r="F31" s="5"/>
      <c r="G31" s="5"/>
      <c r="H31" s="5"/>
      <c r="I31" s="5"/>
      <c r="J31" s="5"/>
      <c r="K31" s="5"/>
      <c r="L31" s="5"/>
      <c r="M31" s="5"/>
      <c r="N31" s="5"/>
      <c r="O31" s="3">
        <f t="shared" ref="O31" si="755">SUM(AN31:BG31,BI31:CB31,CD31:CW31,CY31:DR31,DT31:EM31,EO31:FH31,FJ31:GC31,GE31:GX31,GZ31:IZ31)</f>
        <v>0</v>
      </c>
      <c r="P31" s="7"/>
      <c r="Q31" s="7"/>
      <c r="R31" s="2">
        <f t="shared" ref="R31" si="756">P31*Q31/1000000</f>
        <v>0</v>
      </c>
      <c r="S31" s="27">
        <f t="shared" ref="S31" si="757">AM31</f>
        <v>0</v>
      </c>
      <c r="T31" s="27">
        <f t="shared" ref="T31" si="758">BH31</f>
        <v>0</v>
      </c>
      <c r="U31" s="27">
        <f t="shared" ref="U31" si="759">CC31</f>
        <v>0</v>
      </c>
      <c r="V31" s="27">
        <f t="shared" ref="V31" si="760">CX31</f>
        <v>0</v>
      </c>
      <c r="W31" s="27">
        <f t="shared" ref="W31" si="761">DS31</f>
        <v>0</v>
      </c>
      <c r="X31" s="27">
        <f t="shared" ref="X31" si="762">EN31</f>
        <v>0</v>
      </c>
      <c r="Y31" s="27">
        <f t="shared" ref="Y31" si="763">FI31</f>
        <v>0</v>
      </c>
      <c r="Z31" s="27">
        <f t="shared" ref="Z31" si="764">GD31</f>
        <v>0</v>
      </c>
      <c r="AA31" s="27">
        <f t="shared" ref="AA31" si="765">GY31</f>
        <v>0</v>
      </c>
      <c r="AB31" s="4">
        <f t="shared" ref="AB31" si="766">P31*Q31*O31/1000000</f>
        <v>0</v>
      </c>
      <c r="AC31" s="2" t="str">
        <f t="shared" ref="AC31" si="767">IF(E31=1,E31*$O31*$Q31/1000,IF(E31=2,E31*$O31*$Q31/1000," "))</f>
        <v xml:space="preserve"> </v>
      </c>
      <c r="AD31" s="2" t="str">
        <f t="shared" ref="AD31" si="768">IF(F31=1,F31*$O31*$P31/1000,IF(F31=2,F31*$O31*$P31/1000," "))</f>
        <v xml:space="preserve"> </v>
      </c>
      <c r="AE31" s="2" t="str">
        <f t="shared" ref="AE31" si="769">IF(G31=1,G31*$O31*$P31/1000,IF(G31=2,G31*$O31*$P31/1000," "))</f>
        <v xml:space="preserve"> </v>
      </c>
      <c r="AF31" s="2" t="str">
        <f t="shared" ref="AF31" si="770">IF(H31=1,H31*$O31*$Q31/1000,IF(H31=2,H31*$O31*$Q31/1000," "))</f>
        <v xml:space="preserve"> </v>
      </c>
      <c r="AG31" s="2" t="str">
        <f t="shared" ref="AG31" si="771">IF(I31=1,I31*$O31*$P31/1000,IF(I31=2,I31*$O31*$P31/1000," "))</f>
        <v xml:space="preserve"> </v>
      </c>
      <c r="AH31" s="2" t="str">
        <f t="shared" ref="AH31" si="772">IF(J31=1,J31*$O31*$P31/1000,IF(J31=2,J31*$O31*$P31/1000," "))</f>
        <v xml:space="preserve"> </v>
      </c>
      <c r="AI31" s="2" t="str">
        <f t="shared" ref="AI31" si="773">IF(K31=1,K31*$O31*$Q31/1000,IF(K31=2,K31*$O31*$Q31/1000," "))</f>
        <v xml:space="preserve"> </v>
      </c>
      <c r="AJ31" s="2" t="str">
        <f t="shared" ref="AJ31" si="774">IF(L31=1,L31*$O31*$P31/1000,IF(L31=2,L31*$O31*$P31/1000," "))</f>
        <v xml:space="preserve"> </v>
      </c>
      <c r="AK31" s="2" t="str">
        <f t="shared" ref="AK31" si="775">IF(M31=1,M31*$O31*$P31/1000,IF(M31=2,M31*$O31*$P31/1000," "))</f>
        <v xml:space="preserve"> </v>
      </c>
      <c r="AL31" s="2" t="str">
        <f t="shared" ref="AL31" si="776">IF(N31=1,N31*$O31*$Q31/1000,IF(N31=2,N31*$O31*$Q31/1000," "))</f>
        <v xml:space="preserve"> </v>
      </c>
      <c r="AM31" s="23">
        <f t="shared" ref="AM31" si="777">SUM(AN31:BG31)*R31</f>
        <v>0</v>
      </c>
      <c r="AN31" s="8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11"/>
      <c r="BH31" s="1">
        <f t="shared" ref="BH31" si="778">SUM(BI31:CB31)*R31</f>
        <v>0</v>
      </c>
      <c r="BI31" s="8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11"/>
      <c r="CC31" s="1">
        <f t="shared" ref="CC31" si="779">SUM(CD31:CW31)*R31</f>
        <v>0</v>
      </c>
      <c r="CD31" s="8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11"/>
      <c r="CX31" s="10">
        <f t="shared" ref="CX31" si="780">SUM(CY31:DR31)*R31</f>
        <v>0</v>
      </c>
      <c r="CY31" s="8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11"/>
      <c r="DS31" s="10">
        <f t="shared" ref="DS31" si="781">SUM(DT31:EM31)*R31</f>
        <v>0</v>
      </c>
      <c r="DT31" s="8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11"/>
      <c r="EN31" s="10">
        <f t="shared" ref="EN31" si="782">SUM(EO31:FH31)*R31</f>
        <v>0</v>
      </c>
      <c r="EO31" s="8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11"/>
      <c r="FI31" s="10">
        <f t="shared" ref="FI31" si="783">SUM(FJ31:GC31)*R31</f>
        <v>0</v>
      </c>
      <c r="FJ31" s="8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11"/>
      <c r="GD31" s="10">
        <f t="shared" ref="GD31" si="784">SUM(GE31:GX31)*R31</f>
        <v>0</v>
      </c>
      <c r="GE31" s="8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11"/>
      <c r="GY31" s="10">
        <f t="shared" ref="GY31" si="785">SUM(GZ31:IZ31)*R31</f>
        <v>0</v>
      </c>
      <c r="GZ31" s="8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11"/>
    </row>
    <row r="32" spans="1:260" ht="14.25" customHeight="1" x14ac:dyDescent="0.3">
      <c r="A32" s="63"/>
      <c r="B32" s="61"/>
      <c r="C32" s="62"/>
      <c r="D32" s="62"/>
      <c r="E32" s="5"/>
      <c r="F32" s="5"/>
      <c r="G32" s="5"/>
      <c r="H32" s="5"/>
      <c r="I32" s="5"/>
      <c r="J32" s="5"/>
      <c r="K32" s="5"/>
      <c r="L32" s="5"/>
      <c r="M32" s="5"/>
      <c r="N32" s="5"/>
      <c r="O32" s="3">
        <f t="shared" ref="O32" si="786">SUM(AN32:BG32,BI32:CB32,CD32:CW32,CY32:DR32,DT32:EM32,EO32:FH32,FJ32:GC32,GE32:GX32,GZ32:IZ32)</f>
        <v>0</v>
      </c>
      <c r="P32" s="7"/>
      <c r="Q32" s="7"/>
      <c r="R32" s="2">
        <f t="shared" ref="R32" si="787">P32*Q32/1000000</f>
        <v>0</v>
      </c>
      <c r="S32" s="27">
        <f t="shared" ref="S32" si="788">AM32</f>
        <v>0</v>
      </c>
      <c r="T32" s="27">
        <f t="shared" ref="T32" si="789">BH32</f>
        <v>0</v>
      </c>
      <c r="U32" s="27">
        <f t="shared" ref="U32" si="790">CC32</f>
        <v>0</v>
      </c>
      <c r="V32" s="27">
        <f t="shared" ref="V32" si="791">CX32</f>
        <v>0</v>
      </c>
      <c r="W32" s="27">
        <f t="shared" ref="W32" si="792">DS32</f>
        <v>0</v>
      </c>
      <c r="X32" s="27">
        <f t="shared" ref="X32" si="793">EN32</f>
        <v>0</v>
      </c>
      <c r="Y32" s="27">
        <f t="shared" ref="Y32" si="794">FI32</f>
        <v>0</v>
      </c>
      <c r="Z32" s="27">
        <f t="shared" ref="Z32" si="795">GD32</f>
        <v>0</v>
      </c>
      <c r="AA32" s="27">
        <f t="shared" ref="AA32" si="796">GY32</f>
        <v>0</v>
      </c>
      <c r="AB32" s="4">
        <f t="shared" ref="AB32" si="797">P32*Q32*O32/1000000</f>
        <v>0</v>
      </c>
      <c r="AC32" s="2" t="str">
        <f t="shared" ref="AC32" si="798">IF(E32=1,E32*$O32*$Q32/1000,IF(E32=2,E32*$O32*$Q32/1000," "))</f>
        <v xml:space="preserve"> </v>
      </c>
      <c r="AD32" s="2" t="str">
        <f t="shared" ref="AD32" si="799">IF(F32=1,F32*$O32*$P32/1000,IF(F32=2,F32*$O32*$P32/1000," "))</f>
        <v xml:space="preserve"> </v>
      </c>
      <c r="AE32" s="2" t="str">
        <f t="shared" ref="AE32" si="800">IF(G32=1,G32*$O32*$P32/1000,IF(G32=2,G32*$O32*$P32/1000," "))</f>
        <v xml:space="preserve"> </v>
      </c>
      <c r="AF32" s="2" t="str">
        <f t="shared" ref="AF32" si="801">IF(H32=1,H32*$O32*$Q32/1000,IF(H32=2,H32*$O32*$Q32/1000," "))</f>
        <v xml:space="preserve"> </v>
      </c>
      <c r="AG32" s="2" t="str">
        <f t="shared" ref="AG32" si="802">IF(I32=1,I32*$O32*$P32/1000,IF(I32=2,I32*$O32*$P32/1000," "))</f>
        <v xml:space="preserve"> </v>
      </c>
      <c r="AH32" s="2" t="str">
        <f t="shared" ref="AH32" si="803">IF(J32=1,J32*$O32*$P32/1000,IF(J32=2,J32*$O32*$P32/1000," "))</f>
        <v xml:space="preserve"> </v>
      </c>
      <c r="AI32" s="2" t="str">
        <f t="shared" ref="AI32" si="804">IF(K32=1,K32*$O32*$Q32/1000,IF(K32=2,K32*$O32*$Q32/1000," "))</f>
        <v xml:space="preserve"> </v>
      </c>
      <c r="AJ32" s="2" t="str">
        <f t="shared" ref="AJ32" si="805">IF(L32=1,L32*$O32*$P32/1000,IF(L32=2,L32*$O32*$P32/1000," "))</f>
        <v xml:space="preserve"> </v>
      </c>
      <c r="AK32" s="2" t="str">
        <f t="shared" ref="AK32" si="806">IF(M32=1,M32*$O32*$P32/1000,IF(M32=2,M32*$O32*$P32/1000," "))</f>
        <v xml:space="preserve"> </v>
      </c>
      <c r="AL32" s="2" t="str">
        <f t="shared" ref="AL32" si="807">IF(N32=1,N32*$O32*$Q32/1000,IF(N32=2,N32*$O32*$Q32/1000," "))</f>
        <v xml:space="preserve"> </v>
      </c>
      <c r="AM32" s="23">
        <f t="shared" ref="AM32" si="808">SUM(AN32:BG32)*R32</f>
        <v>0</v>
      </c>
      <c r="AN32" s="8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11"/>
      <c r="BH32" s="1">
        <f t="shared" ref="BH32" si="809">SUM(BI32:CB32)*R32</f>
        <v>0</v>
      </c>
      <c r="BI32" s="8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11"/>
      <c r="CC32" s="1">
        <f t="shared" ref="CC32" si="810">SUM(CD32:CW32)*R32</f>
        <v>0</v>
      </c>
      <c r="CD32" s="8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11"/>
      <c r="CX32" s="10">
        <f t="shared" ref="CX32" si="811">SUM(CY32:DR32)*R32</f>
        <v>0</v>
      </c>
      <c r="CY32" s="8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11"/>
      <c r="DS32" s="10">
        <f t="shared" ref="DS32" si="812">SUM(DT32:EM32)*R32</f>
        <v>0</v>
      </c>
      <c r="DT32" s="8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11"/>
      <c r="EN32" s="10">
        <f t="shared" ref="EN32" si="813">SUM(EO32:FH32)*R32</f>
        <v>0</v>
      </c>
      <c r="EO32" s="8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11"/>
      <c r="FI32" s="10">
        <f t="shared" ref="FI32" si="814">SUM(FJ32:GC32)*R32</f>
        <v>0</v>
      </c>
      <c r="FJ32" s="8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11"/>
      <c r="GD32" s="10">
        <f t="shared" ref="GD32" si="815">SUM(GE32:GX32)*R32</f>
        <v>0</v>
      </c>
      <c r="GE32" s="8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11"/>
      <c r="GY32" s="10">
        <f t="shared" ref="GY32" si="816">SUM(GZ32:IZ32)*R32</f>
        <v>0</v>
      </c>
      <c r="GZ32" s="8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11"/>
    </row>
    <row r="33" spans="1:260" ht="14.25" customHeight="1" x14ac:dyDescent="0.3">
      <c r="A33" s="63"/>
      <c r="B33" s="61"/>
      <c r="C33" s="62"/>
      <c r="D33" s="62"/>
      <c r="E33" s="5"/>
      <c r="F33" s="5"/>
      <c r="G33" s="5"/>
      <c r="H33" s="5"/>
      <c r="I33" s="5"/>
      <c r="J33" s="5"/>
      <c r="K33" s="5"/>
      <c r="L33" s="5"/>
      <c r="M33" s="5"/>
      <c r="N33" s="5"/>
      <c r="O33" s="3">
        <f t="shared" ref="O33" si="817">SUM(AN33:BG33,BI33:CB33,CD33:CW33,CY33:DR33,DT33:EM33,EO33:FH33,FJ33:GC33,GE33:GX33,GZ33:IZ33)</f>
        <v>0</v>
      </c>
      <c r="P33" s="7"/>
      <c r="Q33" s="7"/>
      <c r="R33" s="2">
        <f t="shared" ref="R33" si="818">P33*Q33/1000000</f>
        <v>0</v>
      </c>
      <c r="S33" s="27">
        <f t="shared" ref="S33" si="819">AM33</f>
        <v>0</v>
      </c>
      <c r="T33" s="27">
        <f t="shared" ref="T33" si="820">BH33</f>
        <v>0</v>
      </c>
      <c r="U33" s="27">
        <f t="shared" ref="U33" si="821">CC33</f>
        <v>0</v>
      </c>
      <c r="V33" s="27">
        <f t="shared" ref="V33" si="822">CX33</f>
        <v>0</v>
      </c>
      <c r="W33" s="27">
        <f t="shared" ref="W33" si="823">DS33</f>
        <v>0</v>
      </c>
      <c r="X33" s="27">
        <f t="shared" ref="X33" si="824">EN33</f>
        <v>0</v>
      </c>
      <c r="Y33" s="27">
        <f t="shared" ref="Y33" si="825">FI33</f>
        <v>0</v>
      </c>
      <c r="Z33" s="27">
        <f t="shared" ref="Z33" si="826">GD33</f>
        <v>0</v>
      </c>
      <c r="AA33" s="27">
        <f t="shared" ref="AA33" si="827">GY33</f>
        <v>0</v>
      </c>
      <c r="AB33" s="4">
        <f t="shared" ref="AB33" si="828">P33*Q33*O33/1000000</f>
        <v>0</v>
      </c>
      <c r="AC33" s="2" t="str">
        <f t="shared" ref="AC33" si="829">IF(E33=1,E33*$O33*$Q33/1000,IF(E33=2,E33*$O33*$Q33/1000," "))</f>
        <v xml:space="preserve"> </v>
      </c>
      <c r="AD33" s="2" t="str">
        <f t="shared" ref="AD33" si="830">IF(F33=1,F33*$O33*$P33/1000,IF(F33=2,F33*$O33*$P33/1000," "))</f>
        <v xml:space="preserve"> </v>
      </c>
      <c r="AE33" s="2" t="str">
        <f t="shared" ref="AE33" si="831">IF(G33=1,G33*$O33*$P33/1000,IF(G33=2,G33*$O33*$P33/1000," "))</f>
        <v xml:space="preserve"> </v>
      </c>
      <c r="AF33" s="2" t="str">
        <f t="shared" ref="AF33" si="832">IF(H33=1,H33*$O33*$Q33/1000,IF(H33=2,H33*$O33*$Q33/1000," "))</f>
        <v xml:space="preserve"> </v>
      </c>
      <c r="AG33" s="2" t="str">
        <f t="shared" ref="AG33" si="833">IF(I33=1,I33*$O33*$P33/1000,IF(I33=2,I33*$O33*$P33/1000," "))</f>
        <v xml:space="preserve"> </v>
      </c>
      <c r="AH33" s="2" t="str">
        <f t="shared" ref="AH33" si="834">IF(J33=1,J33*$O33*$P33/1000,IF(J33=2,J33*$O33*$P33/1000," "))</f>
        <v xml:space="preserve"> </v>
      </c>
      <c r="AI33" s="2" t="str">
        <f t="shared" ref="AI33" si="835">IF(K33=1,K33*$O33*$Q33/1000,IF(K33=2,K33*$O33*$Q33/1000," "))</f>
        <v xml:space="preserve"> </v>
      </c>
      <c r="AJ33" s="2" t="str">
        <f t="shared" ref="AJ33" si="836">IF(L33=1,L33*$O33*$P33/1000,IF(L33=2,L33*$O33*$P33/1000," "))</f>
        <v xml:space="preserve"> </v>
      </c>
      <c r="AK33" s="2" t="str">
        <f t="shared" ref="AK33" si="837">IF(M33=1,M33*$O33*$P33/1000,IF(M33=2,M33*$O33*$P33/1000," "))</f>
        <v xml:space="preserve"> </v>
      </c>
      <c r="AL33" s="2" t="str">
        <f t="shared" ref="AL33" si="838">IF(N33=1,N33*$O33*$Q33/1000,IF(N33=2,N33*$O33*$Q33/1000," "))</f>
        <v xml:space="preserve"> </v>
      </c>
      <c r="AM33" s="23">
        <f t="shared" ref="AM33" si="839">SUM(AN33:BG33)*R33</f>
        <v>0</v>
      </c>
      <c r="AN33" s="8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11"/>
      <c r="BH33" s="1">
        <f t="shared" ref="BH33" si="840">SUM(BI33:CB33)*R33</f>
        <v>0</v>
      </c>
      <c r="BI33" s="8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11"/>
      <c r="CC33" s="1">
        <f t="shared" ref="CC33" si="841">SUM(CD33:CW33)*R33</f>
        <v>0</v>
      </c>
      <c r="CD33" s="8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11"/>
      <c r="CX33" s="10">
        <f t="shared" ref="CX33" si="842">SUM(CY33:DR33)*R33</f>
        <v>0</v>
      </c>
      <c r="CY33" s="8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11"/>
      <c r="DS33" s="10">
        <f t="shared" ref="DS33" si="843">SUM(DT33:EM33)*R33</f>
        <v>0</v>
      </c>
      <c r="DT33" s="8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11"/>
      <c r="EN33" s="10">
        <f t="shared" ref="EN33" si="844">SUM(EO33:FH33)*R33</f>
        <v>0</v>
      </c>
      <c r="EO33" s="8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11"/>
      <c r="FI33" s="10">
        <f t="shared" ref="FI33" si="845">SUM(FJ33:GC33)*R33</f>
        <v>0</v>
      </c>
      <c r="FJ33" s="8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11"/>
      <c r="GD33" s="10">
        <f t="shared" ref="GD33" si="846">SUM(GE33:GX33)*R33</f>
        <v>0</v>
      </c>
      <c r="GE33" s="8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11"/>
      <c r="GY33" s="10">
        <f t="shared" ref="GY33" si="847">SUM(GZ33:IZ33)*R33</f>
        <v>0</v>
      </c>
      <c r="GZ33" s="8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11"/>
    </row>
    <row r="34" spans="1:260" ht="14.25" customHeight="1" x14ac:dyDescent="0.3">
      <c r="A34" s="63"/>
      <c r="B34" s="61"/>
      <c r="C34" s="62"/>
      <c r="D34" s="62"/>
      <c r="E34" s="5"/>
      <c r="F34" s="5"/>
      <c r="G34" s="5"/>
      <c r="H34" s="5"/>
      <c r="I34" s="5"/>
      <c r="J34" s="5"/>
      <c r="K34" s="5"/>
      <c r="L34" s="5"/>
      <c r="M34" s="5"/>
      <c r="N34" s="5"/>
      <c r="O34" s="3">
        <f t="shared" ref="O34" si="848">SUM(AN34:BG34,BI34:CB34,CD34:CW34,CY34:DR34,DT34:EM34,EO34:FH34,FJ34:GC34,GE34:GX34,GZ34:IZ34)</f>
        <v>0</v>
      </c>
      <c r="P34" s="7"/>
      <c r="Q34" s="7"/>
      <c r="R34" s="2">
        <f t="shared" ref="R34" si="849">P34*Q34/1000000</f>
        <v>0</v>
      </c>
      <c r="S34" s="27">
        <f t="shared" ref="S34" si="850">AM34</f>
        <v>0</v>
      </c>
      <c r="T34" s="27">
        <f t="shared" ref="T34" si="851">BH34</f>
        <v>0</v>
      </c>
      <c r="U34" s="27">
        <f t="shared" ref="U34" si="852">CC34</f>
        <v>0</v>
      </c>
      <c r="V34" s="27">
        <f t="shared" ref="V34" si="853">CX34</f>
        <v>0</v>
      </c>
      <c r="W34" s="27">
        <f t="shared" ref="W34" si="854">DS34</f>
        <v>0</v>
      </c>
      <c r="X34" s="27">
        <f t="shared" ref="X34" si="855">EN34</f>
        <v>0</v>
      </c>
      <c r="Y34" s="27">
        <f t="shared" ref="Y34" si="856">FI34</f>
        <v>0</v>
      </c>
      <c r="Z34" s="27">
        <f t="shared" ref="Z34" si="857">GD34</f>
        <v>0</v>
      </c>
      <c r="AA34" s="27">
        <f t="shared" ref="AA34" si="858">GY34</f>
        <v>0</v>
      </c>
      <c r="AB34" s="4">
        <f t="shared" ref="AB34" si="859">P34*Q34*O34/1000000</f>
        <v>0</v>
      </c>
      <c r="AC34" s="2" t="str">
        <f t="shared" ref="AC34" si="860">IF(E34=1,E34*$O34*$Q34/1000,IF(E34=2,E34*$O34*$Q34/1000," "))</f>
        <v xml:space="preserve"> </v>
      </c>
      <c r="AD34" s="2" t="str">
        <f t="shared" ref="AD34" si="861">IF(F34=1,F34*$O34*$P34/1000,IF(F34=2,F34*$O34*$P34/1000," "))</f>
        <v xml:space="preserve"> </v>
      </c>
      <c r="AE34" s="2" t="str">
        <f t="shared" ref="AE34" si="862">IF(G34=1,G34*$O34*$P34/1000,IF(G34=2,G34*$O34*$P34/1000," "))</f>
        <v xml:space="preserve"> </v>
      </c>
      <c r="AF34" s="2" t="str">
        <f t="shared" ref="AF34" si="863">IF(H34=1,H34*$O34*$Q34/1000,IF(H34=2,H34*$O34*$Q34/1000," "))</f>
        <v xml:space="preserve"> </v>
      </c>
      <c r="AG34" s="2" t="str">
        <f t="shared" ref="AG34" si="864">IF(I34=1,I34*$O34*$P34/1000,IF(I34=2,I34*$O34*$P34/1000," "))</f>
        <v xml:space="preserve"> </v>
      </c>
      <c r="AH34" s="2" t="str">
        <f t="shared" ref="AH34" si="865">IF(J34=1,J34*$O34*$P34/1000,IF(J34=2,J34*$O34*$P34/1000," "))</f>
        <v xml:space="preserve"> </v>
      </c>
      <c r="AI34" s="2" t="str">
        <f t="shared" ref="AI34" si="866">IF(K34=1,K34*$O34*$Q34/1000,IF(K34=2,K34*$O34*$Q34/1000," "))</f>
        <v xml:space="preserve"> </v>
      </c>
      <c r="AJ34" s="2" t="str">
        <f t="shared" ref="AJ34" si="867">IF(L34=1,L34*$O34*$P34/1000,IF(L34=2,L34*$O34*$P34/1000," "))</f>
        <v xml:space="preserve"> </v>
      </c>
      <c r="AK34" s="2" t="str">
        <f t="shared" ref="AK34" si="868">IF(M34=1,M34*$O34*$P34/1000,IF(M34=2,M34*$O34*$P34/1000," "))</f>
        <v xml:space="preserve"> </v>
      </c>
      <c r="AL34" s="2" t="str">
        <f t="shared" ref="AL34" si="869">IF(N34=1,N34*$O34*$Q34/1000,IF(N34=2,N34*$O34*$Q34/1000," "))</f>
        <v xml:space="preserve"> </v>
      </c>
      <c r="AM34" s="23">
        <f t="shared" ref="AM34" si="870">SUM(AN34:BG34)*R34</f>
        <v>0</v>
      </c>
      <c r="AN34" s="8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11"/>
      <c r="BH34" s="1">
        <f t="shared" ref="BH34" si="871">SUM(BI34:CB34)*R34</f>
        <v>0</v>
      </c>
      <c r="BI34" s="8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11"/>
      <c r="CC34" s="1">
        <f t="shared" ref="CC34" si="872">SUM(CD34:CW34)*R34</f>
        <v>0</v>
      </c>
      <c r="CD34" s="8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11"/>
      <c r="CX34" s="10">
        <f t="shared" ref="CX34" si="873">SUM(CY34:DR34)*R34</f>
        <v>0</v>
      </c>
      <c r="CY34" s="8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11"/>
      <c r="DS34" s="10">
        <f t="shared" ref="DS34" si="874">SUM(DT34:EM34)*R34</f>
        <v>0</v>
      </c>
      <c r="DT34" s="8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11"/>
      <c r="EN34" s="10">
        <f t="shared" ref="EN34" si="875">SUM(EO34:FH34)*R34</f>
        <v>0</v>
      </c>
      <c r="EO34" s="8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11"/>
      <c r="FI34" s="10">
        <f t="shared" ref="FI34" si="876">SUM(FJ34:GC34)*R34</f>
        <v>0</v>
      </c>
      <c r="FJ34" s="8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11"/>
      <c r="GD34" s="10">
        <f t="shared" ref="GD34" si="877">SUM(GE34:GX34)*R34</f>
        <v>0</v>
      </c>
      <c r="GE34" s="8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11"/>
      <c r="GY34" s="10">
        <f t="shared" ref="GY34" si="878">SUM(GZ34:IZ34)*R34</f>
        <v>0</v>
      </c>
      <c r="GZ34" s="8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11"/>
    </row>
    <row r="35" spans="1:260" ht="14.25" customHeight="1" x14ac:dyDescent="0.3">
      <c r="A35" s="63"/>
      <c r="B35" s="61"/>
      <c r="C35" s="62"/>
      <c r="D35" s="62"/>
      <c r="E35" s="5"/>
      <c r="F35" s="5"/>
      <c r="G35" s="5"/>
      <c r="H35" s="5"/>
      <c r="I35" s="5"/>
      <c r="J35" s="5"/>
      <c r="K35" s="5"/>
      <c r="L35" s="5"/>
      <c r="M35" s="5"/>
      <c r="N35" s="5"/>
      <c r="O35" s="3">
        <f t="shared" ref="O35" si="879">SUM(AN35:BG35,BI35:CB35,CD35:CW35,CY35:DR35,DT35:EM35,EO35:FH35,FJ35:GC35,GE35:GX35,GZ35:IZ35)</f>
        <v>0</v>
      </c>
      <c r="P35" s="7"/>
      <c r="Q35" s="7"/>
      <c r="R35" s="2">
        <f t="shared" ref="R35" si="880">P35*Q35/1000000</f>
        <v>0</v>
      </c>
      <c r="S35" s="27">
        <f t="shared" ref="S35" si="881">AM35</f>
        <v>0</v>
      </c>
      <c r="T35" s="27">
        <f t="shared" ref="T35" si="882">BH35</f>
        <v>0</v>
      </c>
      <c r="U35" s="27">
        <f t="shared" ref="U35" si="883">CC35</f>
        <v>0</v>
      </c>
      <c r="V35" s="27">
        <f t="shared" ref="V35" si="884">CX35</f>
        <v>0</v>
      </c>
      <c r="W35" s="27">
        <f t="shared" ref="W35" si="885">DS35</f>
        <v>0</v>
      </c>
      <c r="X35" s="27">
        <f t="shared" ref="X35" si="886">EN35</f>
        <v>0</v>
      </c>
      <c r="Y35" s="27">
        <f t="shared" ref="Y35" si="887">FI35</f>
        <v>0</v>
      </c>
      <c r="Z35" s="27">
        <f t="shared" ref="Z35" si="888">GD35</f>
        <v>0</v>
      </c>
      <c r="AA35" s="27">
        <f t="shared" ref="AA35" si="889">GY35</f>
        <v>0</v>
      </c>
      <c r="AB35" s="4">
        <f t="shared" ref="AB35" si="890">P35*Q35*O35/1000000</f>
        <v>0</v>
      </c>
      <c r="AC35" s="2" t="str">
        <f t="shared" ref="AC35" si="891">IF(E35=1,E35*$O35*$Q35/1000,IF(E35=2,E35*$O35*$Q35/1000," "))</f>
        <v xml:space="preserve"> </v>
      </c>
      <c r="AD35" s="2" t="str">
        <f t="shared" ref="AD35" si="892">IF(F35=1,F35*$O35*$P35/1000,IF(F35=2,F35*$O35*$P35/1000," "))</f>
        <v xml:space="preserve"> </v>
      </c>
      <c r="AE35" s="2" t="str">
        <f t="shared" ref="AE35" si="893">IF(G35=1,G35*$O35*$P35/1000,IF(G35=2,G35*$O35*$P35/1000," "))</f>
        <v xml:space="preserve"> </v>
      </c>
      <c r="AF35" s="2" t="str">
        <f t="shared" ref="AF35" si="894">IF(H35=1,H35*$O35*$Q35/1000,IF(H35=2,H35*$O35*$Q35/1000," "))</f>
        <v xml:space="preserve"> </v>
      </c>
      <c r="AG35" s="2" t="str">
        <f t="shared" ref="AG35" si="895">IF(I35=1,I35*$O35*$P35/1000,IF(I35=2,I35*$O35*$P35/1000," "))</f>
        <v xml:space="preserve"> </v>
      </c>
      <c r="AH35" s="2" t="str">
        <f t="shared" ref="AH35" si="896">IF(J35=1,J35*$O35*$P35/1000,IF(J35=2,J35*$O35*$P35/1000," "))</f>
        <v xml:space="preserve"> </v>
      </c>
      <c r="AI35" s="2" t="str">
        <f t="shared" ref="AI35" si="897">IF(K35=1,K35*$O35*$Q35/1000,IF(K35=2,K35*$O35*$Q35/1000," "))</f>
        <v xml:space="preserve"> </v>
      </c>
      <c r="AJ35" s="2" t="str">
        <f t="shared" ref="AJ35" si="898">IF(L35=1,L35*$O35*$P35/1000,IF(L35=2,L35*$O35*$P35/1000," "))</f>
        <v xml:space="preserve"> </v>
      </c>
      <c r="AK35" s="2" t="str">
        <f t="shared" ref="AK35" si="899">IF(M35=1,M35*$O35*$P35/1000,IF(M35=2,M35*$O35*$P35/1000," "))</f>
        <v xml:space="preserve"> </v>
      </c>
      <c r="AL35" s="2" t="str">
        <f t="shared" ref="AL35" si="900">IF(N35=1,N35*$O35*$Q35/1000,IF(N35=2,N35*$O35*$Q35/1000," "))</f>
        <v xml:space="preserve"> </v>
      </c>
      <c r="AM35" s="23">
        <f t="shared" ref="AM35" si="901">SUM(AN35:BG35)*R35</f>
        <v>0</v>
      </c>
      <c r="AN35" s="8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11"/>
      <c r="BH35" s="1">
        <f t="shared" ref="BH35" si="902">SUM(BI35:CB35)*R35</f>
        <v>0</v>
      </c>
      <c r="BI35" s="8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11"/>
      <c r="CC35" s="1">
        <f t="shared" ref="CC35" si="903">SUM(CD35:CW35)*R35</f>
        <v>0</v>
      </c>
      <c r="CD35" s="8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11"/>
      <c r="CX35" s="10">
        <f t="shared" ref="CX35" si="904">SUM(CY35:DR35)*R35</f>
        <v>0</v>
      </c>
      <c r="CY35" s="8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11"/>
      <c r="DS35" s="10">
        <f t="shared" ref="DS35" si="905">SUM(DT35:EM35)*R35</f>
        <v>0</v>
      </c>
      <c r="DT35" s="8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11"/>
      <c r="EN35" s="10">
        <f t="shared" ref="EN35" si="906">SUM(EO35:FH35)*R35</f>
        <v>0</v>
      </c>
      <c r="EO35" s="8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11"/>
      <c r="FI35" s="10">
        <f t="shared" ref="FI35" si="907">SUM(FJ35:GC35)*R35</f>
        <v>0</v>
      </c>
      <c r="FJ35" s="8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11"/>
      <c r="GD35" s="10">
        <f t="shared" ref="GD35" si="908">SUM(GE35:GX35)*R35</f>
        <v>0</v>
      </c>
      <c r="GE35" s="8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11"/>
      <c r="GY35" s="10">
        <f t="shared" ref="GY35" si="909">SUM(GZ35:IZ35)*R35</f>
        <v>0</v>
      </c>
      <c r="GZ35" s="8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11"/>
    </row>
    <row r="36" spans="1:260" ht="14.25" customHeight="1" x14ac:dyDescent="0.3">
      <c r="A36" s="63"/>
      <c r="B36" s="61"/>
      <c r="C36" s="62"/>
      <c r="D36" s="62"/>
      <c r="E36" s="5"/>
      <c r="F36" s="5"/>
      <c r="G36" s="5"/>
      <c r="H36" s="5"/>
      <c r="I36" s="5"/>
      <c r="J36" s="5"/>
      <c r="K36" s="5"/>
      <c r="L36" s="5"/>
      <c r="M36" s="5"/>
      <c r="N36" s="5"/>
      <c r="O36" s="3">
        <f t="shared" ref="O36" si="910">SUM(AN36:BG36,BI36:CB36,CD36:CW36,CY36:DR36,DT36:EM36,EO36:FH36,FJ36:GC36,GE36:GX36,GZ36:IZ36)</f>
        <v>0</v>
      </c>
      <c r="P36" s="7"/>
      <c r="Q36" s="7"/>
      <c r="R36" s="2">
        <f t="shared" ref="R36" si="911">P36*Q36/1000000</f>
        <v>0</v>
      </c>
      <c r="S36" s="27">
        <f t="shared" ref="S36" si="912">AM36</f>
        <v>0</v>
      </c>
      <c r="T36" s="27">
        <f t="shared" ref="T36" si="913">BH36</f>
        <v>0</v>
      </c>
      <c r="U36" s="27">
        <f t="shared" ref="U36" si="914">CC36</f>
        <v>0</v>
      </c>
      <c r="V36" s="27">
        <f t="shared" ref="V36" si="915">CX36</f>
        <v>0</v>
      </c>
      <c r="W36" s="27">
        <f t="shared" ref="W36" si="916">DS36</f>
        <v>0</v>
      </c>
      <c r="X36" s="27">
        <f t="shared" ref="X36" si="917">EN36</f>
        <v>0</v>
      </c>
      <c r="Y36" s="27">
        <f t="shared" ref="Y36" si="918">FI36</f>
        <v>0</v>
      </c>
      <c r="Z36" s="27">
        <f t="shared" ref="Z36" si="919">GD36</f>
        <v>0</v>
      </c>
      <c r="AA36" s="27">
        <f t="shared" ref="AA36" si="920">GY36</f>
        <v>0</v>
      </c>
      <c r="AB36" s="4">
        <f t="shared" ref="AB36" si="921">P36*Q36*O36/1000000</f>
        <v>0</v>
      </c>
      <c r="AC36" s="2" t="str">
        <f t="shared" ref="AC36" si="922">IF(E36=1,E36*$O36*$Q36/1000,IF(E36=2,E36*$O36*$Q36/1000," "))</f>
        <v xml:space="preserve"> </v>
      </c>
      <c r="AD36" s="2" t="str">
        <f t="shared" ref="AD36" si="923">IF(F36=1,F36*$O36*$P36/1000,IF(F36=2,F36*$O36*$P36/1000," "))</f>
        <v xml:space="preserve"> </v>
      </c>
      <c r="AE36" s="2" t="str">
        <f t="shared" ref="AE36" si="924">IF(G36=1,G36*$O36*$P36/1000,IF(G36=2,G36*$O36*$P36/1000," "))</f>
        <v xml:space="preserve"> </v>
      </c>
      <c r="AF36" s="2" t="str">
        <f t="shared" ref="AF36" si="925">IF(H36=1,H36*$O36*$Q36/1000,IF(H36=2,H36*$O36*$Q36/1000," "))</f>
        <v xml:space="preserve"> </v>
      </c>
      <c r="AG36" s="2" t="str">
        <f t="shared" ref="AG36" si="926">IF(I36=1,I36*$O36*$P36/1000,IF(I36=2,I36*$O36*$P36/1000," "))</f>
        <v xml:space="preserve"> </v>
      </c>
      <c r="AH36" s="2" t="str">
        <f t="shared" ref="AH36" si="927">IF(J36=1,J36*$O36*$P36/1000,IF(J36=2,J36*$O36*$P36/1000," "))</f>
        <v xml:space="preserve"> </v>
      </c>
      <c r="AI36" s="2" t="str">
        <f t="shared" ref="AI36" si="928">IF(K36=1,K36*$O36*$Q36/1000,IF(K36=2,K36*$O36*$Q36/1000," "))</f>
        <v xml:space="preserve"> </v>
      </c>
      <c r="AJ36" s="2" t="str">
        <f t="shared" ref="AJ36" si="929">IF(L36=1,L36*$O36*$P36/1000,IF(L36=2,L36*$O36*$P36/1000," "))</f>
        <v xml:space="preserve"> </v>
      </c>
      <c r="AK36" s="2" t="str">
        <f t="shared" ref="AK36" si="930">IF(M36=1,M36*$O36*$P36/1000,IF(M36=2,M36*$O36*$P36/1000," "))</f>
        <v xml:space="preserve"> </v>
      </c>
      <c r="AL36" s="2" t="str">
        <f t="shared" ref="AL36" si="931">IF(N36=1,N36*$O36*$Q36/1000,IF(N36=2,N36*$O36*$Q36/1000," "))</f>
        <v xml:space="preserve"> </v>
      </c>
      <c r="AM36" s="23">
        <f t="shared" ref="AM36" si="932">SUM(AN36:BG36)*R36</f>
        <v>0</v>
      </c>
      <c r="AN36" s="8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11"/>
      <c r="BH36" s="1">
        <f t="shared" ref="BH36" si="933">SUM(BI36:CB36)*R36</f>
        <v>0</v>
      </c>
      <c r="BI36" s="8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11"/>
      <c r="CC36" s="1">
        <f t="shared" ref="CC36" si="934">SUM(CD36:CW36)*R36</f>
        <v>0</v>
      </c>
      <c r="CD36" s="8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11"/>
      <c r="CX36" s="10">
        <f t="shared" ref="CX36" si="935">SUM(CY36:DR36)*R36</f>
        <v>0</v>
      </c>
      <c r="CY36" s="8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11"/>
      <c r="DS36" s="10">
        <f t="shared" ref="DS36" si="936">SUM(DT36:EM36)*R36</f>
        <v>0</v>
      </c>
      <c r="DT36" s="8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11"/>
      <c r="EN36" s="10">
        <f t="shared" ref="EN36" si="937">SUM(EO36:FH36)*R36</f>
        <v>0</v>
      </c>
      <c r="EO36" s="8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11"/>
      <c r="FI36" s="10">
        <f t="shared" ref="FI36" si="938">SUM(FJ36:GC36)*R36</f>
        <v>0</v>
      </c>
      <c r="FJ36" s="8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11"/>
      <c r="GD36" s="10">
        <f t="shared" ref="GD36" si="939">SUM(GE36:GX36)*R36</f>
        <v>0</v>
      </c>
      <c r="GE36" s="8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11"/>
      <c r="GY36" s="10">
        <f t="shared" ref="GY36" si="940">SUM(GZ36:IZ36)*R36</f>
        <v>0</v>
      </c>
      <c r="GZ36" s="8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11"/>
    </row>
    <row r="37" spans="1:260" ht="14.25" customHeight="1" x14ac:dyDescent="0.3">
      <c r="A37" s="63"/>
      <c r="B37" s="61"/>
      <c r="C37" s="62"/>
      <c r="D37" s="62"/>
      <c r="E37" s="5"/>
      <c r="F37" s="5"/>
      <c r="G37" s="5"/>
      <c r="H37" s="5"/>
      <c r="I37" s="5"/>
      <c r="J37" s="5"/>
      <c r="K37" s="5"/>
      <c r="L37" s="5"/>
      <c r="M37" s="5"/>
      <c r="N37" s="5"/>
      <c r="O37" s="3">
        <f t="shared" ref="O37" si="941">SUM(AN37:BG37,BI37:CB37,CD37:CW37,CY37:DR37,DT37:EM37,EO37:FH37,FJ37:GC37,GE37:GX37,GZ37:IZ37)</f>
        <v>0</v>
      </c>
      <c r="P37" s="7"/>
      <c r="Q37" s="7"/>
      <c r="R37" s="2">
        <f t="shared" ref="R37" si="942">P37*Q37/1000000</f>
        <v>0</v>
      </c>
      <c r="S37" s="27">
        <f t="shared" ref="S37" si="943">AM37</f>
        <v>0</v>
      </c>
      <c r="T37" s="27">
        <f t="shared" ref="T37" si="944">BH37</f>
        <v>0</v>
      </c>
      <c r="U37" s="27">
        <f t="shared" ref="U37" si="945">CC37</f>
        <v>0</v>
      </c>
      <c r="V37" s="27">
        <f t="shared" ref="V37" si="946">CX37</f>
        <v>0</v>
      </c>
      <c r="W37" s="27">
        <f t="shared" ref="W37" si="947">DS37</f>
        <v>0</v>
      </c>
      <c r="X37" s="27">
        <f t="shared" ref="X37" si="948">EN37</f>
        <v>0</v>
      </c>
      <c r="Y37" s="27">
        <f t="shared" ref="Y37" si="949">FI37</f>
        <v>0</v>
      </c>
      <c r="Z37" s="27">
        <f t="shared" ref="Z37" si="950">GD37</f>
        <v>0</v>
      </c>
      <c r="AA37" s="27">
        <f t="shared" ref="AA37" si="951">GY37</f>
        <v>0</v>
      </c>
      <c r="AB37" s="4">
        <f t="shared" ref="AB37" si="952">P37*Q37*O37/1000000</f>
        <v>0</v>
      </c>
      <c r="AC37" s="2" t="str">
        <f t="shared" ref="AC37" si="953">IF(E37=1,E37*$O37*$Q37/1000,IF(E37=2,E37*$O37*$Q37/1000," "))</f>
        <v xml:space="preserve"> </v>
      </c>
      <c r="AD37" s="2" t="str">
        <f t="shared" ref="AD37" si="954">IF(F37=1,F37*$O37*$P37/1000,IF(F37=2,F37*$O37*$P37/1000," "))</f>
        <v xml:space="preserve"> </v>
      </c>
      <c r="AE37" s="2" t="str">
        <f t="shared" ref="AE37" si="955">IF(G37=1,G37*$O37*$P37/1000,IF(G37=2,G37*$O37*$P37/1000," "))</f>
        <v xml:space="preserve"> </v>
      </c>
      <c r="AF37" s="2" t="str">
        <f t="shared" ref="AF37" si="956">IF(H37=1,H37*$O37*$Q37/1000,IF(H37=2,H37*$O37*$Q37/1000," "))</f>
        <v xml:space="preserve"> </v>
      </c>
      <c r="AG37" s="2" t="str">
        <f t="shared" ref="AG37" si="957">IF(I37=1,I37*$O37*$P37/1000,IF(I37=2,I37*$O37*$P37/1000," "))</f>
        <v xml:space="preserve"> </v>
      </c>
      <c r="AH37" s="2" t="str">
        <f t="shared" ref="AH37" si="958">IF(J37=1,J37*$O37*$P37/1000,IF(J37=2,J37*$O37*$P37/1000," "))</f>
        <v xml:space="preserve"> </v>
      </c>
      <c r="AI37" s="2" t="str">
        <f t="shared" ref="AI37" si="959">IF(K37=1,K37*$O37*$Q37/1000,IF(K37=2,K37*$O37*$Q37/1000," "))</f>
        <v xml:space="preserve"> </v>
      </c>
      <c r="AJ37" s="2" t="str">
        <f t="shared" ref="AJ37" si="960">IF(L37=1,L37*$O37*$P37/1000,IF(L37=2,L37*$O37*$P37/1000," "))</f>
        <v xml:space="preserve"> </v>
      </c>
      <c r="AK37" s="2" t="str">
        <f t="shared" ref="AK37" si="961">IF(M37=1,M37*$O37*$P37/1000,IF(M37=2,M37*$O37*$P37/1000," "))</f>
        <v xml:space="preserve"> </v>
      </c>
      <c r="AL37" s="2" t="str">
        <f t="shared" ref="AL37" si="962">IF(N37=1,N37*$O37*$Q37/1000,IF(N37=2,N37*$O37*$Q37/1000," "))</f>
        <v xml:space="preserve"> </v>
      </c>
      <c r="AM37" s="23">
        <f t="shared" ref="AM37" si="963">SUM(AN37:BG37)*R37</f>
        <v>0</v>
      </c>
      <c r="AN37" s="8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11"/>
      <c r="BH37" s="1">
        <f t="shared" ref="BH37" si="964">SUM(BI37:CB37)*R37</f>
        <v>0</v>
      </c>
      <c r="BI37" s="8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11"/>
      <c r="CC37" s="1">
        <f t="shared" ref="CC37" si="965">SUM(CD37:CW37)*R37</f>
        <v>0</v>
      </c>
      <c r="CD37" s="8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11"/>
      <c r="CX37" s="10">
        <f t="shared" ref="CX37" si="966">SUM(CY37:DR37)*R37</f>
        <v>0</v>
      </c>
      <c r="CY37" s="8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11"/>
      <c r="DS37" s="10">
        <f t="shared" ref="DS37" si="967">SUM(DT37:EM37)*R37</f>
        <v>0</v>
      </c>
      <c r="DT37" s="8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11"/>
      <c r="EN37" s="10">
        <f t="shared" ref="EN37" si="968">SUM(EO37:FH37)*R37</f>
        <v>0</v>
      </c>
      <c r="EO37" s="8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11"/>
      <c r="FI37" s="10">
        <f t="shared" ref="FI37" si="969">SUM(FJ37:GC37)*R37</f>
        <v>0</v>
      </c>
      <c r="FJ37" s="8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11"/>
      <c r="GD37" s="10">
        <f t="shared" ref="GD37" si="970">SUM(GE37:GX37)*R37</f>
        <v>0</v>
      </c>
      <c r="GE37" s="8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11"/>
      <c r="GY37" s="10">
        <f t="shared" ref="GY37" si="971">SUM(GZ37:IZ37)*R37</f>
        <v>0</v>
      </c>
      <c r="GZ37" s="8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11"/>
    </row>
    <row r="38" spans="1:260" ht="14.25" customHeight="1" x14ac:dyDescent="0.3">
      <c r="A38" s="63"/>
      <c r="B38" s="61"/>
      <c r="C38" s="62"/>
      <c r="D38" s="62"/>
      <c r="E38" s="5"/>
      <c r="F38" s="5"/>
      <c r="G38" s="5"/>
      <c r="H38" s="5"/>
      <c r="I38" s="5"/>
      <c r="J38" s="5"/>
      <c r="K38" s="5"/>
      <c r="L38" s="5"/>
      <c r="M38" s="5"/>
      <c r="N38" s="5"/>
      <c r="O38" s="3">
        <f t="shared" ref="O38" si="972">SUM(AN38:BG38,BI38:CB38,CD38:CW38,CY38:DR38,DT38:EM38,EO38:FH38,FJ38:GC38,GE38:GX38,GZ38:IZ38)</f>
        <v>0</v>
      </c>
      <c r="P38" s="7"/>
      <c r="Q38" s="7"/>
      <c r="R38" s="2">
        <f t="shared" ref="R38" si="973">P38*Q38/1000000</f>
        <v>0</v>
      </c>
      <c r="S38" s="27">
        <f t="shared" ref="S38" si="974">AM38</f>
        <v>0</v>
      </c>
      <c r="T38" s="27">
        <f t="shared" ref="T38" si="975">BH38</f>
        <v>0</v>
      </c>
      <c r="U38" s="27">
        <f t="shared" ref="U38" si="976">CC38</f>
        <v>0</v>
      </c>
      <c r="V38" s="27">
        <f t="shared" ref="V38" si="977">CX38</f>
        <v>0</v>
      </c>
      <c r="W38" s="27">
        <f t="shared" ref="W38" si="978">DS38</f>
        <v>0</v>
      </c>
      <c r="X38" s="27">
        <f t="shared" ref="X38" si="979">EN38</f>
        <v>0</v>
      </c>
      <c r="Y38" s="27">
        <f t="shared" ref="Y38" si="980">FI38</f>
        <v>0</v>
      </c>
      <c r="Z38" s="27">
        <f t="shared" ref="Z38" si="981">GD38</f>
        <v>0</v>
      </c>
      <c r="AA38" s="27">
        <f t="shared" ref="AA38" si="982">GY38</f>
        <v>0</v>
      </c>
      <c r="AB38" s="4">
        <f t="shared" ref="AB38" si="983">P38*Q38*O38/1000000</f>
        <v>0</v>
      </c>
      <c r="AC38" s="2" t="str">
        <f t="shared" ref="AC38" si="984">IF(E38=1,E38*$O38*$Q38/1000,IF(E38=2,E38*$O38*$Q38/1000," "))</f>
        <v xml:space="preserve"> </v>
      </c>
      <c r="AD38" s="2" t="str">
        <f t="shared" ref="AD38" si="985">IF(F38=1,F38*$O38*$P38/1000,IF(F38=2,F38*$O38*$P38/1000," "))</f>
        <v xml:space="preserve"> </v>
      </c>
      <c r="AE38" s="2" t="str">
        <f t="shared" ref="AE38" si="986">IF(G38=1,G38*$O38*$P38/1000,IF(G38=2,G38*$O38*$P38/1000," "))</f>
        <v xml:space="preserve"> </v>
      </c>
      <c r="AF38" s="2" t="str">
        <f t="shared" ref="AF38" si="987">IF(H38=1,H38*$O38*$Q38/1000,IF(H38=2,H38*$O38*$Q38/1000," "))</f>
        <v xml:space="preserve"> </v>
      </c>
      <c r="AG38" s="2" t="str">
        <f t="shared" ref="AG38" si="988">IF(I38=1,I38*$O38*$P38/1000,IF(I38=2,I38*$O38*$P38/1000," "))</f>
        <v xml:space="preserve"> </v>
      </c>
      <c r="AH38" s="2" t="str">
        <f t="shared" ref="AH38" si="989">IF(J38=1,J38*$O38*$P38/1000,IF(J38=2,J38*$O38*$P38/1000," "))</f>
        <v xml:space="preserve"> </v>
      </c>
      <c r="AI38" s="2" t="str">
        <f t="shared" ref="AI38" si="990">IF(K38=1,K38*$O38*$Q38/1000,IF(K38=2,K38*$O38*$Q38/1000," "))</f>
        <v xml:space="preserve"> </v>
      </c>
      <c r="AJ38" s="2" t="str">
        <f t="shared" ref="AJ38" si="991">IF(L38=1,L38*$O38*$P38/1000,IF(L38=2,L38*$O38*$P38/1000," "))</f>
        <v xml:space="preserve"> </v>
      </c>
      <c r="AK38" s="2" t="str">
        <f t="shared" ref="AK38" si="992">IF(M38=1,M38*$O38*$P38/1000,IF(M38=2,M38*$O38*$P38/1000," "))</f>
        <v xml:space="preserve"> </v>
      </c>
      <c r="AL38" s="2" t="str">
        <f t="shared" ref="AL38" si="993">IF(N38=1,N38*$O38*$Q38/1000,IF(N38=2,N38*$O38*$Q38/1000," "))</f>
        <v xml:space="preserve"> </v>
      </c>
      <c r="AM38" s="23">
        <f t="shared" ref="AM38" si="994">SUM(AN38:BG38)*R38</f>
        <v>0</v>
      </c>
      <c r="AN38" s="8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11"/>
      <c r="BH38" s="1">
        <f t="shared" ref="BH38" si="995">SUM(BI38:CB38)*R38</f>
        <v>0</v>
      </c>
      <c r="BI38" s="8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11"/>
      <c r="CC38" s="1">
        <f t="shared" ref="CC38" si="996">SUM(CD38:CW38)*R38</f>
        <v>0</v>
      </c>
      <c r="CD38" s="8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11"/>
      <c r="CX38" s="10">
        <f t="shared" ref="CX38" si="997">SUM(CY38:DR38)*R38</f>
        <v>0</v>
      </c>
      <c r="CY38" s="8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11"/>
      <c r="DS38" s="10">
        <f t="shared" ref="DS38" si="998">SUM(DT38:EM38)*R38</f>
        <v>0</v>
      </c>
      <c r="DT38" s="8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11"/>
      <c r="EN38" s="10">
        <f t="shared" ref="EN38" si="999">SUM(EO38:FH38)*R38</f>
        <v>0</v>
      </c>
      <c r="EO38" s="8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11"/>
      <c r="FI38" s="10">
        <f t="shared" ref="FI38" si="1000">SUM(FJ38:GC38)*R38</f>
        <v>0</v>
      </c>
      <c r="FJ38" s="8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11"/>
      <c r="GD38" s="10">
        <f t="shared" ref="GD38" si="1001">SUM(GE38:GX38)*R38</f>
        <v>0</v>
      </c>
      <c r="GE38" s="8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11"/>
      <c r="GY38" s="10">
        <f t="shared" ref="GY38" si="1002">SUM(GZ38:IZ38)*R38</f>
        <v>0</v>
      </c>
      <c r="GZ38" s="8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11"/>
    </row>
    <row r="39" spans="1:260" ht="14.25" customHeight="1" x14ac:dyDescent="0.3">
      <c r="A39" s="63"/>
      <c r="B39" s="61"/>
      <c r="C39" s="62"/>
      <c r="D39" s="62"/>
      <c r="E39" s="5"/>
      <c r="F39" s="5"/>
      <c r="G39" s="5"/>
      <c r="H39" s="5"/>
      <c r="I39" s="5"/>
      <c r="J39" s="5"/>
      <c r="K39" s="5"/>
      <c r="L39" s="5"/>
      <c r="M39" s="5"/>
      <c r="N39" s="5"/>
      <c r="O39" s="3">
        <f t="shared" ref="O39" si="1003">SUM(AN39:BG39,BI39:CB39,CD39:CW39,CY39:DR39,DT39:EM39,EO39:FH39,FJ39:GC39,GE39:GX39,GZ39:IZ39)</f>
        <v>0</v>
      </c>
      <c r="P39" s="7"/>
      <c r="Q39" s="7"/>
      <c r="R39" s="2">
        <f t="shared" ref="R39" si="1004">P39*Q39/1000000</f>
        <v>0</v>
      </c>
      <c r="S39" s="27">
        <f t="shared" ref="S39" si="1005">AM39</f>
        <v>0</v>
      </c>
      <c r="T39" s="27">
        <f t="shared" ref="T39" si="1006">BH39</f>
        <v>0</v>
      </c>
      <c r="U39" s="27">
        <f t="shared" ref="U39" si="1007">CC39</f>
        <v>0</v>
      </c>
      <c r="V39" s="27">
        <f t="shared" ref="V39" si="1008">CX39</f>
        <v>0</v>
      </c>
      <c r="W39" s="27">
        <f t="shared" ref="W39" si="1009">DS39</f>
        <v>0</v>
      </c>
      <c r="X39" s="27">
        <f t="shared" ref="X39" si="1010">EN39</f>
        <v>0</v>
      </c>
      <c r="Y39" s="27">
        <f t="shared" ref="Y39" si="1011">FI39</f>
        <v>0</v>
      </c>
      <c r="Z39" s="27">
        <f t="shared" ref="Z39" si="1012">GD39</f>
        <v>0</v>
      </c>
      <c r="AA39" s="27">
        <f t="shared" ref="AA39" si="1013">GY39</f>
        <v>0</v>
      </c>
      <c r="AB39" s="4">
        <f t="shared" ref="AB39" si="1014">P39*Q39*O39/1000000</f>
        <v>0</v>
      </c>
      <c r="AC39" s="2" t="str">
        <f t="shared" ref="AC39" si="1015">IF(E39=1,E39*$O39*$Q39/1000,IF(E39=2,E39*$O39*$Q39/1000," "))</f>
        <v xml:space="preserve"> </v>
      </c>
      <c r="AD39" s="2" t="str">
        <f t="shared" ref="AD39" si="1016">IF(F39=1,F39*$O39*$P39/1000,IF(F39=2,F39*$O39*$P39/1000," "))</f>
        <v xml:space="preserve"> </v>
      </c>
      <c r="AE39" s="2" t="str">
        <f t="shared" ref="AE39" si="1017">IF(G39=1,G39*$O39*$P39/1000,IF(G39=2,G39*$O39*$P39/1000," "))</f>
        <v xml:space="preserve"> </v>
      </c>
      <c r="AF39" s="2" t="str">
        <f t="shared" ref="AF39" si="1018">IF(H39=1,H39*$O39*$Q39/1000,IF(H39=2,H39*$O39*$Q39/1000," "))</f>
        <v xml:space="preserve"> </v>
      </c>
      <c r="AG39" s="2" t="str">
        <f t="shared" ref="AG39" si="1019">IF(I39=1,I39*$O39*$P39/1000,IF(I39=2,I39*$O39*$P39/1000," "))</f>
        <v xml:space="preserve"> </v>
      </c>
      <c r="AH39" s="2" t="str">
        <f t="shared" ref="AH39" si="1020">IF(J39=1,J39*$O39*$P39/1000,IF(J39=2,J39*$O39*$P39/1000," "))</f>
        <v xml:space="preserve"> </v>
      </c>
      <c r="AI39" s="2" t="str">
        <f t="shared" ref="AI39" si="1021">IF(K39=1,K39*$O39*$Q39/1000,IF(K39=2,K39*$O39*$Q39/1000," "))</f>
        <v xml:space="preserve"> </v>
      </c>
      <c r="AJ39" s="2" t="str">
        <f t="shared" ref="AJ39" si="1022">IF(L39=1,L39*$O39*$P39/1000,IF(L39=2,L39*$O39*$P39/1000," "))</f>
        <v xml:space="preserve"> </v>
      </c>
      <c r="AK39" s="2" t="str">
        <f t="shared" ref="AK39" si="1023">IF(M39=1,M39*$O39*$P39/1000,IF(M39=2,M39*$O39*$P39/1000," "))</f>
        <v xml:space="preserve"> </v>
      </c>
      <c r="AL39" s="2" t="str">
        <f t="shared" ref="AL39" si="1024">IF(N39=1,N39*$O39*$Q39/1000,IF(N39=2,N39*$O39*$Q39/1000," "))</f>
        <v xml:space="preserve"> </v>
      </c>
      <c r="AM39" s="23">
        <f t="shared" ref="AM39" si="1025">SUM(AN39:BG39)*R39</f>
        <v>0</v>
      </c>
      <c r="AN39" s="8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11"/>
      <c r="BH39" s="1">
        <f t="shared" ref="BH39" si="1026">SUM(BI39:CB39)*R39</f>
        <v>0</v>
      </c>
      <c r="BI39" s="8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11"/>
      <c r="CC39" s="1">
        <f t="shared" ref="CC39" si="1027">SUM(CD39:CW39)*R39</f>
        <v>0</v>
      </c>
      <c r="CD39" s="8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11"/>
      <c r="CX39" s="10">
        <f t="shared" ref="CX39" si="1028">SUM(CY39:DR39)*R39</f>
        <v>0</v>
      </c>
      <c r="CY39" s="8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11"/>
      <c r="DS39" s="10">
        <f t="shared" ref="DS39" si="1029">SUM(DT39:EM39)*R39</f>
        <v>0</v>
      </c>
      <c r="DT39" s="8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11"/>
      <c r="EN39" s="10">
        <f t="shared" ref="EN39" si="1030">SUM(EO39:FH39)*R39</f>
        <v>0</v>
      </c>
      <c r="EO39" s="8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11"/>
      <c r="FI39" s="10">
        <f t="shared" ref="FI39" si="1031">SUM(FJ39:GC39)*R39</f>
        <v>0</v>
      </c>
      <c r="FJ39" s="8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11"/>
      <c r="GD39" s="10">
        <f t="shared" ref="GD39" si="1032">SUM(GE39:GX39)*R39</f>
        <v>0</v>
      </c>
      <c r="GE39" s="8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11"/>
      <c r="GY39" s="10">
        <f t="shared" ref="GY39" si="1033">SUM(GZ39:IZ39)*R39</f>
        <v>0</v>
      </c>
      <c r="GZ39" s="8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11"/>
    </row>
    <row r="40" spans="1:260" ht="14.25" customHeight="1" x14ac:dyDescent="0.3">
      <c r="A40" s="63"/>
      <c r="B40" s="61"/>
      <c r="C40" s="62"/>
      <c r="D40" s="62"/>
      <c r="E40" s="5"/>
      <c r="F40" s="5"/>
      <c r="G40" s="5"/>
      <c r="H40" s="5"/>
      <c r="I40" s="5"/>
      <c r="J40" s="5"/>
      <c r="K40" s="5"/>
      <c r="L40" s="5"/>
      <c r="M40" s="5"/>
      <c r="N40" s="5"/>
      <c r="O40" s="3">
        <f t="shared" ref="O40" si="1034">SUM(AN40:BG40,BI40:CB40,CD40:CW40,CY40:DR40,DT40:EM40,EO40:FH40,FJ40:GC40,GE40:GX40,GZ40:IZ40)</f>
        <v>0</v>
      </c>
      <c r="P40" s="7"/>
      <c r="Q40" s="7"/>
      <c r="R40" s="2">
        <f t="shared" ref="R40" si="1035">P40*Q40/1000000</f>
        <v>0</v>
      </c>
      <c r="S40" s="27">
        <f t="shared" ref="S40" si="1036">AM40</f>
        <v>0</v>
      </c>
      <c r="T40" s="27">
        <f t="shared" ref="T40" si="1037">BH40</f>
        <v>0</v>
      </c>
      <c r="U40" s="27">
        <f t="shared" ref="U40" si="1038">CC40</f>
        <v>0</v>
      </c>
      <c r="V40" s="27">
        <f t="shared" ref="V40" si="1039">CX40</f>
        <v>0</v>
      </c>
      <c r="W40" s="27">
        <f t="shared" ref="W40" si="1040">DS40</f>
        <v>0</v>
      </c>
      <c r="X40" s="27">
        <f t="shared" ref="X40" si="1041">EN40</f>
        <v>0</v>
      </c>
      <c r="Y40" s="27">
        <f t="shared" ref="Y40" si="1042">FI40</f>
        <v>0</v>
      </c>
      <c r="Z40" s="27">
        <f t="shared" ref="Z40" si="1043">GD40</f>
        <v>0</v>
      </c>
      <c r="AA40" s="27">
        <f t="shared" ref="AA40" si="1044">GY40</f>
        <v>0</v>
      </c>
      <c r="AB40" s="4">
        <f t="shared" ref="AB40" si="1045">P40*Q40*O40/1000000</f>
        <v>0</v>
      </c>
      <c r="AC40" s="2" t="str">
        <f t="shared" ref="AC40" si="1046">IF(E40=1,E40*$O40*$Q40/1000,IF(E40=2,E40*$O40*$Q40/1000," "))</f>
        <v xml:space="preserve"> </v>
      </c>
      <c r="AD40" s="2" t="str">
        <f t="shared" ref="AD40" si="1047">IF(F40=1,F40*$O40*$P40/1000,IF(F40=2,F40*$O40*$P40/1000," "))</f>
        <v xml:space="preserve"> </v>
      </c>
      <c r="AE40" s="2" t="str">
        <f t="shared" ref="AE40" si="1048">IF(G40=1,G40*$O40*$P40/1000,IF(G40=2,G40*$O40*$P40/1000," "))</f>
        <v xml:space="preserve"> </v>
      </c>
      <c r="AF40" s="2" t="str">
        <f t="shared" ref="AF40" si="1049">IF(H40=1,H40*$O40*$Q40/1000,IF(H40=2,H40*$O40*$Q40/1000," "))</f>
        <v xml:space="preserve"> </v>
      </c>
      <c r="AG40" s="2" t="str">
        <f t="shared" ref="AG40" si="1050">IF(I40=1,I40*$O40*$P40/1000,IF(I40=2,I40*$O40*$P40/1000," "))</f>
        <v xml:space="preserve"> </v>
      </c>
      <c r="AH40" s="2" t="str">
        <f t="shared" ref="AH40" si="1051">IF(J40=1,J40*$O40*$P40/1000,IF(J40=2,J40*$O40*$P40/1000," "))</f>
        <v xml:space="preserve"> </v>
      </c>
      <c r="AI40" s="2" t="str">
        <f t="shared" ref="AI40" si="1052">IF(K40=1,K40*$O40*$Q40/1000,IF(K40=2,K40*$O40*$Q40/1000," "))</f>
        <v xml:space="preserve"> </v>
      </c>
      <c r="AJ40" s="2" t="str">
        <f t="shared" ref="AJ40" si="1053">IF(L40=1,L40*$O40*$P40/1000,IF(L40=2,L40*$O40*$P40/1000," "))</f>
        <v xml:space="preserve"> </v>
      </c>
      <c r="AK40" s="2" t="str">
        <f t="shared" ref="AK40" si="1054">IF(M40=1,M40*$O40*$P40/1000,IF(M40=2,M40*$O40*$P40/1000," "))</f>
        <v xml:space="preserve"> </v>
      </c>
      <c r="AL40" s="2" t="str">
        <f t="shared" ref="AL40" si="1055">IF(N40=1,N40*$O40*$Q40/1000,IF(N40=2,N40*$O40*$Q40/1000," "))</f>
        <v xml:space="preserve"> </v>
      </c>
      <c r="AM40" s="23">
        <f t="shared" ref="AM40" si="1056">SUM(AN40:BG40)*R40</f>
        <v>0</v>
      </c>
      <c r="AN40" s="8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11"/>
      <c r="BH40" s="1">
        <f t="shared" ref="BH40" si="1057">SUM(BI40:CB40)*R40</f>
        <v>0</v>
      </c>
      <c r="BI40" s="8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11"/>
      <c r="CC40" s="1">
        <f t="shared" ref="CC40" si="1058">SUM(CD40:CW40)*R40</f>
        <v>0</v>
      </c>
      <c r="CD40" s="8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11"/>
      <c r="CX40" s="10">
        <f t="shared" ref="CX40" si="1059">SUM(CY40:DR40)*R40</f>
        <v>0</v>
      </c>
      <c r="CY40" s="8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11"/>
      <c r="DS40" s="10">
        <f t="shared" ref="DS40" si="1060">SUM(DT40:EM40)*R40</f>
        <v>0</v>
      </c>
      <c r="DT40" s="8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11"/>
      <c r="EN40" s="10">
        <f t="shared" ref="EN40" si="1061">SUM(EO40:FH40)*R40</f>
        <v>0</v>
      </c>
      <c r="EO40" s="8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11"/>
      <c r="FI40" s="10">
        <f t="shared" ref="FI40" si="1062">SUM(FJ40:GC40)*R40</f>
        <v>0</v>
      </c>
      <c r="FJ40" s="8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11"/>
      <c r="GD40" s="10">
        <f t="shared" ref="GD40" si="1063">SUM(GE40:GX40)*R40</f>
        <v>0</v>
      </c>
      <c r="GE40" s="8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11"/>
      <c r="GY40" s="10">
        <f t="shared" ref="GY40" si="1064">SUM(GZ40:IZ40)*R40</f>
        <v>0</v>
      </c>
      <c r="GZ40" s="8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11"/>
    </row>
    <row r="41" spans="1:260" ht="14.25" customHeight="1" x14ac:dyDescent="0.3">
      <c r="A41" s="63"/>
      <c r="B41" s="61"/>
      <c r="C41" s="62"/>
      <c r="D41" s="62"/>
      <c r="E41" s="5"/>
      <c r="F41" s="5"/>
      <c r="G41" s="5"/>
      <c r="H41" s="5"/>
      <c r="I41" s="5"/>
      <c r="J41" s="5"/>
      <c r="K41" s="5"/>
      <c r="L41" s="5"/>
      <c r="M41" s="5"/>
      <c r="N41" s="5"/>
      <c r="O41" s="3">
        <f t="shared" ref="O41" si="1065">SUM(AN41:BG41,BI41:CB41,CD41:CW41,CY41:DR41,DT41:EM41,EO41:FH41,FJ41:GC41,GE41:GX41,GZ41:IZ41)</f>
        <v>0</v>
      </c>
      <c r="P41" s="7"/>
      <c r="Q41" s="7"/>
      <c r="R41" s="2">
        <f t="shared" ref="R41" si="1066">P41*Q41/1000000</f>
        <v>0</v>
      </c>
      <c r="S41" s="27">
        <f t="shared" ref="S41" si="1067">AM41</f>
        <v>0</v>
      </c>
      <c r="T41" s="27">
        <f t="shared" ref="T41" si="1068">BH41</f>
        <v>0</v>
      </c>
      <c r="U41" s="27">
        <f t="shared" ref="U41" si="1069">CC41</f>
        <v>0</v>
      </c>
      <c r="V41" s="27">
        <f t="shared" ref="V41" si="1070">CX41</f>
        <v>0</v>
      </c>
      <c r="W41" s="27">
        <f t="shared" ref="W41" si="1071">DS41</f>
        <v>0</v>
      </c>
      <c r="X41" s="27">
        <f t="shared" ref="X41" si="1072">EN41</f>
        <v>0</v>
      </c>
      <c r="Y41" s="27">
        <f t="shared" ref="Y41" si="1073">FI41</f>
        <v>0</v>
      </c>
      <c r="Z41" s="27">
        <f t="shared" ref="Z41" si="1074">GD41</f>
        <v>0</v>
      </c>
      <c r="AA41" s="27">
        <f t="shared" ref="AA41" si="1075">GY41</f>
        <v>0</v>
      </c>
      <c r="AB41" s="4">
        <f t="shared" ref="AB41" si="1076">P41*Q41*O41/1000000</f>
        <v>0</v>
      </c>
      <c r="AC41" s="2" t="str">
        <f t="shared" ref="AC41" si="1077">IF(E41=1,E41*$O41*$Q41/1000,IF(E41=2,E41*$O41*$Q41/1000," "))</f>
        <v xml:space="preserve"> </v>
      </c>
      <c r="AD41" s="2" t="str">
        <f t="shared" ref="AD41" si="1078">IF(F41=1,F41*$O41*$P41/1000,IF(F41=2,F41*$O41*$P41/1000," "))</f>
        <v xml:space="preserve"> </v>
      </c>
      <c r="AE41" s="2" t="str">
        <f t="shared" ref="AE41" si="1079">IF(G41=1,G41*$O41*$P41/1000,IF(G41=2,G41*$O41*$P41/1000," "))</f>
        <v xml:space="preserve"> </v>
      </c>
      <c r="AF41" s="2" t="str">
        <f t="shared" ref="AF41" si="1080">IF(H41=1,H41*$O41*$Q41/1000,IF(H41=2,H41*$O41*$Q41/1000," "))</f>
        <v xml:space="preserve"> </v>
      </c>
      <c r="AG41" s="2" t="str">
        <f t="shared" ref="AG41" si="1081">IF(I41=1,I41*$O41*$P41/1000,IF(I41=2,I41*$O41*$P41/1000," "))</f>
        <v xml:space="preserve"> </v>
      </c>
      <c r="AH41" s="2" t="str">
        <f t="shared" ref="AH41" si="1082">IF(J41=1,J41*$O41*$P41/1000,IF(J41=2,J41*$O41*$P41/1000," "))</f>
        <v xml:space="preserve"> </v>
      </c>
      <c r="AI41" s="2" t="str">
        <f t="shared" ref="AI41" si="1083">IF(K41=1,K41*$O41*$Q41/1000,IF(K41=2,K41*$O41*$Q41/1000," "))</f>
        <v xml:space="preserve"> </v>
      </c>
      <c r="AJ41" s="2" t="str">
        <f t="shared" ref="AJ41" si="1084">IF(L41=1,L41*$O41*$P41/1000,IF(L41=2,L41*$O41*$P41/1000," "))</f>
        <v xml:space="preserve"> </v>
      </c>
      <c r="AK41" s="2" t="str">
        <f t="shared" ref="AK41" si="1085">IF(M41=1,M41*$O41*$P41/1000,IF(M41=2,M41*$O41*$P41/1000," "))</f>
        <v xml:space="preserve"> </v>
      </c>
      <c r="AL41" s="2" t="str">
        <f t="shared" ref="AL41" si="1086">IF(N41=1,N41*$O41*$Q41/1000,IF(N41=2,N41*$O41*$Q41/1000," "))</f>
        <v xml:space="preserve"> </v>
      </c>
      <c r="AM41" s="23">
        <f t="shared" ref="AM41" si="1087">SUM(AN41:BG41)*R41</f>
        <v>0</v>
      </c>
      <c r="AN41" s="8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11"/>
      <c r="BH41" s="1">
        <f t="shared" ref="BH41" si="1088">SUM(BI41:CB41)*R41</f>
        <v>0</v>
      </c>
      <c r="BI41" s="8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11"/>
      <c r="CC41" s="1">
        <f t="shared" ref="CC41" si="1089">SUM(CD41:CW41)*R41</f>
        <v>0</v>
      </c>
      <c r="CD41" s="8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11"/>
      <c r="CX41" s="10">
        <f t="shared" ref="CX41" si="1090">SUM(CY41:DR41)*R41</f>
        <v>0</v>
      </c>
      <c r="CY41" s="8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11"/>
      <c r="DS41" s="10">
        <f t="shared" ref="DS41" si="1091">SUM(DT41:EM41)*R41</f>
        <v>0</v>
      </c>
      <c r="DT41" s="8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11"/>
      <c r="EN41" s="10">
        <f t="shared" ref="EN41" si="1092">SUM(EO41:FH41)*R41</f>
        <v>0</v>
      </c>
      <c r="EO41" s="8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11"/>
      <c r="FI41" s="10">
        <f t="shared" ref="FI41" si="1093">SUM(FJ41:GC41)*R41</f>
        <v>0</v>
      </c>
      <c r="FJ41" s="8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11"/>
      <c r="GD41" s="10">
        <f t="shared" ref="GD41" si="1094">SUM(GE41:GX41)*R41</f>
        <v>0</v>
      </c>
      <c r="GE41" s="8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11"/>
      <c r="GY41" s="10">
        <f t="shared" ref="GY41" si="1095">SUM(GZ41:IZ41)*R41</f>
        <v>0</v>
      </c>
      <c r="GZ41" s="8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11"/>
    </row>
    <row r="42" spans="1:260" ht="14.25" customHeight="1" x14ac:dyDescent="0.3">
      <c r="A42" s="63"/>
      <c r="B42" s="61"/>
      <c r="C42" s="62"/>
      <c r="D42" s="62"/>
      <c r="E42" s="5"/>
      <c r="F42" s="5"/>
      <c r="G42" s="5"/>
      <c r="H42" s="5"/>
      <c r="I42" s="5"/>
      <c r="J42" s="5"/>
      <c r="K42" s="5"/>
      <c r="L42" s="5"/>
      <c r="M42" s="5"/>
      <c r="N42" s="5"/>
      <c r="O42" s="3">
        <f t="shared" ref="O42" si="1096">SUM(AN42:BG42,BI42:CB42,CD42:CW42,CY42:DR42,DT42:EM42,EO42:FH42,FJ42:GC42,GE42:GX42,GZ42:IZ42)</f>
        <v>0</v>
      </c>
      <c r="P42" s="7"/>
      <c r="Q42" s="7"/>
      <c r="R42" s="2">
        <f t="shared" ref="R42" si="1097">P42*Q42/1000000</f>
        <v>0</v>
      </c>
      <c r="S42" s="27">
        <f t="shared" ref="S42" si="1098">AM42</f>
        <v>0</v>
      </c>
      <c r="T42" s="27">
        <f t="shared" ref="T42" si="1099">BH42</f>
        <v>0</v>
      </c>
      <c r="U42" s="27">
        <f t="shared" ref="U42" si="1100">CC42</f>
        <v>0</v>
      </c>
      <c r="V42" s="27">
        <f t="shared" ref="V42" si="1101">CX42</f>
        <v>0</v>
      </c>
      <c r="W42" s="27">
        <f t="shared" ref="W42" si="1102">DS42</f>
        <v>0</v>
      </c>
      <c r="X42" s="27">
        <f t="shared" ref="X42" si="1103">EN42</f>
        <v>0</v>
      </c>
      <c r="Y42" s="27">
        <f t="shared" ref="Y42" si="1104">FI42</f>
        <v>0</v>
      </c>
      <c r="Z42" s="27">
        <f t="shared" ref="Z42" si="1105">GD42</f>
        <v>0</v>
      </c>
      <c r="AA42" s="27">
        <f t="shared" ref="AA42" si="1106">GY42</f>
        <v>0</v>
      </c>
      <c r="AB42" s="4">
        <f t="shared" ref="AB42" si="1107">P42*Q42*O42/1000000</f>
        <v>0</v>
      </c>
      <c r="AC42" s="2" t="str">
        <f t="shared" ref="AC42" si="1108">IF(E42=1,E42*$O42*$Q42/1000,IF(E42=2,E42*$O42*$Q42/1000," "))</f>
        <v xml:space="preserve"> </v>
      </c>
      <c r="AD42" s="2" t="str">
        <f t="shared" ref="AD42" si="1109">IF(F42=1,F42*$O42*$P42/1000,IF(F42=2,F42*$O42*$P42/1000," "))</f>
        <v xml:space="preserve"> </v>
      </c>
      <c r="AE42" s="2" t="str">
        <f t="shared" ref="AE42" si="1110">IF(G42=1,G42*$O42*$P42/1000,IF(G42=2,G42*$O42*$P42/1000," "))</f>
        <v xml:space="preserve"> </v>
      </c>
      <c r="AF42" s="2" t="str">
        <f t="shared" ref="AF42" si="1111">IF(H42=1,H42*$O42*$Q42/1000,IF(H42=2,H42*$O42*$Q42/1000," "))</f>
        <v xml:space="preserve"> </v>
      </c>
      <c r="AG42" s="2" t="str">
        <f t="shared" ref="AG42" si="1112">IF(I42=1,I42*$O42*$P42/1000,IF(I42=2,I42*$O42*$P42/1000," "))</f>
        <v xml:space="preserve"> </v>
      </c>
      <c r="AH42" s="2" t="str">
        <f t="shared" ref="AH42" si="1113">IF(J42=1,J42*$O42*$P42/1000,IF(J42=2,J42*$O42*$P42/1000," "))</f>
        <v xml:space="preserve"> </v>
      </c>
      <c r="AI42" s="2" t="str">
        <f t="shared" ref="AI42" si="1114">IF(K42=1,K42*$O42*$Q42/1000,IF(K42=2,K42*$O42*$Q42/1000," "))</f>
        <v xml:space="preserve"> </v>
      </c>
      <c r="AJ42" s="2" t="str">
        <f t="shared" ref="AJ42" si="1115">IF(L42=1,L42*$O42*$P42/1000,IF(L42=2,L42*$O42*$P42/1000," "))</f>
        <v xml:space="preserve"> </v>
      </c>
      <c r="AK42" s="2" t="str">
        <f t="shared" ref="AK42" si="1116">IF(M42=1,M42*$O42*$P42/1000,IF(M42=2,M42*$O42*$P42/1000," "))</f>
        <v xml:space="preserve"> </v>
      </c>
      <c r="AL42" s="2" t="str">
        <f t="shared" ref="AL42" si="1117">IF(N42=1,N42*$O42*$Q42/1000,IF(N42=2,N42*$O42*$Q42/1000," "))</f>
        <v xml:space="preserve"> </v>
      </c>
      <c r="AM42" s="23">
        <f t="shared" ref="AM42" si="1118">SUM(AN42:BG42)*R42</f>
        <v>0</v>
      </c>
      <c r="AN42" s="8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11"/>
      <c r="BH42" s="1">
        <f t="shared" ref="BH42" si="1119">SUM(BI42:CB42)*R42</f>
        <v>0</v>
      </c>
      <c r="BI42" s="8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11"/>
      <c r="CC42" s="1">
        <f t="shared" ref="CC42" si="1120">SUM(CD42:CW42)*R42</f>
        <v>0</v>
      </c>
      <c r="CD42" s="8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11"/>
      <c r="CX42" s="10">
        <f t="shared" ref="CX42" si="1121">SUM(CY42:DR42)*R42</f>
        <v>0</v>
      </c>
      <c r="CY42" s="8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11"/>
      <c r="DS42" s="10">
        <f t="shared" ref="DS42" si="1122">SUM(DT42:EM42)*R42</f>
        <v>0</v>
      </c>
      <c r="DT42" s="8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11"/>
      <c r="EN42" s="10">
        <f t="shared" ref="EN42" si="1123">SUM(EO42:FH42)*R42</f>
        <v>0</v>
      </c>
      <c r="EO42" s="8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11"/>
      <c r="FI42" s="10">
        <f t="shared" ref="FI42" si="1124">SUM(FJ42:GC42)*R42</f>
        <v>0</v>
      </c>
      <c r="FJ42" s="8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11"/>
      <c r="GD42" s="10">
        <f t="shared" ref="GD42" si="1125">SUM(GE42:GX42)*R42</f>
        <v>0</v>
      </c>
      <c r="GE42" s="8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11"/>
      <c r="GY42" s="10">
        <f t="shared" ref="GY42" si="1126">SUM(GZ42:IZ42)*R42</f>
        <v>0</v>
      </c>
      <c r="GZ42" s="8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11"/>
    </row>
    <row r="43" spans="1:260" ht="14.25" customHeight="1" x14ac:dyDescent="0.3">
      <c r="A43" s="63"/>
      <c r="B43" s="61"/>
      <c r="C43" s="62"/>
      <c r="D43" s="62"/>
      <c r="E43" s="5"/>
      <c r="F43" s="5"/>
      <c r="G43" s="5"/>
      <c r="H43" s="5"/>
      <c r="I43" s="5"/>
      <c r="J43" s="5"/>
      <c r="K43" s="5"/>
      <c r="L43" s="5"/>
      <c r="M43" s="5"/>
      <c r="N43" s="5"/>
      <c r="O43" s="3">
        <f t="shared" ref="O43" si="1127">SUM(AN43:BG43,BI43:CB43,CD43:CW43,CY43:DR43,DT43:EM43,EO43:FH43,FJ43:GC43,GE43:GX43,GZ43:IZ43)</f>
        <v>0</v>
      </c>
      <c r="P43" s="7"/>
      <c r="Q43" s="7"/>
      <c r="R43" s="2">
        <f t="shared" ref="R43" si="1128">P43*Q43/1000000</f>
        <v>0</v>
      </c>
      <c r="S43" s="27">
        <f t="shared" ref="S43" si="1129">AM43</f>
        <v>0</v>
      </c>
      <c r="T43" s="27">
        <f t="shared" ref="T43" si="1130">BH43</f>
        <v>0</v>
      </c>
      <c r="U43" s="27">
        <f t="shared" ref="U43" si="1131">CC43</f>
        <v>0</v>
      </c>
      <c r="V43" s="27">
        <f t="shared" ref="V43" si="1132">CX43</f>
        <v>0</v>
      </c>
      <c r="W43" s="27">
        <f t="shared" ref="W43" si="1133">DS43</f>
        <v>0</v>
      </c>
      <c r="X43" s="27">
        <f t="shared" ref="X43" si="1134">EN43</f>
        <v>0</v>
      </c>
      <c r="Y43" s="27">
        <f t="shared" ref="Y43" si="1135">FI43</f>
        <v>0</v>
      </c>
      <c r="Z43" s="27">
        <f t="shared" ref="Z43" si="1136">GD43</f>
        <v>0</v>
      </c>
      <c r="AA43" s="27">
        <f t="shared" ref="AA43" si="1137">GY43</f>
        <v>0</v>
      </c>
      <c r="AB43" s="4">
        <f t="shared" ref="AB43" si="1138">P43*Q43*O43/1000000</f>
        <v>0</v>
      </c>
      <c r="AC43" s="2" t="str">
        <f t="shared" ref="AC43" si="1139">IF(E43=1,E43*$O43*$Q43/1000,IF(E43=2,E43*$O43*$Q43/1000," "))</f>
        <v xml:space="preserve"> </v>
      </c>
      <c r="AD43" s="2" t="str">
        <f t="shared" ref="AD43" si="1140">IF(F43=1,F43*$O43*$P43/1000,IF(F43=2,F43*$O43*$P43/1000," "))</f>
        <v xml:space="preserve"> </v>
      </c>
      <c r="AE43" s="2" t="str">
        <f t="shared" ref="AE43" si="1141">IF(G43=1,G43*$O43*$P43/1000,IF(G43=2,G43*$O43*$P43/1000," "))</f>
        <v xml:space="preserve"> </v>
      </c>
      <c r="AF43" s="2" t="str">
        <f t="shared" ref="AF43" si="1142">IF(H43=1,H43*$O43*$Q43/1000,IF(H43=2,H43*$O43*$Q43/1000," "))</f>
        <v xml:space="preserve"> </v>
      </c>
      <c r="AG43" s="2" t="str">
        <f t="shared" ref="AG43" si="1143">IF(I43=1,I43*$O43*$P43/1000,IF(I43=2,I43*$O43*$P43/1000," "))</f>
        <v xml:space="preserve"> </v>
      </c>
      <c r="AH43" s="2" t="str">
        <f t="shared" ref="AH43" si="1144">IF(J43=1,J43*$O43*$P43/1000,IF(J43=2,J43*$O43*$P43/1000," "))</f>
        <v xml:space="preserve"> </v>
      </c>
      <c r="AI43" s="2" t="str">
        <f t="shared" ref="AI43" si="1145">IF(K43=1,K43*$O43*$Q43/1000,IF(K43=2,K43*$O43*$Q43/1000," "))</f>
        <v xml:space="preserve"> </v>
      </c>
      <c r="AJ43" s="2" t="str">
        <f t="shared" ref="AJ43" si="1146">IF(L43=1,L43*$O43*$P43/1000,IF(L43=2,L43*$O43*$P43/1000," "))</f>
        <v xml:space="preserve"> </v>
      </c>
      <c r="AK43" s="2" t="str">
        <f t="shared" ref="AK43" si="1147">IF(M43=1,M43*$O43*$P43/1000,IF(M43=2,M43*$O43*$P43/1000," "))</f>
        <v xml:space="preserve"> </v>
      </c>
      <c r="AL43" s="2" t="str">
        <f t="shared" ref="AL43" si="1148">IF(N43=1,N43*$O43*$Q43/1000,IF(N43=2,N43*$O43*$Q43/1000," "))</f>
        <v xml:space="preserve"> </v>
      </c>
      <c r="AM43" s="23">
        <f t="shared" ref="AM43" si="1149">SUM(AN43:BG43)*R43</f>
        <v>0</v>
      </c>
      <c r="AN43" s="8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1"/>
      <c r="BH43" s="1">
        <f t="shared" ref="BH43" si="1150">SUM(BI43:CB43)*R43</f>
        <v>0</v>
      </c>
      <c r="BI43" s="8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11"/>
      <c r="CC43" s="1">
        <f t="shared" ref="CC43" si="1151">SUM(CD43:CW43)*R43</f>
        <v>0</v>
      </c>
      <c r="CD43" s="8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11"/>
      <c r="CX43" s="10">
        <f t="shared" ref="CX43" si="1152">SUM(CY43:DR43)*R43</f>
        <v>0</v>
      </c>
      <c r="CY43" s="8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11"/>
      <c r="DS43" s="10">
        <f t="shared" ref="DS43" si="1153">SUM(DT43:EM43)*R43</f>
        <v>0</v>
      </c>
      <c r="DT43" s="8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11"/>
      <c r="EN43" s="10">
        <f t="shared" ref="EN43" si="1154">SUM(EO43:FH43)*R43</f>
        <v>0</v>
      </c>
      <c r="EO43" s="8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11"/>
      <c r="FI43" s="10">
        <f t="shared" ref="FI43" si="1155">SUM(FJ43:GC43)*R43</f>
        <v>0</v>
      </c>
      <c r="FJ43" s="8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11"/>
      <c r="GD43" s="10">
        <f t="shared" ref="GD43" si="1156">SUM(GE43:GX43)*R43</f>
        <v>0</v>
      </c>
      <c r="GE43" s="8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11"/>
      <c r="GY43" s="10">
        <f t="shared" ref="GY43" si="1157">SUM(GZ43:IZ43)*R43</f>
        <v>0</v>
      </c>
      <c r="GZ43" s="8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11"/>
    </row>
    <row r="44" spans="1:260" ht="14.25" customHeight="1" x14ac:dyDescent="0.3">
      <c r="A44" s="63"/>
      <c r="B44" s="61"/>
      <c r="C44" s="62"/>
      <c r="D44" s="62"/>
      <c r="E44" s="5"/>
      <c r="F44" s="5"/>
      <c r="G44" s="5"/>
      <c r="H44" s="5"/>
      <c r="I44" s="5"/>
      <c r="J44" s="5"/>
      <c r="K44" s="5"/>
      <c r="L44" s="5"/>
      <c r="M44" s="5"/>
      <c r="N44" s="5"/>
      <c r="O44" s="3">
        <f t="shared" ref="O44" si="1158">SUM(AN44:BG44,BI44:CB44,CD44:CW44,CY44:DR44,DT44:EM44,EO44:FH44,FJ44:GC44,GE44:GX44,GZ44:IZ44)</f>
        <v>0</v>
      </c>
      <c r="P44" s="7"/>
      <c r="Q44" s="7"/>
      <c r="R44" s="2">
        <f t="shared" ref="R44" si="1159">P44*Q44/1000000</f>
        <v>0</v>
      </c>
      <c r="S44" s="27">
        <f t="shared" ref="S44" si="1160">AM44</f>
        <v>0</v>
      </c>
      <c r="T44" s="27">
        <f t="shared" ref="T44" si="1161">BH44</f>
        <v>0</v>
      </c>
      <c r="U44" s="27">
        <f t="shared" ref="U44" si="1162">CC44</f>
        <v>0</v>
      </c>
      <c r="V44" s="27">
        <f t="shared" ref="V44" si="1163">CX44</f>
        <v>0</v>
      </c>
      <c r="W44" s="27">
        <f t="shared" ref="W44" si="1164">DS44</f>
        <v>0</v>
      </c>
      <c r="X44" s="27">
        <f t="shared" ref="X44" si="1165">EN44</f>
        <v>0</v>
      </c>
      <c r="Y44" s="27">
        <f t="shared" ref="Y44" si="1166">FI44</f>
        <v>0</v>
      </c>
      <c r="Z44" s="27">
        <f t="shared" ref="Z44" si="1167">GD44</f>
        <v>0</v>
      </c>
      <c r="AA44" s="27">
        <f t="shared" ref="AA44" si="1168">GY44</f>
        <v>0</v>
      </c>
      <c r="AB44" s="4">
        <f t="shared" ref="AB44" si="1169">P44*Q44*O44/1000000</f>
        <v>0</v>
      </c>
      <c r="AC44" s="2" t="str">
        <f t="shared" ref="AC44" si="1170">IF(E44=1,E44*$O44*$Q44/1000,IF(E44=2,E44*$O44*$Q44/1000," "))</f>
        <v xml:space="preserve"> </v>
      </c>
      <c r="AD44" s="2" t="str">
        <f t="shared" ref="AD44" si="1171">IF(F44=1,F44*$O44*$P44/1000,IF(F44=2,F44*$O44*$P44/1000," "))</f>
        <v xml:space="preserve"> </v>
      </c>
      <c r="AE44" s="2" t="str">
        <f t="shared" ref="AE44" si="1172">IF(G44=1,G44*$O44*$P44/1000,IF(G44=2,G44*$O44*$P44/1000," "))</f>
        <v xml:space="preserve"> </v>
      </c>
      <c r="AF44" s="2" t="str">
        <f t="shared" ref="AF44" si="1173">IF(H44=1,H44*$O44*$Q44/1000,IF(H44=2,H44*$O44*$Q44/1000," "))</f>
        <v xml:space="preserve"> </v>
      </c>
      <c r="AG44" s="2" t="str">
        <f t="shared" ref="AG44" si="1174">IF(I44=1,I44*$O44*$P44/1000,IF(I44=2,I44*$O44*$P44/1000," "))</f>
        <v xml:space="preserve"> </v>
      </c>
      <c r="AH44" s="2" t="str">
        <f t="shared" ref="AH44" si="1175">IF(J44=1,J44*$O44*$P44/1000,IF(J44=2,J44*$O44*$P44/1000," "))</f>
        <v xml:space="preserve"> </v>
      </c>
      <c r="AI44" s="2" t="str">
        <f t="shared" ref="AI44" si="1176">IF(K44=1,K44*$O44*$Q44/1000,IF(K44=2,K44*$O44*$Q44/1000," "))</f>
        <v xml:space="preserve"> </v>
      </c>
      <c r="AJ44" s="2" t="str">
        <f t="shared" ref="AJ44" si="1177">IF(L44=1,L44*$O44*$P44/1000,IF(L44=2,L44*$O44*$P44/1000," "))</f>
        <v xml:space="preserve"> </v>
      </c>
      <c r="AK44" s="2" t="str">
        <f t="shared" ref="AK44" si="1178">IF(M44=1,M44*$O44*$P44/1000,IF(M44=2,M44*$O44*$P44/1000," "))</f>
        <v xml:space="preserve"> </v>
      </c>
      <c r="AL44" s="2" t="str">
        <f t="shared" ref="AL44" si="1179">IF(N44=1,N44*$O44*$Q44/1000,IF(N44=2,N44*$O44*$Q44/1000," "))</f>
        <v xml:space="preserve"> </v>
      </c>
      <c r="AM44" s="23">
        <f t="shared" ref="AM44" si="1180">SUM(AN44:BG44)*R44</f>
        <v>0</v>
      </c>
      <c r="AN44" s="8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11"/>
      <c r="BH44" s="1">
        <f t="shared" ref="BH44" si="1181">SUM(BI44:CB44)*R44</f>
        <v>0</v>
      </c>
      <c r="BI44" s="8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11"/>
      <c r="CC44" s="1">
        <f t="shared" ref="CC44" si="1182">SUM(CD44:CW44)*R44</f>
        <v>0</v>
      </c>
      <c r="CD44" s="8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11"/>
      <c r="CX44" s="10">
        <f t="shared" ref="CX44" si="1183">SUM(CY44:DR44)*R44</f>
        <v>0</v>
      </c>
      <c r="CY44" s="8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11"/>
      <c r="DS44" s="10">
        <f t="shared" ref="DS44" si="1184">SUM(DT44:EM44)*R44</f>
        <v>0</v>
      </c>
      <c r="DT44" s="8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11"/>
      <c r="EN44" s="10">
        <f t="shared" ref="EN44" si="1185">SUM(EO44:FH44)*R44</f>
        <v>0</v>
      </c>
      <c r="EO44" s="8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11"/>
      <c r="FI44" s="10">
        <f t="shared" ref="FI44" si="1186">SUM(FJ44:GC44)*R44</f>
        <v>0</v>
      </c>
      <c r="FJ44" s="8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11"/>
      <c r="GD44" s="10">
        <f t="shared" ref="GD44" si="1187">SUM(GE44:GX44)*R44</f>
        <v>0</v>
      </c>
      <c r="GE44" s="8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11"/>
      <c r="GY44" s="10">
        <f t="shared" ref="GY44" si="1188">SUM(GZ44:IZ44)*R44</f>
        <v>0</v>
      </c>
      <c r="GZ44" s="8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11"/>
    </row>
    <row r="45" spans="1:260" ht="14.25" customHeight="1" x14ac:dyDescent="0.3">
      <c r="A45" s="63"/>
      <c r="B45" s="61"/>
      <c r="C45" s="62"/>
      <c r="D45" s="62"/>
      <c r="E45" s="5"/>
      <c r="F45" s="5"/>
      <c r="G45" s="5"/>
      <c r="H45" s="5"/>
      <c r="I45" s="5"/>
      <c r="J45" s="5"/>
      <c r="K45" s="5"/>
      <c r="L45" s="5"/>
      <c r="M45" s="5"/>
      <c r="N45" s="5"/>
      <c r="O45" s="3">
        <f t="shared" ref="O45" si="1189">SUM(AN45:BG45,BI45:CB45,CD45:CW45,CY45:DR45,DT45:EM45,EO45:FH45,FJ45:GC45,GE45:GX45,GZ45:IZ45)</f>
        <v>0</v>
      </c>
      <c r="P45" s="7"/>
      <c r="Q45" s="7"/>
      <c r="R45" s="2">
        <f t="shared" ref="R45" si="1190">P45*Q45/1000000</f>
        <v>0</v>
      </c>
      <c r="S45" s="27">
        <f t="shared" ref="S45" si="1191">AM45</f>
        <v>0</v>
      </c>
      <c r="T45" s="27">
        <f t="shared" ref="T45" si="1192">BH45</f>
        <v>0</v>
      </c>
      <c r="U45" s="27">
        <f t="shared" ref="U45" si="1193">CC45</f>
        <v>0</v>
      </c>
      <c r="V45" s="27">
        <f t="shared" ref="V45" si="1194">CX45</f>
        <v>0</v>
      </c>
      <c r="W45" s="27">
        <f t="shared" ref="W45" si="1195">DS45</f>
        <v>0</v>
      </c>
      <c r="X45" s="27">
        <f t="shared" ref="X45" si="1196">EN45</f>
        <v>0</v>
      </c>
      <c r="Y45" s="27">
        <f t="shared" ref="Y45" si="1197">FI45</f>
        <v>0</v>
      </c>
      <c r="Z45" s="27">
        <f t="shared" ref="Z45" si="1198">GD45</f>
        <v>0</v>
      </c>
      <c r="AA45" s="27">
        <f t="shared" ref="AA45" si="1199">GY45</f>
        <v>0</v>
      </c>
      <c r="AB45" s="4">
        <f t="shared" ref="AB45" si="1200">P45*Q45*O45/1000000</f>
        <v>0</v>
      </c>
      <c r="AC45" s="2" t="str">
        <f t="shared" ref="AC45" si="1201">IF(E45=1,E45*$O45*$Q45/1000,IF(E45=2,E45*$O45*$Q45/1000," "))</f>
        <v xml:space="preserve"> </v>
      </c>
      <c r="AD45" s="2" t="str">
        <f t="shared" ref="AD45" si="1202">IF(F45=1,F45*$O45*$P45/1000,IF(F45=2,F45*$O45*$P45/1000," "))</f>
        <v xml:space="preserve"> </v>
      </c>
      <c r="AE45" s="2" t="str">
        <f t="shared" ref="AE45" si="1203">IF(G45=1,G45*$O45*$P45/1000,IF(G45=2,G45*$O45*$P45/1000," "))</f>
        <v xml:space="preserve"> </v>
      </c>
      <c r="AF45" s="2" t="str">
        <f t="shared" ref="AF45" si="1204">IF(H45=1,H45*$O45*$Q45/1000,IF(H45=2,H45*$O45*$Q45/1000," "))</f>
        <v xml:space="preserve"> </v>
      </c>
      <c r="AG45" s="2" t="str">
        <f t="shared" ref="AG45" si="1205">IF(I45=1,I45*$O45*$P45/1000,IF(I45=2,I45*$O45*$P45/1000," "))</f>
        <v xml:space="preserve"> </v>
      </c>
      <c r="AH45" s="2" t="str">
        <f t="shared" ref="AH45" si="1206">IF(J45=1,J45*$O45*$P45/1000,IF(J45=2,J45*$O45*$P45/1000," "))</f>
        <v xml:space="preserve"> </v>
      </c>
      <c r="AI45" s="2" t="str">
        <f t="shared" ref="AI45" si="1207">IF(K45=1,K45*$O45*$Q45/1000,IF(K45=2,K45*$O45*$Q45/1000," "))</f>
        <v xml:space="preserve"> </v>
      </c>
      <c r="AJ45" s="2" t="str">
        <f t="shared" ref="AJ45" si="1208">IF(L45=1,L45*$O45*$P45/1000,IF(L45=2,L45*$O45*$P45/1000," "))</f>
        <v xml:space="preserve"> </v>
      </c>
      <c r="AK45" s="2" t="str">
        <f t="shared" ref="AK45" si="1209">IF(M45=1,M45*$O45*$P45/1000,IF(M45=2,M45*$O45*$P45/1000," "))</f>
        <v xml:space="preserve"> </v>
      </c>
      <c r="AL45" s="2" t="str">
        <f t="shared" ref="AL45" si="1210">IF(N45=1,N45*$O45*$Q45/1000,IF(N45=2,N45*$O45*$Q45/1000," "))</f>
        <v xml:space="preserve"> </v>
      </c>
      <c r="AM45" s="23">
        <f t="shared" ref="AM45" si="1211">SUM(AN45:BG45)*R45</f>
        <v>0</v>
      </c>
      <c r="AN45" s="8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11"/>
      <c r="BH45" s="1">
        <f t="shared" ref="BH45" si="1212">SUM(BI45:CB45)*R45</f>
        <v>0</v>
      </c>
      <c r="BI45" s="8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11"/>
      <c r="CC45" s="1">
        <f t="shared" ref="CC45" si="1213">SUM(CD45:CW45)*R45</f>
        <v>0</v>
      </c>
      <c r="CD45" s="8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11"/>
      <c r="CX45" s="10">
        <f t="shared" ref="CX45" si="1214">SUM(CY45:DR45)*R45</f>
        <v>0</v>
      </c>
      <c r="CY45" s="8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11"/>
      <c r="DS45" s="10">
        <f t="shared" ref="DS45" si="1215">SUM(DT45:EM45)*R45</f>
        <v>0</v>
      </c>
      <c r="DT45" s="8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11"/>
      <c r="EN45" s="10">
        <f t="shared" ref="EN45" si="1216">SUM(EO45:FH45)*R45</f>
        <v>0</v>
      </c>
      <c r="EO45" s="8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11"/>
      <c r="FI45" s="10">
        <f t="shared" ref="FI45" si="1217">SUM(FJ45:GC45)*R45</f>
        <v>0</v>
      </c>
      <c r="FJ45" s="8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11"/>
      <c r="GD45" s="10">
        <f t="shared" ref="GD45" si="1218">SUM(GE45:GX45)*R45</f>
        <v>0</v>
      </c>
      <c r="GE45" s="8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11"/>
      <c r="GY45" s="10">
        <f t="shared" ref="GY45" si="1219">SUM(GZ45:IZ45)*R45</f>
        <v>0</v>
      </c>
      <c r="GZ45" s="8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11"/>
    </row>
    <row r="46" spans="1:260" ht="14.25" customHeight="1" x14ac:dyDescent="0.3">
      <c r="A46" s="63"/>
      <c r="B46" s="61"/>
      <c r="C46" s="62"/>
      <c r="D46" s="62"/>
      <c r="E46" s="5"/>
      <c r="F46" s="5"/>
      <c r="G46" s="5"/>
      <c r="H46" s="5"/>
      <c r="I46" s="5"/>
      <c r="J46" s="5"/>
      <c r="K46" s="5"/>
      <c r="L46" s="5"/>
      <c r="M46" s="5"/>
      <c r="N46" s="5"/>
      <c r="O46" s="3">
        <f t="shared" ref="O46" si="1220">SUM(AN46:BG46,BI46:CB46,CD46:CW46,CY46:DR46,DT46:EM46,EO46:FH46,FJ46:GC46,GE46:GX46,GZ46:IZ46)</f>
        <v>0</v>
      </c>
      <c r="P46" s="7"/>
      <c r="Q46" s="7"/>
      <c r="R46" s="2">
        <f t="shared" ref="R46" si="1221">P46*Q46/1000000</f>
        <v>0</v>
      </c>
      <c r="S46" s="27">
        <f t="shared" ref="S46" si="1222">AM46</f>
        <v>0</v>
      </c>
      <c r="T46" s="27">
        <f t="shared" ref="T46" si="1223">BH46</f>
        <v>0</v>
      </c>
      <c r="U46" s="27">
        <f t="shared" ref="U46" si="1224">CC46</f>
        <v>0</v>
      </c>
      <c r="V46" s="27">
        <f t="shared" ref="V46" si="1225">CX46</f>
        <v>0</v>
      </c>
      <c r="W46" s="27">
        <f t="shared" ref="W46" si="1226">DS46</f>
        <v>0</v>
      </c>
      <c r="X46" s="27">
        <f t="shared" ref="X46" si="1227">EN46</f>
        <v>0</v>
      </c>
      <c r="Y46" s="27">
        <f t="shared" ref="Y46" si="1228">FI46</f>
        <v>0</v>
      </c>
      <c r="Z46" s="27">
        <f t="shared" ref="Z46" si="1229">GD46</f>
        <v>0</v>
      </c>
      <c r="AA46" s="27">
        <f t="shared" ref="AA46" si="1230">GY46</f>
        <v>0</v>
      </c>
      <c r="AB46" s="4">
        <f t="shared" ref="AB46" si="1231">P46*Q46*O46/1000000</f>
        <v>0</v>
      </c>
      <c r="AC46" s="2" t="str">
        <f t="shared" ref="AC46" si="1232">IF(E46=1,E46*$O46*$Q46/1000,IF(E46=2,E46*$O46*$Q46/1000," "))</f>
        <v xml:space="preserve"> </v>
      </c>
      <c r="AD46" s="2" t="str">
        <f t="shared" ref="AD46" si="1233">IF(F46=1,F46*$O46*$P46/1000,IF(F46=2,F46*$O46*$P46/1000," "))</f>
        <v xml:space="preserve"> </v>
      </c>
      <c r="AE46" s="2" t="str">
        <f t="shared" ref="AE46" si="1234">IF(G46=1,G46*$O46*$P46/1000,IF(G46=2,G46*$O46*$P46/1000," "))</f>
        <v xml:space="preserve"> </v>
      </c>
      <c r="AF46" s="2" t="str">
        <f t="shared" ref="AF46" si="1235">IF(H46=1,H46*$O46*$Q46/1000,IF(H46=2,H46*$O46*$Q46/1000," "))</f>
        <v xml:space="preserve"> </v>
      </c>
      <c r="AG46" s="2" t="str">
        <f t="shared" ref="AG46" si="1236">IF(I46=1,I46*$O46*$P46/1000,IF(I46=2,I46*$O46*$P46/1000," "))</f>
        <v xml:space="preserve"> </v>
      </c>
      <c r="AH46" s="2" t="str">
        <f t="shared" ref="AH46" si="1237">IF(J46=1,J46*$O46*$P46/1000,IF(J46=2,J46*$O46*$P46/1000," "))</f>
        <v xml:space="preserve"> </v>
      </c>
      <c r="AI46" s="2" t="str">
        <f t="shared" ref="AI46" si="1238">IF(K46=1,K46*$O46*$Q46/1000,IF(K46=2,K46*$O46*$Q46/1000," "))</f>
        <v xml:space="preserve"> </v>
      </c>
      <c r="AJ46" s="2" t="str">
        <f t="shared" ref="AJ46" si="1239">IF(L46=1,L46*$O46*$P46/1000,IF(L46=2,L46*$O46*$P46/1000," "))</f>
        <v xml:space="preserve"> </v>
      </c>
      <c r="AK46" s="2" t="str">
        <f t="shared" ref="AK46" si="1240">IF(M46=1,M46*$O46*$P46/1000,IF(M46=2,M46*$O46*$P46/1000," "))</f>
        <v xml:space="preserve"> </v>
      </c>
      <c r="AL46" s="2" t="str">
        <f t="shared" ref="AL46" si="1241">IF(N46=1,N46*$O46*$Q46/1000,IF(N46=2,N46*$O46*$Q46/1000," "))</f>
        <v xml:space="preserve"> </v>
      </c>
      <c r="AM46" s="23">
        <f t="shared" ref="AM46" si="1242">SUM(AN46:BG46)*R46</f>
        <v>0</v>
      </c>
      <c r="AN46" s="8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11"/>
      <c r="BH46" s="1">
        <f t="shared" ref="BH46" si="1243">SUM(BI46:CB46)*R46</f>
        <v>0</v>
      </c>
      <c r="BI46" s="8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11"/>
      <c r="CC46" s="1">
        <f t="shared" ref="CC46" si="1244">SUM(CD46:CW46)*R46</f>
        <v>0</v>
      </c>
      <c r="CD46" s="8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11"/>
      <c r="CX46" s="10">
        <f t="shared" ref="CX46" si="1245">SUM(CY46:DR46)*R46</f>
        <v>0</v>
      </c>
      <c r="CY46" s="8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11"/>
      <c r="DS46" s="10">
        <f t="shared" ref="DS46" si="1246">SUM(DT46:EM46)*R46</f>
        <v>0</v>
      </c>
      <c r="DT46" s="8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11"/>
      <c r="EN46" s="10">
        <f t="shared" ref="EN46" si="1247">SUM(EO46:FH46)*R46</f>
        <v>0</v>
      </c>
      <c r="EO46" s="8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11"/>
      <c r="FI46" s="10">
        <f t="shared" ref="FI46" si="1248">SUM(FJ46:GC46)*R46</f>
        <v>0</v>
      </c>
      <c r="FJ46" s="8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11"/>
      <c r="GD46" s="10">
        <f t="shared" ref="GD46" si="1249">SUM(GE46:GX46)*R46</f>
        <v>0</v>
      </c>
      <c r="GE46" s="8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11"/>
      <c r="GY46" s="10">
        <f t="shared" ref="GY46" si="1250">SUM(GZ46:IZ46)*R46</f>
        <v>0</v>
      </c>
      <c r="GZ46" s="8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11"/>
    </row>
    <row r="47" spans="1:260" ht="14.25" customHeight="1" x14ac:dyDescent="0.3">
      <c r="A47" s="63"/>
      <c r="B47" s="61"/>
      <c r="C47" s="62"/>
      <c r="D47" s="62"/>
      <c r="E47" s="5"/>
      <c r="F47" s="5"/>
      <c r="G47" s="5"/>
      <c r="H47" s="5"/>
      <c r="I47" s="5"/>
      <c r="J47" s="5"/>
      <c r="K47" s="5"/>
      <c r="L47" s="5"/>
      <c r="M47" s="5"/>
      <c r="N47" s="5"/>
      <c r="O47" s="3">
        <f t="shared" ref="O47" si="1251">SUM(AN47:BG47,BI47:CB47,CD47:CW47,CY47:DR47,DT47:EM47,EO47:FH47,FJ47:GC47,GE47:GX47,GZ47:IZ47)</f>
        <v>0</v>
      </c>
      <c r="P47" s="7"/>
      <c r="Q47" s="7"/>
      <c r="R47" s="2">
        <f t="shared" ref="R47" si="1252">P47*Q47/1000000</f>
        <v>0</v>
      </c>
      <c r="S47" s="27">
        <f t="shared" ref="S47" si="1253">AM47</f>
        <v>0</v>
      </c>
      <c r="T47" s="27">
        <f t="shared" ref="T47" si="1254">BH47</f>
        <v>0</v>
      </c>
      <c r="U47" s="27">
        <f t="shared" ref="U47" si="1255">CC47</f>
        <v>0</v>
      </c>
      <c r="V47" s="27">
        <f t="shared" ref="V47" si="1256">CX47</f>
        <v>0</v>
      </c>
      <c r="W47" s="27">
        <f t="shared" ref="W47" si="1257">DS47</f>
        <v>0</v>
      </c>
      <c r="X47" s="27">
        <f t="shared" ref="X47" si="1258">EN47</f>
        <v>0</v>
      </c>
      <c r="Y47" s="27">
        <f t="shared" ref="Y47" si="1259">FI47</f>
        <v>0</v>
      </c>
      <c r="Z47" s="27">
        <f t="shared" ref="Z47" si="1260">GD47</f>
        <v>0</v>
      </c>
      <c r="AA47" s="27">
        <f t="shared" ref="AA47" si="1261">GY47</f>
        <v>0</v>
      </c>
      <c r="AB47" s="4">
        <f t="shared" ref="AB47" si="1262">P47*Q47*O47/1000000</f>
        <v>0</v>
      </c>
      <c r="AC47" s="2" t="str">
        <f t="shared" ref="AC47" si="1263">IF(E47=1,E47*$O47*$Q47/1000,IF(E47=2,E47*$O47*$Q47/1000," "))</f>
        <v xml:space="preserve"> </v>
      </c>
      <c r="AD47" s="2" t="str">
        <f t="shared" ref="AD47" si="1264">IF(F47=1,F47*$O47*$P47/1000,IF(F47=2,F47*$O47*$P47/1000," "))</f>
        <v xml:space="preserve"> </v>
      </c>
      <c r="AE47" s="2" t="str">
        <f t="shared" ref="AE47" si="1265">IF(G47=1,G47*$O47*$P47/1000,IF(G47=2,G47*$O47*$P47/1000," "))</f>
        <v xml:space="preserve"> </v>
      </c>
      <c r="AF47" s="2" t="str">
        <f t="shared" ref="AF47" si="1266">IF(H47=1,H47*$O47*$Q47/1000,IF(H47=2,H47*$O47*$Q47/1000," "))</f>
        <v xml:space="preserve"> </v>
      </c>
      <c r="AG47" s="2" t="str">
        <f t="shared" ref="AG47" si="1267">IF(I47=1,I47*$O47*$P47/1000,IF(I47=2,I47*$O47*$P47/1000," "))</f>
        <v xml:space="preserve"> </v>
      </c>
      <c r="AH47" s="2" t="str">
        <f t="shared" ref="AH47" si="1268">IF(J47=1,J47*$O47*$P47/1000,IF(J47=2,J47*$O47*$P47/1000," "))</f>
        <v xml:space="preserve"> </v>
      </c>
      <c r="AI47" s="2" t="str">
        <f t="shared" ref="AI47" si="1269">IF(K47=1,K47*$O47*$Q47/1000,IF(K47=2,K47*$O47*$Q47/1000," "))</f>
        <v xml:space="preserve"> </v>
      </c>
      <c r="AJ47" s="2" t="str">
        <f t="shared" ref="AJ47" si="1270">IF(L47=1,L47*$O47*$P47/1000,IF(L47=2,L47*$O47*$P47/1000," "))</f>
        <v xml:space="preserve"> </v>
      </c>
      <c r="AK47" s="2" t="str">
        <f t="shared" ref="AK47" si="1271">IF(M47=1,M47*$O47*$P47/1000,IF(M47=2,M47*$O47*$P47/1000," "))</f>
        <v xml:space="preserve"> </v>
      </c>
      <c r="AL47" s="2" t="str">
        <f t="shared" ref="AL47" si="1272">IF(N47=1,N47*$O47*$Q47/1000,IF(N47=2,N47*$O47*$Q47/1000," "))</f>
        <v xml:space="preserve"> </v>
      </c>
      <c r="AM47" s="23">
        <f t="shared" ref="AM47" si="1273">SUM(AN47:BG47)*R47</f>
        <v>0</v>
      </c>
      <c r="AN47" s="8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11"/>
      <c r="BH47" s="1">
        <f t="shared" ref="BH47" si="1274">SUM(BI47:CB47)*R47</f>
        <v>0</v>
      </c>
      <c r="BI47" s="8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11"/>
      <c r="CC47" s="1">
        <f t="shared" ref="CC47" si="1275">SUM(CD47:CW47)*R47</f>
        <v>0</v>
      </c>
      <c r="CD47" s="8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11"/>
      <c r="CX47" s="10">
        <f t="shared" ref="CX47" si="1276">SUM(CY47:DR47)*R47</f>
        <v>0</v>
      </c>
      <c r="CY47" s="8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11"/>
      <c r="DS47" s="10">
        <f t="shared" ref="DS47" si="1277">SUM(DT47:EM47)*R47</f>
        <v>0</v>
      </c>
      <c r="DT47" s="8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11"/>
      <c r="EN47" s="10">
        <f t="shared" ref="EN47" si="1278">SUM(EO47:FH47)*R47</f>
        <v>0</v>
      </c>
      <c r="EO47" s="8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11"/>
      <c r="FI47" s="10">
        <f t="shared" ref="FI47" si="1279">SUM(FJ47:GC47)*R47</f>
        <v>0</v>
      </c>
      <c r="FJ47" s="8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11"/>
      <c r="GD47" s="10">
        <f t="shared" ref="GD47" si="1280">SUM(GE47:GX47)*R47</f>
        <v>0</v>
      </c>
      <c r="GE47" s="8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11"/>
      <c r="GY47" s="10">
        <f t="shared" ref="GY47" si="1281">SUM(GZ47:IZ47)*R47</f>
        <v>0</v>
      </c>
      <c r="GZ47" s="8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11"/>
    </row>
    <row r="48" spans="1:260" ht="14.25" customHeight="1" x14ac:dyDescent="0.3">
      <c r="A48" s="63"/>
      <c r="B48" s="61"/>
      <c r="C48" s="62"/>
      <c r="D48" s="62"/>
      <c r="E48" s="5"/>
      <c r="F48" s="5"/>
      <c r="G48" s="5"/>
      <c r="H48" s="5"/>
      <c r="I48" s="5"/>
      <c r="J48" s="5"/>
      <c r="K48" s="5"/>
      <c r="L48" s="5"/>
      <c r="M48" s="5"/>
      <c r="N48" s="5"/>
      <c r="O48" s="3">
        <f t="shared" ref="O48" si="1282">SUM(AN48:BG48,BI48:CB48,CD48:CW48,CY48:DR48,DT48:EM48,EO48:FH48,FJ48:GC48,GE48:GX48,GZ48:IZ48)</f>
        <v>0</v>
      </c>
      <c r="P48" s="7"/>
      <c r="Q48" s="7"/>
      <c r="R48" s="2">
        <f t="shared" ref="R48" si="1283">P48*Q48/1000000</f>
        <v>0</v>
      </c>
      <c r="S48" s="27">
        <f t="shared" ref="S48" si="1284">AM48</f>
        <v>0</v>
      </c>
      <c r="T48" s="27">
        <f t="shared" ref="T48" si="1285">BH48</f>
        <v>0</v>
      </c>
      <c r="U48" s="27">
        <f t="shared" ref="U48" si="1286">CC48</f>
        <v>0</v>
      </c>
      <c r="V48" s="27">
        <f t="shared" ref="V48" si="1287">CX48</f>
        <v>0</v>
      </c>
      <c r="W48" s="27">
        <f t="shared" ref="W48" si="1288">DS48</f>
        <v>0</v>
      </c>
      <c r="X48" s="27">
        <f t="shared" ref="X48" si="1289">EN48</f>
        <v>0</v>
      </c>
      <c r="Y48" s="27">
        <f t="shared" ref="Y48" si="1290">FI48</f>
        <v>0</v>
      </c>
      <c r="Z48" s="27">
        <f t="shared" ref="Z48" si="1291">GD48</f>
        <v>0</v>
      </c>
      <c r="AA48" s="27">
        <f t="shared" ref="AA48" si="1292">GY48</f>
        <v>0</v>
      </c>
      <c r="AB48" s="4">
        <f t="shared" ref="AB48" si="1293">P48*Q48*O48/1000000</f>
        <v>0</v>
      </c>
      <c r="AC48" s="2" t="str">
        <f t="shared" ref="AC48" si="1294">IF(E48=1,E48*$O48*$Q48/1000,IF(E48=2,E48*$O48*$Q48/1000," "))</f>
        <v xml:space="preserve"> </v>
      </c>
      <c r="AD48" s="2" t="str">
        <f t="shared" ref="AD48" si="1295">IF(F48=1,F48*$O48*$P48/1000,IF(F48=2,F48*$O48*$P48/1000," "))</f>
        <v xml:space="preserve"> </v>
      </c>
      <c r="AE48" s="2" t="str">
        <f t="shared" ref="AE48" si="1296">IF(G48=1,G48*$O48*$P48/1000,IF(G48=2,G48*$O48*$P48/1000," "))</f>
        <v xml:space="preserve"> </v>
      </c>
      <c r="AF48" s="2" t="str">
        <f t="shared" ref="AF48" si="1297">IF(H48=1,H48*$O48*$Q48/1000,IF(H48=2,H48*$O48*$Q48/1000," "))</f>
        <v xml:space="preserve"> </v>
      </c>
      <c r="AG48" s="2" t="str">
        <f t="shared" ref="AG48" si="1298">IF(I48=1,I48*$O48*$P48/1000,IF(I48=2,I48*$O48*$P48/1000," "))</f>
        <v xml:space="preserve"> </v>
      </c>
      <c r="AH48" s="2" t="str">
        <f t="shared" ref="AH48" si="1299">IF(J48=1,J48*$O48*$P48/1000,IF(J48=2,J48*$O48*$P48/1000," "))</f>
        <v xml:space="preserve"> </v>
      </c>
      <c r="AI48" s="2" t="str">
        <f t="shared" ref="AI48" si="1300">IF(K48=1,K48*$O48*$Q48/1000,IF(K48=2,K48*$O48*$Q48/1000," "))</f>
        <v xml:space="preserve"> </v>
      </c>
      <c r="AJ48" s="2" t="str">
        <f t="shared" ref="AJ48" si="1301">IF(L48=1,L48*$O48*$P48/1000,IF(L48=2,L48*$O48*$P48/1000," "))</f>
        <v xml:space="preserve"> </v>
      </c>
      <c r="AK48" s="2" t="str">
        <f t="shared" ref="AK48" si="1302">IF(M48=1,M48*$O48*$P48/1000,IF(M48=2,M48*$O48*$P48/1000," "))</f>
        <v xml:space="preserve"> </v>
      </c>
      <c r="AL48" s="2" t="str">
        <f t="shared" ref="AL48" si="1303">IF(N48=1,N48*$O48*$Q48/1000,IF(N48=2,N48*$O48*$Q48/1000," "))</f>
        <v xml:space="preserve"> </v>
      </c>
      <c r="AM48" s="23">
        <f t="shared" ref="AM48" si="1304">SUM(AN48:BG48)*R48</f>
        <v>0</v>
      </c>
      <c r="AN48" s="8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11"/>
      <c r="BH48" s="1">
        <f t="shared" ref="BH48" si="1305">SUM(BI48:CB48)*R48</f>
        <v>0</v>
      </c>
      <c r="BI48" s="8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11"/>
      <c r="CC48" s="1">
        <f t="shared" ref="CC48" si="1306">SUM(CD48:CW48)*R48</f>
        <v>0</v>
      </c>
      <c r="CD48" s="8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11"/>
      <c r="CX48" s="10">
        <f t="shared" ref="CX48" si="1307">SUM(CY48:DR48)*R48</f>
        <v>0</v>
      </c>
      <c r="CY48" s="8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11"/>
      <c r="DS48" s="10">
        <f t="shared" ref="DS48" si="1308">SUM(DT48:EM48)*R48</f>
        <v>0</v>
      </c>
      <c r="DT48" s="8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11"/>
      <c r="EN48" s="10">
        <f t="shared" ref="EN48" si="1309">SUM(EO48:FH48)*R48</f>
        <v>0</v>
      </c>
      <c r="EO48" s="8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11"/>
      <c r="FI48" s="10">
        <f t="shared" ref="FI48" si="1310">SUM(FJ48:GC48)*R48</f>
        <v>0</v>
      </c>
      <c r="FJ48" s="8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11"/>
      <c r="GD48" s="10">
        <f t="shared" ref="GD48" si="1311">SUM(GE48:GX48)*R48</f>
        <v>0</v>
      </c>
      <c r="GE48" s="8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11"/>
      <c r="GY48" s="10">
        <f t="shared" ref="GY48" si="1312">SUM(GZ48:IZ48)*R48</f>
        <v>0</v>
      </c>
      <c r="GZ48" s="8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11"/>
    </row>
    <row r="49" spans="1:260" ht="14.25" customHeight="1" x14ac:dyDescent="0.3">
      <c r="A49" s="63"/>
      <c r="B49" s="61"/>
      <c r="C49" s="62"/>
      <c r="D49" s="62"/>
      <c r="E49" s="5"/>
      <c r="F49" s="5"/>
      <c r="G49" s="5"/>
      <c r="H49" s="5"/>
      <c r="I49" s="5"/>
      <c r="J49" s="5"/>
      <c r="K49" s="5"/>
      <c r="L49" s="5"/>
      <c r="M49" s="5"/>
      <c r="N49" s="5"/>
      <c r="O49" s="3">
        <f t="shared" ref="O49" si="1313">SUM(AN49:BG49,BI49:CB49,CD49:CW49,CY49:DR49,DT49:EM49,EO49:FH49,FJ49:GC49,GE49:GX49,GZ49:IZ49)</f>
        <v>0</v>
      </c>
      <c r="P49" s="7"/>
      <c r="Q49" s="7"/>
      <c r="R49" s="2">
        <f t="shared" ref="R49" si="1314">P49*Q49/1000000</f>
        <v>0</v>
      </c>
      <c r="S49" s="27">
        <f t="shared" ref="S49" si="1315">AM49</f>
        <v>0</v>
      </c>
      <c r="T49" s="27">
        <f t="shared" ref="T49" si="1316">BH49</f>
        <v>0</v>
      </c>
      <c r="U49" s="27">
        <f t="shared" ref="U49" si="1317">CC49</f>
        <v>0</v>
      </c>
      <c r="V49" s="27">
        <f t="shared" ref="V49" si="1318">CX49</f>
        <v>0</v>
      </c>
      <c r="W49" s="27">
        <f t="shared" ref="W49" si="1319">DS49</f>
        <v>0</v>
      </c>
      <c r="X49" s="27">
        <f t="shared" ref="X49" si="1320">EN49</f>
        <v>0</v>
      </c>
      <c r="Y49" s="27">
        <f t="shared" ref="Y49" si="1321">FI49</f>
        <v>0</v>
      </c>
      <c r="Z49" s="27">
        <f t="shared" ref="Z49" si="1322">GD49</f>
        <v>0</v>
      </c>
      <c r="AA49" s="27">
        <f t="shared" ref="AA49" si="1323">GY49</f>
        <v>0</v>
      </c>
      <c r="AB49" s="4">
        <f t="shared" ref="AB49" si="1324">P49*Q49*O49/1000000</f>
        <v>0</v>
      </c>
      <c r="AC49" s="2" t="str">
        <f t="shared" ref="AC49" si="1325">IF(E49=1,E49*$O49*$Q49/1000,IF(E49=2,E49*$O49*$Q49/1000," "))</f>
        <v xml:space="preserve"> </v>
      </c>
      <c r="AD49" s="2" t="str">
        <f t="shared" ref="AD49" si="1326">IF(F49=1,F49*$O49*$P49/1000,IF(F49=2,F49*$O49*$P49/1000," "))</f>
        <v xml:space="preserve"> </v>
      </c>
      <c r="AE49" s="2" t="str">
        <f t="shared" ref="AE49" si="1327">IF(G49=1,G49*$O49*$P49/1000,IF(G49=2,G49*$O49*$P49/1000," "))</f>
        <v xml:space="preserve"> </v>
      </c>
      <c r="AF49" s="2" t="str">
        <f t="shared" ref="AF49" si="1328">IF(H49=1,H49*$O49*$Q49/1000,IF(H49=2,H49*$O49*$Q49/1000," "))</f>
        <v xml:space="preserve"> </v>
      </c>
      <c r="AG49" s="2" t="str">
        <f t="shared" ref="AG49" si="1329">IF(I49=1,I49*$O49*$P49/1000,IF(I49=2,I49*$O49*$P49/1000," "))</f>
        <v xml:space="preserve"> </v>
      </c>
      <c r="AH49" s="2" t="str">
        <f t="shared" ref="AH49" si="1330">IF(J49=1,J49*$O49*$P49/1000,IF(J49=2,J49*$O49*$P49/1000," "))</f>
        <v xml:space="preserve"> </v>
      </c>
      <c r="AI49" s="2" t="str">
        <f t="shared" ref="AI49" si="1331">IF(K49=1,K49*$O49*$Q49/1000,IF(K49=2,K49*$O49*$Q49/1000," "))</f>
        <v xml:space="preserve"> </v>
      </c>
      <c r="AJ49" s="2" t="str">
        <f t="shared" ref="AJ49" si="1332">IF(L49=1,L49*$O49*$P49/1000,IF(L49=2,L49*$O49*$P49/1000," "))</f>
        <v xml:space="preserve"> </v>
      </c>
      <c r="AK49" s="2" t="str">
        <f t="shared" ref="AK49" si="1333">IF(M49=1,M49*$O49*$P49/1000,IF(M49=2,M49*$O49*$P49/1000," "))</f>
        <v xml:space="preserve"> </v>
      </c>
      <c r="AL49" s="2" t="str">
        <f t="shared" ref="AL49" si="1334">IF(N49=1,N49*$O49*$Q49/1000,IF(N49=2,N49*$O49*$Q49/1000," "))</f>
        <v xml:space="preserve"> </v>
      </c>
      <c r="AM49" s="23">
        <f t="shared" ref="AM49" si="1335">SUM(AN49:BG49)*R49</f>
        <v>0</v>
      </c>
      <c r="AN49" s="8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11"/>
      <c r="BH49" s="1">
        <f t="shared" ref="BH49" si="1336">SUM(BI49:CB49)*R49</f>
        <v>0</v>
      </c>
      <c r="BI49" s="8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11"/>
      <c r="CC49" s="1">
        <f t="shared" ref="CC49" si="1337">SUM(CD49:CW49)*R49</f>
        <v>0</v>
      </c>
      <c r="CD49" s="8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11"/>
      <c r="CX49" s="10">
        <f t="shared" ref="CX49" si="1338">SUM(CY49:DR49)*R49</f>
        <v>0</v>
      </c>
      <c r="CY49" s="8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11"/>
      <c r="DS49" s="10">
        <f t="shared" ref="DS49" si="1339">SUM(DT49:EM49)*R49</f>
        <v>0</v>
      </c>
      <c r="DT49" s="8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11"/>
      <c r="EN49" s="10">
        <f t="shared" ref="EN49" si="1340">SUM(EO49:FH49)*R49</f>
        <v>0</v>
      </c>
      <c r="EO49" s="8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11"/>
      <c r="FI49" s="10">
        <f t="shared" ref="FI49" si="1341">SUM(FJ49:GC49)*R49</f>
        <v>0</v>
      </c>
      <c r="FJ49" s="8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11"/>
      <c r="GD49" s="10">
        <f t="shared" ref="GD49" si="1342">SUM(GE49:GX49)*R49</f>
        <v>0</v>
      </c>
      <c r="GE49" s="8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11"/>
      <c r="GY49" s="10">
        <f t="shared" ref="GY49" si="1343">SUM(GZ49:IZ49)*R49</f>
        <v>0</v>
      </c>
      <c r="GZ49" s="8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11"/>
    </row>
    <row r="50" spans="1:260" ht="14.25" customHeight="1" x14ac:dyDescent="0.3">
      <c r="A50" s="63"/>
      <c r="B50" s="61"/>
      <c r="C50" s="62"/>
      <c r="D50" s="62"/>
      <c r="E50" s="5"/>
      <c r="F50" s="5"/>
      <c r="G50" s="5"/>
      <c r="H50" s="5"/>
      <c r="I50" s="5"/>
      <c r="J50" s="5"/>
      <c r="K50" s="5"/>
      <c r="L50" s="5"/>
      <c r="M50" s="5"/>
      <c r="N50" s="5"/>
      <c r="O50" s="3">
        <f t="shared" ref="O50" si="1344">SUM(AN50:BG50,BI50:CB50,CD50:CW50,CY50:DR50,DT50:EM50,EO50:FH50,FJ50:GC50,GE50:GX50,GZ50:IZ50)</f>
        <v>0</v>
      </c>
      <c r="P50" s="7"/>
      <c r="Q50" s="7"/>
      <c r="R50" s="2">
        <f t="shared" ref="R50" si="1345">P50*Q50/1000000</f>
        <v>0</v>
      </c>
      <c r="S50" s="27">
        <f t="shared" ref="S50" si="1346">AM50</f>
        <v>0</v>
      </c>
      <c r="T50" s="27">
        <f t="shared" ref="T50" si="1347">BH50</f>
        <v>0</v>
      </c>
      <c r="U50" s="27">
        <f t="shared" ref="U50" si="1348">CC50</f>
        <v>0</v>
      </c>
      <c r="V50" s="27">
        <f t="shared" ref="V50" si="1349">CX50</f>
        <v>0</v>
      </c>
      <c r="W50" s="27">
        <f t="shared" ref="W50" si="1350">DS50</f>
        <v>0</v>
      </c>
      <c r="X50" s="27">
        <f t="shared" ref="X50" si="1351">EN50</f>
        <v>0</v>
      </c>
      <c r="Y50" s="27">
        <f t="shared" ref="Y50" si="1352">FI50</f>
        <v>0</v>
      </c>
      <c r="Z50" s="27">
        <f t="shared" ref="Z50" si="1353">GD50</f>
        <v>0</v>
      </c>
      <c r="AA50" s="27">
        <f t="shared" ref="AA50" si="1354">GY50</f>
        <v>0</v>
      </c>
      <c r="AB50" s="4">
        <f t="shared" ref="AB50" si="1355">P50*Q50*O50/1000000</f>
        <v>0</v>
      </c>
      <c r="AC50" s="2" t="str">
        <f t="shared" ref="AC50" si="1356">IF(E50=1,E50*$O50*$Q50/1000,IF(E50=2,E50*$O50*$Q50/1000," "))</f>
        <v xml:space="preserve"> </v>
      </c>
      <c r="AD50" s="2" t="str">
        <f t="shared" ref="AD50" si="1357">IF(F50=1,F50*$O50*$P50/1000,IF(F50=2,F50*$O50*$P50/1000," "))</f>
        <v xml:space="preserve"> </v>
      </c>
      <c r="AE50" s="2" t="str">
        <f t="shared" ref="AE50" si="1358">IF(G50=1,G50*$O50*$P50/1000,IF(G50=2,G50*$O50*$P50/1000," "))</f>
        <v xml:space="preserve"> </v>
      </c>
      <c r="AF50" s="2" t="str">
        <f t="shared" ref="AF50" si="1359">IF(H50=1,H50*$O50*$Q50/1000,IF(H50=2,H50*$O50*$Q50/1000," "))</f>
        <v xml:space="preserve"> </v>
      </c>
      <c r="AG50" s="2" t="str">
        <f t="shared" ref="AG50" si="1360">IF(I50=1,I50*$O50*$P50/1000,IF(I50=2,I50*$O50*$P50/1000," "))</f>
        <v xml:space="preserve"> </v>
      </c>
      <c r="AH50" s="2" t="str">
        <f t="shared" ref="AH50" si="1361">IF(J50=1,J50*$O50*$P50/1000,IF(J50=2,J50*$O50*$P50/1000," "))</f>
        <v xml:space="preserve"> </v>
      </c>
      <c r="AI50" s="2" t="str">
        <f t="shared" ref="AI50" si="1362">IF(K50=1,K50*$O50*$Q50/1000,IF(K50=2,K50*$O50*$Q50/1000," "))</f>
        <v xml:space="preserve"> </v>
      </c>
      <c r="AJ50" s="2" t="str">
        <f t="shared" ref="AJ50" si="1363">IF(L50=1,L50*$O50*$P50/1000,IF(L50=2,L50*$O50*$P50/1000," "))</f>
        <v xml:space="preserve"> </v>
      </c>
      <c r="AK50" s="2" t="str">
        <f t="shared" ref="AK50" si="1364">IF(M50=1,M50*$O50*$P50/1000,IF(M50=2,M50*$O50*$P50/1000," "))</f>
        <v xml:space="preserve"> </v>
      </c>
      <c r="AL50" s="2" t="str">
        <f t="shared" ref="AL50" si="1365">IF(N50=1,N50*$O50*$Q50/1000,IF(N50=2,N50*$O50*$Q50/1000," "))</f>
        <v xml:space="preserve"> </v>
      </c>
      <c r="AM50" s="23">
        <f t="shared" ref="AM50" si="1366">SUM(AN50:BG50)*R50</f>
        <v>0</v>
      </c>
      <c r="AN50" s="8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11"/>
      <c r="BH50" s="1">
        <f t="shared" ref="BH50" si="1367">SUM(BI50:CB50)*R50</f>
        <v>0</v>
      </c>
      <c r="BI50" s="8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11"/>
      <c r="CC50" s="1">
        <f t="shared" ref="CC50" si="1368">SUM(CD50:CW50)*R50</f>
        <v>0</v>
      </c>
      <c r="CD50" s="8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11"/>
      <c r="CX50" s="10">
        <f t="shared" ref="CX50" si="1369">SUM(CY50:DR50)*R50</f>
        <v>0</v>
      </c>
      <c r="CY50" s="8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11"/>
      <c r="DS50" s="10">
        <f t="shared" ref="DS50" si="1370">SUM(DT50:EM50)*R50</f>
        <v>0</v>
      </c>
      <c r="DT50" s="8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11"/>
      <c r="EN50" s="10">
        <f t="shared" ref="EN50" si="1371">SUM(EO50:FH50)*R50</f>
        <v>0</v>
      </c>
      <c r="EO50" s="8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11"/>
      <c r="FI50" s="10">
        <f t="shared" ref="FI50" si="1372">SUM(FJ50:GC50)*R50</f>
        <v>0</v>
      </c>
      <c r="FJ50" s="8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11"/>
      <c r="GD50" s="10">
        <f t="shared" ref="GD50" si="1373">SUM(GE50:GX50)*R50</f>
        <v>0</v>
      </c>
      <c r="GE50" s="8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11"/>
      <c r="GY50" s="10">
        <f t="shared" ref="GY50" si="1374">SUM(GZ50:IZ50)*R50</f>
        <v>0</v>
      </c>
      <c r="GZ50" s="8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11"/>
    </row>
    <row r="51" spans="1:260" ht="14.25" customHeight="1" x14ac:dyDescent="0.3">
      <c r="A51" s="63"/>
      <c r="B51" s="61"/>
      <c r="C51" s="62"/>
      <c r="D51" s="62"/>
      <c r="E51" s="5"/>
      <c r="F51" s="5"/>
      <c r="G51" s="5"/>
      <c r="H51" s="5"/>
      <c r="I51" s="5"/>
      <c r="J51" s="5"/>
      <c r="K51" s="5"/>
      <c r="L51" s="5"/>
      <c r="M51" s="5"/>
      <c r="N51" s="5"/>
      <c r="O51" s="3">
        <f t="shared" ref="O51" si="1375">SUM(AN51:BG51,BI51:CB51,CD51:CW51,CY51:DR51,DT51:EM51,EO51:FH51,FJ51:GC51,GE51:GX51,GZ51:IZ51)</f>
        <v>0</v>
      </c>
      <c r="P51" s="7"/>
      <c r="Q51" s="7"/>
      <c r="R51" s="2">
        <f t="shared" ref="R51" si="1376">P51*Q51/1000000</f>
        <v>0</v>
      </c>
      <c r="S51" s="27">
        <f t="shared" ref="S51" si="1377">AM51</f>
        <v>0</v>
      </c>
      <c r="T51" s="27">
        <f t="shared" ref="T51" si="1378">BH51</f>
        <v>0</v>
      </c>
      <c r="U51" s="27">
        <f t="shared" ref="U51" si="1379">CC51</f>
        <v>0</v>
      </c>
      <c r="V51" s="27">
        <f t="shared" ref="V51" si="1380">CX51</f>
        <v>0</v>
      </c>
      <c r="W51" s="27">
        <f t="shared" ref="W51" si="1381">DS51</f>
        <v>0</v>
      </c>
      <c r="X51" s="27">
        <f t="shared" ref="X51" si="1382">EN51</f>
        <v>0</v>
      </c>
      <c r="Y51" s="27">
        <f t="shared" ref="Y51" si="1383">FI51</f>
        <v>0</v>
      </c>
      <c r="Z51" s="27">
        <f t="shared" ref="Z51" si="1384">GD51</f>
        <v>0</v>
      </c>
      <c r="AA51" s="27">
        <f t="shared" ref="AA51" si="1385">GY51</f>
        <v>0</v>
      </c>
      <c r="AB51" s="4">
        <f t="shared" ref="AB51" si="1386">P51*Q51*O51/1000000</f>
        <v>0</v>
      </c>
      <c r="AC51" s="2" t="str">
        <f t="shared" ref="AC51" si="1387">IF(E51=1,E51*$O51*$Q51/1000,IF(E51=2,E51*$O51*$Q51/1000," "))</f>
        <v xml:space="preserve"> </v>
      </c>
      <c r="AD51" s="2" t="str">
        <f t="shared" ref="AD51" si="1388">IF(F51=1,F51*$O51*$P51/1000,IF(F51=2,F51*$O51*$P51/1000," "))</f>
        <v xml:space="preserve"> </v>
      </c>
      <c r="AE51" s="2" t="str">
        <f t="shared" ref="AE51" si="1389">IF(G51=1,G51*$O51*$P51/1000,IF(G51=2,G51*$O51*$P51/1000," "))</f>
        <v xml:space="preserve"> </v>
      </c>
      <c r="AF51" s="2" t="str">
        <f t="shared" ref="AF51" si="1390">IF(H51=1,H51*$O51*$Q51/1000,IF(H51=2,H51*$O51*$Q51/1000," "))</f>
        <v xml:space="preserve"> </v>
      </c>
      <c r="AG51" s="2" t="str">
        <f t="shared" ref="AG51" si="1391">IF(I51=1,I51*$O51*$P51/1000,IF(I51=2,I51*$O51*$P51/1000," "))</f>
        <v xml:space="preserve"> </v>
      </c>
      <c r="AH51" s="2" t="str">
        <f t="shared" ref="AH51" si="1392">IF(J51=1,J51*$O51*$P51/1000,IF(J51=2,J51*$O51*$P51/1000," "))</f>
        <v xml:space="preserve"> </v>
      </c>
      <c r="AI51" s="2" t="str">
        <f t="shared" ref="AI51" si="1393">IF(K51=1,K51*$O51*$Q51/1000,IF(K51=2,K51*$O51*$Q51/1000," "))</f>
        <v xml:space="preserve"> </v>
      </c>
      <c r="AJ51" s="2" t="str">
        <f t="shared" ref="AJ51" si="1394">IF(L51=1,L51*$O51*$P51/1000,IF(L51=2,L51*$O51*$P51/1000," "))</f>
        <v xml:space="preserve"> </v>
      </c>
      <c r="AK51" s="2" t="str">
        <f t="shared" ref="AK51" si="1395">IF(M51=1,M51*$O51*$P51/1000,IF(M51=2,M51*$O51*$P51/1000," "))</f>
        <v xml:space="preserve"> </v>
      </c>
      <c r="AL51" s="2" t="str">
        <f t="shared" ref="AL51" si="1396">IF(N51=1,N51*$O51*$Q51/1000,IF(N51=2,N51*$O51*$Q51/1000," "))</f>
        <v xml:space="preserve"> </v>
      </c>
      <c r="AM51" s="23">
        <f t="shared" ref="AM51" si="1397">SUM(AN51:BG51)*R51</f>
        <v>0</v>
      </c>
      <c r="AN51" s="8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11"/>
      <c r="BH51" s="1">
        <f t="shared" ref="BH51" si="1398">SUM(BI51:CB51)*R51</f>
        <v>0</v>
      </c>
      <c r="BI51" s="8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11"/>
      <c r="CC51" s="1">
        <f t="shared" ref="CC51" si="1399">SUM(CD51:CW51)*R51</f>
        <v>0</v>
      </c>
      <c r="CD51" s="8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11"/>
      <c r="CX51" s="10">
        <f t="shared" ref="CX51" si="1400">SUM(CY51:DR51)*R51</f>
        <v>0</v>
      </c>
      <c r="CY51" s="8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11"/>
      <c r="DS51" s="10">
        <f t="shared" ref="DS51" si="1401">SUM(DT51:EM51)*R51</f>
        <v>0</v>
      </c>
      <c r="DT51" s="8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11"/>
      <c r="EN51" s="10">
        <f t="shared" ref="EN51" si="1402">SUM(EO51:FH51)*R51</f>
        <v>0</v>
      </c>
      <c r="EO51" s="8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11"/>
      <c r="FI51" s="10">
        <f t="shared" ref="FI51" si="1403">SUM(FJ51:GC51)*R51</f>
        <v>0</v>
      </c>
      <c r="FJ51" s="8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11"/>
      <c r="GD51" s="10">
        <f t="shared" ref="GD51" si="1404">SUM(GE51:GX51)*R51</f>
        <v>0</v>
      </c>
      <c r="GE51" s="8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11"/>
      <c r="GY51" s="10">
        <f t="shared" ref="GY51" si="1405">SUM(GZ51:IZ51)*R51</f>
        <v>0</v>
      </c>
      <c r="GZ51" s="8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11"/>
    </row>
    <row r="52" spans="1:260" ht="14.25" customHeight="1" x14ac:dyDescent="0.3">
      <c r="A52" s="63"/>
      <c r="B52" s="61"/>
      <c r="C52" s="62"/>
      <c r="D52" s="62"/>
      <c r="E52" s="5"/>
      <c r="F52" s="5"/>
      <c r="G52" s="5"/>
      <c r="H52" s="5"/>
      <c r="I52" s="5"/>
      <c r="J52" s="5"/>
      <c r="K52" s="5"/>
      <c r="L52" s="5"/>
      <c r="M52" s="5"/>
      <c r="N52" s="5"/>
      <c r="O52" s="3">
        <f t="shared" ref="O52" si="1406">SUM(AN52:BG52,BI52:CB52,CD52:CW52,CY52:DR52,DT52:EM52,EO52:FH52,FJ52:GC52,GE52:GX52,GZ52:IZ52)</f>
        <v>0</v>
      </c>
      <c r="P52" s="7"/>
      <c r="Q52" s="7"/>
      <c r="R52" s="2">
        <f t="shared" ref="R52" si="1407">P52*Q52/1000000</f>
        <v>0</v>
      </c>
      <c r="S52" s="27">
        <f t="shared" ref="S52" si="1408">AM52</f>
        <v>0</v>
      </c>
      <c r="T52" s="27">
        <f t="shared" ref="T52" si="1409">BH52</f>
        <v>0</v>
      </c>
      <c r="U52" s="27">
        <f t="shared" ref="U52" si="1410">CC52</f>
        <v>0</v>
      </c>
      <c r="V52" s="27">
        <f t="shared" ref="V52" si="1411">CX52</f>
        <v>0</v>
      </c>
      <c r="W52" s="27">
        <f t="shared" ref="W52" si="1412">DS52</f>
        <v>0</v>
      </c>
      <c r="X52" s="27">
        <f t="shared" ref="X52" si="1413">EN52</f>
        <v>0</v>
      </c>
      <c r="Y52" s="27">
        <f t="shared" ref="Y52" si="1414">FI52</f>
        <v>0</v>
      </c>
      <c r="Z52" s="27">
        <f t="shared" ref="Z52" si="1415">GD52</f>
        <v>0</v>
      </c>
      <c r="AA52" s="27">
        <f t="shared" ref="AA52" si="1416">GY52</f>
        <v>0</v>
      </c>
      <c r="AB52" s="4">
        <f t="shared" ref="AB52" si="1417">P52*Q52*O52/1000000</f>
        <v>0</v>
      </c>
      <c r="AC52" s="2" t="str">
        <f t="shared" ref="AC52" si="1418">IF(E52=1,E52*$O52*$Q52/1000,IF(E52=2,E52*$O52*$Q52/1000," "))</f>
        <v xml:space="preserve"> </v>
      </c>
      <c r="AD52" s="2" t="str">
        <f t="shared" ref="AD52" si="1419">IF(F52=1,F52*$O52*$P52/1000,IF(F52=2,F52*$O52*$P52/1000," "))</f>
        <v xml:space="preserve"> </v>
      </c>
      <c r="AE52" s="2" t="str">
        <f t="shared" ref="AE52" si="1420">IF(G52=1,G52*$O52*$P52/1000,IF(G52=2,G52*$O52*$P52/1000," "))</f>
        <v xml:space="preserve"> </v>
      </c>
      <c r="AF52" s="2" t="str">
        <f t="shared" ref="AF52" si="1421">IF(H52=1,H52*$O52*$Q52/1000,IF(H52=2,H52*$O52*$Q52/1000," "))</f>
        <v xml:space="preserve"> </v>
      </c>
      <c r="AG52" s="2" t="str">
        <f t="shared" ref="AG52" si="1422">IF(I52=1,I52*$O52*$P52/1000,IF(I52=2,I52*$O52*$P52/1000," "))</f>
        <v xml:space="preserve"> </v>
      </c>
      <c r="AH52" s="2" t="str">
        <f t="shared" ref="AH52" si="1423">IF(J52=1,J52*$O52*$P52/1000,IF(J52=2,J52*$O52*$P52/1000," "))</f>
        <v xml:space="preserve"> </v>
      </c>
      <c r="AI52" s="2" t="str">
        <f t="shared" ref="AI52" si="1424">IF(K52=1,K52*$O52*$Q52/1000,IF(K52=2,K52*$O52*$Q52/1000," "))</f>
        <v xml:space="preserve"> </v>
      </c>
      <c r="AJ52" s="2" t="str">
        <f t="shared" ref="AJ52" si="1425">IF(L52=1,L52*$O52*$P52/1000,IF(L52=2,L52*$O52*$P52/1000," "))</f>
        <v xml:space="preserve"> </v>
      </c>
      <c r="AK52" s="2" t="str">
        <f t="shared" ref="AK52" si="1426">IF(M52=1,M52*$O52*$P52/1000,IF(M52=2,M52*$O52*$P52/1000," "))</f>
        <v xml:space="preserve"> </v>
      </c>
      <c r="AL52" s="2" t="str">
        <f t="shared" ref="AL52" si="1427">IF(N52=1,N52*$O52*$Q52/1000,IF(N52=2,N52*$O52*$Q52/1000," "))</f>
        <v xml:space="preserve"> </v>
      </c>
      <c r="AM52" s="23">
        <f t="shared" ref="AM52" si="1428">SUM(AN52:BG52)*R52</f>
        <v>0</v>
      </c>
      <c r="AN52" s="8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11"/>
      <c r="BH52" s="1">
        <f t="shared" ref="BH52" si="1429">SUM(BI52:CB52)*R52</f>
        <v>0</v>
      </c>
      <c r="BI52" s="8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11"/>
      <c r="CC52" s="1">
        <f t="shared" ref="CC52" si="1430">SUM(CD52:CW52)*R52</f>
        <v>0</v>
      </c>
      <c r="CD52" s="8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11"/>
      <c r="CX52" s="10">
        <f t="shared" ref="CX52" si="1431">SUM(CY52:DR52)*R52</f>
        <v>0</v>
      </c>
      <c r="CY52" s="8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11"/>
      <c r="DS52" s="10">
        <f t="shared" ref="DS52" si="1432">SUM(DT52:EM52)*R52</f>
        <v>0</v>
      </c>
      <c r="DT52" s="8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11"/>
      <c r="EN52" s="10">
        <f t="shared" ref="EN52" si="1433">SUM(EO52:FH52)*R52</f>
        <v>0</v>
      </c>
      <c r="EO52" s="8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11"/>
      <c r="FI52" s="10">
        <f t="shared" ref="FI52" si="1434">SUM(FJ52:GC52)*R52</f>
        <v>0</v>
      </c>
      <c r="FJ52" s="8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11"/>
      <c r="GD52" s="10">
        <f t="shared" ref="GD52" si="1435">SUM(GE52:GX52)*R52</f>
        <v>0</v>
      </c>
      <c r="GE52" s="8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11"/>
      <c r="GY52" s="10">
        <f t="shared" ref="GY52" si="1436">SUM(GZ52:IZ52)*R52</f>
        <v>0</v>
      </c>
      <c r="GZ52" s="8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11"/>
    </row>
    <row r="53" spans="1:260" ht="14.25" customHeight="1" x14ac:dyDescent="0.3">
      <c r="A53" s="63"/>
      <c r="B53" s="61"/>
      <c r="C53" s="62"/>
      <c r="D53" s="62"/>
      <c r="E53" s="5"/>
      <c r="F53" s="5"/>
      <c r="G53" s="5"/>
      <c r="H53" s="5"/>
      <c r="I53" s="5"/>
      <c r="J53" s="5"/>
      <c r="K53" s="5"/>
      <c r="L53" s="5"/>
      <c r="M53" s="5"/>
      <c r="N53" s="5"/>
      <c r="O53" s="3">
        <f t="shared" ref="O53" si="1437">SUM(AN53:BG53,BI53:CB53,CD53:CW53,CY53:DR53,DT53:EM53,EO53:FH53,FJ53:GC53,GE53:GX53,GZ53:IZ53)</f>
        <v>0</v>
      </c>
      <c r="P53" s="7"/>
      <c r="Q53" s="7"/>
      <c r="R53" s="2">
        <f t="shared" ref="R53" si="1438">P53*Q53/1000000</f>
        <v>0</v>
      </c>
      <c r="S53" s="27">
        <f t="shared" ref="S53" si="1439">AM53</f>
        <v>0</v>
      </c>
      <c r="T53" s="27">
        <f t="shared" ref="T53" si="1440">BH53</f>
        <v>0</v>
      </c>
      <c r="U53" s="27">
        <f t="shared" ref="U53" si="1441">CC53</f>
        <v>0</v>
      </c>
      <c r="V53" s="27">
        <f t="shared" ref="V53" si="1442">CX53</f>
        <v>0</v>
      </c>
      <c r="W53" s="27">
        <f t="shared" ref="W53" si="1443">DS53</f>
        <v>0</v>
      </c>
      <c r="X53" s="27">
        <f t="shared" ref="X53" si="1444">EN53</f>
        <v>0</v>
      </c>
      <c r="Y53" s="27">
        <f t="shared" ref="Y53" si="1445">FI53</f>
        <v>0</v>
      </c>
      <c r="Z53" s="27">
        <f t="shared" ref="Z53" si="1446">GD53</f>
        <v>0</v>
      </c>
      <c r="AA53" s="27">
        <f t="shared" ref="AA53" si="1447">GY53</f>
        <v>0</v>
      </c>
      <c r="AB53" s="4">
        <f t="shared" ref="AB53" si="1448">P53*Q53*O53/1000000</f>
        <v>0</v>
      </c>
      <c r="AC53" s="2" t="str">
        <f t="shared" ref="AC53" si="1449">IF(E53=1,E53*$O53*$Q53/1000,IF(E53=2,E53*$O53*$Q53/1000," "))</f>
        <v xml:space="preserve"> </v>
      </c>
      <c r="AD53" s="2" t="str">
        <f t="shared" ref="AD53" si="1450">IF(F53=1,F53*$O53*$P53/1000,IF(F53=2,F53*$O53*$P53/1000," "))</f>
        <v xml:space="preserve"> </v>
      </c>
      <c r="AE53" s="2" t="str">
        <f t="shared" ref="AE53" si="1451">IF(G53=1,G53*$O53*$P53/1000,IF(G53=2,G53*$O53*$P53/1000," "))</f>
        <v xml:space="preserve"> </v>
      </c>
      <c r="AF53" s="2" t="str">
        <f t="shared" ref="AF53" si="1452">IF(H53=1,H53*$O53*$Q53/1000,IF(H53=2,H53*$O53*$Q53/1000," "))</f>
        <v xml:space="preserve"> </v>
      </c>
      <c r="AG53" s="2" t="str">
        <f t="shared" ref="AG53" si="1453">IF(I53=1,I53*$O53*$P53/1000,IF(I53=2,I53*$O53*$P53/1000," "))</f>
        <v xml:space="preserve"> </v>
      </c>
      <c r="AH53" s="2" t="str">
        <f t="shared" ref="AH53" si="1454">IF(J53=1,J53*$O53*$P53/1000,IF(J53=2,J53*$O53*$P53/1000," "))</f>
        <v xml:space="preserve"> </v>
      </c>
      <c r="AI53" s="2" t="str">
        <f t="shared" ref="AI53" si="1455">IF(K53=1,K53*$O53*$Q53/1000,IF(K53=2,K53*$O53*$Q53/1000," "))</f>
        <v xml:space="preserve"> </v>
      </c>
      <c r="AJ53" s="2" t="str">
        <f t="shared" ref="AJ53" si="1456">IF(L53=1,L53*$O53*$P53/1000,IF(L53=2,L53*$O53*$P53/1000," "))</f>
        <v xml:space="preserve"> </v>
      </c>
      <c r="AK53" s="2" t="str">
        <f t="shared" ref="AK53" si="1457">IF(M53=1,M53*$O53*$P53/1000,IF(M53=2,M53*$O53*$P53/1000," "))</f>
        <v xml:space="preserve"> </v>
      </c>
      <c r="AL53" s="2" t="str">
        <f t="shared" ref="AL53" si="1458">IF(N53=1,N53*$O53*$Q53/1000,IF(N53=2,N53*$O53*$Q53/1000," "))</f>
        <v xml:space="preserve"> </v>
      </c>
      <c r="AM53" s="23">
        <f t="shared" ref="AM53" si="1459">SUM(AN53:BG53)*R53</f>
        <v>0</v>
      </c>
      <c r="AN53" s="8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11"/>
      <c r="BH53" s="1">
        <f t="shared" ref="BH53" si="1460">SUM(BI53:CB53)*R53</f>
        <v>0</v>
      </c>
      <c r="BI53" s="8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11"/>
      <c r="CC53" s="1">
        <f t="shared" ref="CC53" si="1461">SUM(CD53:CW53)*R53</f>
        <v>0</v>
      </c>
      <c r="CD53" s="8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11"/>
      <c r="CX53" s="10">
        <f t="shared" ref="CX53" si="1462">SUM(CY53:DR53)*R53</f>
        <v>0</v>
      </c>
      <c r="CY53" s="8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11"/>
      <c r="DS53" s="10">
        <f t="shared" ref="DS53" si="1463">SUM(DT53:EM53)*R53</f>
        <v>0</v>
      </c>
      <c r="DT53" s="8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11"/>
      <c r="EN53" s="10">
        <f t="shared" ref="EN53" si="1464">SUM(EO53:FH53)*R53</f>
        <v>0</v>
      </c>
      <c r="EO53" s="8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11"/>
      <c r="FI53" s="10">
        <f t="shared" ref="FI53" si="1465">SUM(FJ53:GC53)*R53</f>
        <v>0</v>
      </c>
      <c r="FJ53" s="8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11"/>
      <c r="GD53" s="10">
        <f t="shared" ref="GD53" si="1466">SUM(GE53:GX53)*R53</f>
        <v>0</v>
      </c>
      <c r="GE53" s="8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11"/>
      <c r="GY53" s="10">
        <f t="shared" ref="GY53" si="1467">SUM(GZ53:IZ53)*R53</f>
        <v>0</v>
      </c>
      <c r="GZ53" s="8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11"/>
    </row>
    <row r="54" spans="1:260" ht="14.25" customHeight="1" x14ac:dyDescent="0.3">
      <c r="A54" s="63"/>
      <c r="B54" s="61"/>
      <c r="C54" s="62"/>
      <c r="D54" s="62"/>
      <c r="E54" s="5"/>
      <c r="F54" s="5"/>
      <c r="G54" s="5"/>
      <c r="H54" s="5"/>
      <c r="I54" s="5"/>
      <c r="J54" s="5"/>
      <c r="K54" s="5"/>
      <c r="L54" s="5"/>
      <c r="M54" s="5"/>
      <c r="N54" s="5"/>
      <c r="O54" s="3">
        <f t="shared" ref="O54" si="1468">SUM(AN54:BG54,BI54:CB54,CD54:CW54,CY54:DR54,DT54:EM54,EO54:FH54,FJ54:GC54,GE54:GX54,GZ54:IZ54)</f>
        <v>0</v>
      </c>
      <c r="P54" s="7"/>
      <c r="Q54" s="7"/>
      <c r="R54" s="2">
        <f t="shared" ref="R54" si="1469">P54*Q54/1000000</f>
        <v>0</v>
      </c>
      <c r="S54" s="27">
        <f t="shared" ref="S54" si="1470">AM54</f>
        <v>0</v>
      </c>
      <c r="T54" s="27">
        <f t="shared" ref="T54" si="1471">BH54</f>
        <v>0</v>
      </c>
      <c r="U54" s="27">
        <f t="shared" ref="U54" si="1472">CC54</f>
        <v>0</v>
      </c>
      <c r="V54" s="27">
        <f t="shared" ref="V54" si="1473">CX54</f>
        <v>0</v>
      </c>
      <c r="W54" s="27">
        <f t="shared" ref="W54" si="1474">DS54</f>
        <v>0</v>
      </c>
      <c r="X54" s="27">
        <f t="shared" ref="X54" si="1475">EN54</f>
        <v>0</v>
      </c>
      <c r="Y54" s="27">
        <f t="shared" ref="Y54" si="1476">FI54</f>
        <v>0</v>
      </c>
      <c r="Z54" s="27">
        <f t="shared" ref="Z54" si="1477">GD54</f>
        <v>0</v>
      </c>
      <c r="AA54" s="27">
        <f t="shared" ref="AA54" si="1478">GY54</f>
        <v>0</v>
      </c>
      <c r="AB54" s="4">
        <f t="shared" ref="AB54" si="1479">P54*Q54*O54/1000000</f>
        <v>0</v>
      </c>
      <c r="AC54" s="2" t="str">
        <f t="shared" ref="AC54" si="1480">IF(E54=1,E54*$O54*$Q54/1000,IF(E54=2,E54*$O54*$Q54/1000," "))</f>
        <v xml:space="preserve"> </v>
      </c>
      <c r="AD54" s="2" t="str">
        <f t="shared" ref="AD54" si="1481">IF(F54=1,F54*$O54*$P54/1000,IF(F54=2,F54*$O54*$P54/1000," "))</f>
        <v xml:space="preserve"> </v>
      </c>
      <c r="AE54" s="2" t="str">
        <f t="shared" ref="AE54" si="1482">IF(G54=1,G54*$O54*$P54/1000,IF(G54=2,G54*$O54*$P54/1000," "))</f>
        <v xml:space="preserve"> </v>
      </c>
      <c r="AF54" s="2" t="str">
        <f t="shared" ref="AF54" si="1483">IF(H54=1,H54*$O54*$Q54/1000,IF(H54=2,H54*$O54*$Q54/1000," "))</f>
        <v xml:space="preserve"> </v>
      </c>
      <c r="AG54" s="2" t="str">
        <f t="shared" ref="AG54" si="1484">IF(I54=1,I54*$O54*$P54/1000,IF(I54=2,I54*$O54*$P54/1000," "))</f>
        <v xml:space="preserve"> </v>
      </c>
      <c r="AH54" s="2" t="str">
        <f t="shared" ref="AH54" si="1485">IF(J54=1,J54*$O54*$P54/1000,IF(J54=2,J54*$O54*$P54/1000," "))</f>
        <v xml:space="preserve"> </v>
      </c>
      <c r="AI54" s="2" t="str">
        <f t="shared" ref="AI54" si="1486">IF(K54=1,K54*$O54*$Q54/1000,IF(K54=2,K54*$O54*$Q54/1000," "))</f>
        <v xml:space="preserve"> </v>
      </c>
      <c r="AJ54" s="2" t="str">
        <f t="shared" ref="AJ54" si="1487">IF(L54=1,L54*$O54*$P54/1000,IF(L54=2,L54*$O54*$P54/1000," "))</f>
        <v xml:space="preserve"> </v>
      </c>
      <c r="AK54" s="2" t="str">
        <f t="shared" ref="AK54" si="1488">IF(M54=1,M54*$O54*$P54/1000,IF(M54=2,M54*$O54*$P54/1000," "))</f>
        <v xml:space="preserve"> </v>
      </c>
      <c r="AL54" s="2" t="str">
        <f t="shared" ref="AL54" si="1489">IF(N54=1,N54*$O54*$Q54/1000,IF(N54=2,N54*$O54*$Q54/1000," "))</f>
        <v xml:space="preserve"> </v>
      </c>
      <c r="AM54" s="23">
        <f t="shared" ref="AM54" si="1490">SUM(AN54:BG54)*R54</f>
        <v>0</v>
      </c>
      <c r="AN54" s="8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11"/>
      <c r="BH54" s="1">
        <f t="shared" ref="BH54" si="1491">SUM(BI54:CB54)*R54</f>
        <v>0</v>
      </c>
      <c r="BI54" s="8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11"/>
      <c r="CC54" s="1">
        <f t="shared" ref="CC54" si="1492">SUM(CD54:CW54)*R54</f>
        <v>0</v>
      </c>
      <c r="CD54" s="8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11"/>
      <c r="CX54" s="10">
        <f t="shared" ref="CX54" si="1493">SUM(CY54:DR54)*R54</f>
        <v>0</v>
      </c>
      <c r="CY54" s="8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11"/>
      <c r="DS54" s="10">
        <f t="shared" ref="DS54" si="1494">SUM(DT54:EM54)*R54</f>
        <v>0</v>
      </c>
      <c r="DT54" s="8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11"/>
      <c r="EN54" s="10">
        <f t="shared" ref="EN54" si="1495">SUM(EO54:FH54)*R54</f>
        <v>0</v>
      </c>
      <c r="EO54" s="8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11"/>
      <c r="FI54" s="10">
        <f t="shared" ref="FI54" si="1496">SUM(FJ54:GC54)*R54</f>
        <v>0</v>
      </c>
      <c r="FJ54" s="8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11"/>
      <c r="GD54" s="10">
        <f t="shared" ref="GD54" si="1497">SUM(GE54:GX54)*R54</f>
        <v>0</v>
      </c>
      <c r="GE54" s="8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11"/>
      <c r="GY54" s="10">
        <f t="shared" ref="GY54" si="1498">SUM(GZ54:IZ54)*R54</f>
        <v>0</v>
      </c>
      <c r="GZ54" s="8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11"/>
    </row>
    <row r="55" spans="1:260" ht="14.25" customHeight="1" x14ac:dyDescent="0.3">
      <c r="A55" s="63"/>
      <c r="B55" s="61"/>
      <c r="C55" s="62"/>
      <c r="D55" s="62"/>
      <c r="E55" s="5"/>
      <c r="F55" s="5"/>
      <c r="G55" s="5"/>
      <c r="H55" s="5"/>
      <c r="I55" s="5"/>
      <c r="J55" s="5"/>
      <c r="K55" s="5"/>
      <c r="L55" s="5"/>
      <c r="M55" s="5"/>
      <c r="N55" s="5"/>
      <c r="O55" s="3">
        <f t="shared" ref="O55" si="1499">SUM(AN55:BG55,BI55:CB55,CD55:CW55,CY55:DR55,DT55:EM55,EO55:FH55,FJ55:GC55,GE55:GX55,GZ55:IZ55)</f>
        <v>0</v>
      </c>
      <c r="P55" s="7"/>
      <c r="Q55" s="7"/>
      <c r="R55" s="2">
        <f t="shared" ref="R55" si="1500">P55*Q55/1000000</f>
        <v>0</v>
      </c>
      <c r="S55" s="27">
        <f t="shared" ref="S55" si="1501">AM55</f>
        <v>0</v>
      </c>
      <c r="T55" s="27">
        <f t="shared" ref="T55" si="1502">BH55</f>
        <v>0</v>
      </c>
      <c r="U55" s="27">
        <f t="shared" ref="U55" si="1503">CC55</f>
        <v>0</v>
      </c>
      <c r="V55" s="27">
        <f t="shared" ref="V55" si="1504">CX55</f>
        <v>0</v>
      </c>
      <c r="W55" s="27">
        <f t="shared" ref="W55" si="1505">DS55</f>
        <v>0</v>
      </c>
      <c r="X55" s="27">
        <f t="shared" ref="X55" si="1506">EN55</f>
        <v>0</v>
      </c>
      <c r="Y55" s="27">
        <f t="shared" ref="Y55" si="1507">FI55</f>
        <v>0</v>
      </c>
      <c r="Z55" s="27">
        <f t="shared" ref="Z55" si="1508">GD55</f>
        <v>0</v>
      </c>
      <c r="AA55" s="27">
        <f t="shared" ref="AA55" si="1509">GY55</f>
        <v>0</v>
      </c>
      <c r="AB55" s="4">
        <f t="shared" ref="AB55" si="1510">P55*Q55*O55/1000000</f>
        <v>0</v>
      </c>
      <c r="AC55" s="2" t="str">
        <f t="shared" ref="AC55" si="1511">IF(E55=1,E55*$O55*$Q55/1000,IF(E55=2,E55*$O55*$Q55/1000," "))</f>
        <v xml:space="preserve"> </v>
      </c>
      <c r="AD55" s="2" t="str">
        <f t="shared" ref="AD55" si="1512">IF(F55=1,F55*$O55*$P55/1000,IF(F55=2,F55*$O55*$P55/1000," "))</f>
        <v xml:space="preserve"> </v>
      </c>
      <c r="AE55" s="2" t="str">
        <f t="shared" ref="AE55" si="1513">IF(G55=1,G55*$O55*$P55/1000,IF(G55=2,G55*$O55*$P55/1000," "))</f>
        <v xml:space="preserve"> </v>
      </c>
      <c r="AF55" s="2" t="str">
        <f t="shared" ref="AF55" si="1514">IF(H55=1,H55*$O55*$Q55/1000,IF(H55=2,H55*$O55*$Q55/1000," "))</f>
        <v xml:space="preserve"> </v>
      </c>
      <c r="AG55" s="2" t="str">
        <f t="shared" ref="AG55" si="1515">IF(I55=1,I55*$O55*$P55/1000,IF(I55=2,I55*$O55*$P55/1000," "))</f>
        <v xml:space="preserve"> </v>
      </c>
      <c r="AH55" s="2" t="str">
        <f t="shared" ref="AH55" si="1516">IF(J55=1,J55*$O55*$P55/1000,IF(J55=2,J55*$O55*$P55/1000," "))</f>
        <v xml:space="preserve"> </v>
      </c>
      <c r="AI55" s="2" t="str">
        <f t="shared" ref="AI55" si="1517">IF(K55=1,K55*$O55*$Q55/1000,IF(K55=2,K55*$O55*$Q55/1000," "))</f>
        <v xml:space="preserve"> </v>
      </c>
      <c r="AJ55" s="2" t="str">
        <f t="shared" ref="AJ55" si="1518">IF(L55=1,L55*$O55*$P55/1000,IF(L55=2,L55*$O55*$P55/1000," "))</f>
        <v xml:space="preserve"> </v>
      </c>
      <c r="AK55" s="2" t="str">
        <f t="shared" ref="AK55" si="1519">IF(M55=1,M55*$O55*$P55/1000,IF(M55=2,M55*$O55*$P55/1000," "))</f>
        <v xml:space="preserve"> </v>
      </c>
      <c r="AL55" s="2" t="str">
        <f t="shared" ref="AL55" si="1520">IF(N55=1,N55*$O55*$Q55/1000,IF(N55=2,N55*$O55*$Q55/1000," "))</f>
        <v xml:space="preserve"> </v>
      </c>
      <c r="AM55" s="23">
        <f t="shared" ref="AM55" si="1521">SUM(AN55:BG55)*R55</f>
        <v>0</v>
      </c>
      <c r="AN55" s="8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11"/>
      <c r="BH55" s="1">
        <f t="shared" ref="BH55" si="1522">SUM(BI55:CB55)*R55</f>
        <v>0</v>
      </c>
      <c r="BI55" s="8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11"/>
      <c r="CC55" s="1">
        <f t="shared" ref="CC55" si="1523">SUM(CD55:CW55)*R55</f>
        <v>0</v>
      </c>
      <c r="CD55" s="8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11"/>
      <c r="CX55" s="10">
        <f t="shared" ref="CX55" si="1524">SUM(CY55:DR55)*R55</f>
        <v>0</v>
      </c>
      <c r="CY55" s="8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11"/>
      <c r="DS55" s="10">
        <f t="shared" ref="DS55" si="1525">SUM(DT55:EM55)*R55</f>
        <v>0</v>
      </c>
      <c r="DT55" s="8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11"/>
      <c r="EN55" s="10">
        <f t="shared" ref="EN55" si="1526">SUM(EO55:FH55)*R55</f>
        <v>0</v>
      </c>
      <c r="EO55" s="8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11"/>
      <c r="FI55" s="10">
        <f t="shared" ref="FI55" si="1527">SUM(FJ55:GC55)*R55</f>
        <v>0</v>
      </c>
      <c r="FJ55" s="8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11"/>
      <c r="GD55" s="10">
        <f t="shared" ref="GD55" si="1528">SUM(GE55:GX55)*R55</f>
        <v>0</v>
      </c>
      <c r="GE55" s="8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11"/>
      <c r="GY55" s="10">
        <f t="shared" ref="GY55" si="1529">SUM(GZ55:IZ55)*R55</f>
        <v>0</v>
      </c>
      <c r="GZ55" s="8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11"/>
    </row>
    <row r="56" spans="1:260" ht="14.25" customHeight="1" x14ac:dyDescent="0.3">
      <c r="A56" s="63"/>
      <c r="B56" s="61"/>
      <c r="C56" s="62"/>
      <c r="D56" s="62"/>
      <c r="E56" s="5"/>
      <c r="F56" s="5"/>
      <c r="G56" s="5"/>
      <c r="H56" s="5"/>
      <c r="I56" s="5"/>
      <c r="J56" s="5"/>
      <c r="K56" s="5"/>
      <c r="L56" s="5"/>
      <c r="M56" s="5"/>
      <c r="N56" s="5"/>
      <c r="O56" s="3">
        <f t="shared" ref="O56" si="1530">SUM(AN56:BG56,BI56:CB56,CD56:CW56,CY56:DR56,DT56:EM56,EO56:FH56,FJ56:GC56,GE56:GX56,GZ56:IZ56)</f>
        <v>0</v>
      </c>
      <c r="P56" s="7"/>
      <c r="Q56" s="7"/>
      <c r="R56" s="2">
        <f t="shared" ref="R56" si="1531">P56*Q56/1000000</f>
        <v>0</v>
      </c>
      <c r="S56" s="27">
        <f t="shared" ref="S56" si="1532">AM56</f>
        <v>0</v>
      </c>
      <c r="T56" s="27">
        <f t="shared" ref="T56" si="1533">BH56</f>
        <v>0</v>
      </c>
      <c r="U56" s="27">
        <f t="shared" ref="U56" si="1534">CC56</f>
        <v>0</v>
      </c>
      <c r="V56" s="27">
        <f t="shared" ref="V56" si="1535">CX56</f>
        <v>0</v>
      </c>
      <c r="W56" s="27">
        <f t="shared" ref="W56" si="1536">DS56</f>
        <v>0</v>
      </c>
      <c r="X56" s="27">
        <f t="shared" ref="X56" si="1537">EN56</f>
        <v>0</v>
      </c>
      <c r="Y56" s="27">
        <f t="shared" ref="Y56" si="1538">FI56</f>
        <v>0</v>
      </c>
      <c r="Z56" s="27">
        <f t="shared" ref="Z56" si="1539">GD56</f>
        <v>0</v>
      </c>
      <c r="AA56" s="27">
        <f t="shared" ref="AA56" si="1540">GY56</f>
        <v>0</v>
      </c>
      <c r="AB56" s="4">
        <f t="shared" ref="AB56" si="1541">P56*Q56*O56/1000000</f>
        <v>0</v>
      </c>
      <c r="AC56" s="2" t="str">
        <f t="shared" ref="AC56" si="1542">IF(E56=1,E56*$O56*$Q56/1000,IF(E56=2,E56*$O56*$Q56/1000," "))</f>
        <v xml:space="preserve"> </v>
      </c>
      <c r="AD56" s="2" t="str">
        <f t="shared" ref="AD56" si="1543">IF(F56=1,F56*$O56*$P56/1000,IF(F56=2,F56*$O56*$P56/1000," "))</f>
        <v xml:space="preserve"> </v>
      </c>
      <c r="AE56" s="2" t="str">
        <f t="shared" ref="AE56" si="1544">IF(G56=1,G56*$O56*$P56/1000,IF(G56=2,G56*$O56*$P56/1000," "))</f>
        <v xml:space="preserve"> </v>
      </c>
      <c r="AF56" s="2" t="str">
        <f t="shared" ref="AF56" si="1545">IF(H56=1,H56*$O56*$Q56/1000,IF(H56=2,H56*$O56*$Q56/1000," "))</f>
        <v xml:space="preserve"> </v>
      </c>
      <c r="AG56" s="2" t="str">
        <f t="shared" ref="AG56" si="1546">IF(I56=1,I56*$O56*$P56/1000,IF(I56=2,I56*$O56*$P56/1000," "))</f>
        <v xml:space="preserve"> </v>
      </c>
      <c r="AH56" s="2" t="str">
        <f t="shared" ref="AH56" si="1547">IF(J56=1,J56*$O56*$P56/1000,IF(J56=2,J56*$O56*$P56/1000," "))</f>
        <v xml:space="preserve"> </v>
      </c>
      <c r="AI56" s="2" t="str">
        <f t="shared" ref="AI56" si="1548">IF(K56=1,K56*$O56*$Q56/1000,IF(K56=2,K56*$O56*$Q56/1000," "))</f>
        <v xml:space="preserve"> </v>
      </c>
      <c r="AJ56" s="2" t="str">
        <f t="shared" ref="AJ56" si="1549">IF(L56=1,L56*$O56*$P56/1000,IF(L56=2,L56*$O56*$P56/1000," "))</f>
        <v xml:space="preserve"> </v>
      </c>
      <c r="AK56" s="2" t="str">
        <f t="shared" ref="AK56" si="1550">IF(M56=1,M56*$O56*$P56/1000,IF(M56=2,M56*$O56*$P56/1000," "))</f>
        <v xml:space="preserve"> </v>
      </c>
      <c r="AL56" s="2" t="str">
        <f t="shared" ref="AL56" si="1551">IF(N56=1,N56*$O56*$Q56/1000,IF(N56=2,N56*$O56*$Q56/1000," "))</f>
        <v xml:space="preserve"> </v>
      </c>
      <c r="AM56" s="23">
        <f t="shared" ref="AM56" si="1552">SUM(AN56:BG56)*R56</f>
        <v>0</v>
      </c>
      <c r="AN56" s="8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11"/>
      <c r="BH56" s="1">
        <f t="shared" ref="BH56" si="1553">SUM(BI56:CB56)*R56</f>
        <v>0</v>
      </c>
      <c r="BI56" s="8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11"/>
      <c r="CC56" s="1">
        <f t="shared" ref="CC56" si="1554">SUM(CD56:CW56)*R56</f>
        <v>0</v>
      </c>
      <c r="CD56" s="8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11"/>
      <c r="CX56" s="10">
        <f t="shared" ref="CX56" si="1555">SUM(CY56:DR56)*R56</f>
        <v>0</v>
      </c>
      <c r="CY56" s="8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11"/>
      <c r="DS56" s="10">
        <f t="shared" ref="DS56" si="1556">SUM(DT56:EM56)*R56</f>
        <v>0</v>
      </c>
      <c r="DT56" s="8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11"/>
      <c r="EN56" s="10">
        <f t="shared" ref="EN56" si="1557">SUM(EO56:FH56)*R56</f>
        <v>0</v>
      </c>
      <c r="EO56" s="8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11"/>
      <c r="FI56" s="10">
        <f t="shared" ref="FI56" si="1558">SUM(FJ56:GC56)*R56</f>
        <v>0</v>
      </c>
      <c r="FJ56" s="8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11"/>
      <c r="GD56" s="10">
        <f t="shared" ref="GD56" si="1559">SUM(GE56:GX56)*R56</f>
        <v>0</v>
      </c>
      <c r="GE56" s="8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11"/>
      <c r="GY56" s="10">
        <f t="shared" ref="GY56" si="1560">SUM(GZ56:IZ56)*R56</f>
        <v>0</v>
      </c>
      <c r="GZ56" s="8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11"/>
    </row>
    <row r="57" spans="1:260" ht="14.25" customHeight="1" x14ac:dyDescent="0.3">
      <c r="A57" s="63"/>
      <c r="B57" s="61"/>
      <c r="C57" s="62"/>
      <c r="D57" s="62"/>
      <c r="E57" s="5"/>
      <c r="F57" s="5"/>
      <c r="G57" s="5"/>
      <c r="H57" s="5"/>
      <c r="I57" s="5"/>
      <c r="J57" s="5"/>
      <c r="K57" s="5"/>
      <c r="L57" s="5"/>
      <c r="M57" s="5"/>
      <c r="N57" s="5"/>
      <c r="O57" s="3">
        <f t="shared" ref="O57" si="1561">SUM(AN57:BG57,BI57:CB57,CD57:CW57,CY57:DR57,DT57:EM57,EO57:FH57,FJ57:GC57,GE57:GX57,GZ57:IZ57)</f>
        <v>0</v>
      </c>
      <c r="P57" s="7"/>
      <c r="Q57" s="7"/>
      <c r="R57" s="2">
        <f t="shared" ref="R57" si="1562">P57*Q57/1000000</f>
        <v>0</v>
      </c>
      <c r="S57" s="27">
        <f t="shared" ref="S57" si="1563">AM57</f>
        <v>0</v>
      </c>
      <c r="T57" s="27">
        <f t="shared" ref="T57" si="1564">BH57</f>
        <v>0</v>
      </c>
      <c r="U57" s="27">
        <f t="shared" ref="U57" si="1565">CC57</f>
        <v>0</v>
      </c>
      <c r="V57" s="27">
        <f t="shared" ref="V57" si="1566">CX57</f>
        <v>0</v>
      </c>
      <c r="W57" s="27">
        <f t="shared" ref="W57" si="1567">DS57</f>
        <v>0</v>
      </c>
      <c r="X57" s="27">
        <f t="shared" ref="X57" si="1568">EN57</f>
        <v>0</v>
      </c>
      <c r="Y57" s="27">
        <f t="shared" ref="Y57" si="1569">FI57</f>
        <v>0</v>
      </c>
      <c r="Z57" s="27">
        <f t="shared" ref="Z57" si="1570">GD57</f>
        <v>0</v>
      </c>
      <c r="AA57" s="27">
        <f t="shared" ref="AA57" si="1571">GY57</f>
        <v>0</v>
      </c>
      <c r="AB57" s="4">
        <f t="shared" ref="AB57" si="1572">P57*Q57*O57/1000000</f>
        <v>0</v>
      </c>
      <c r="AC57" s="2" t="str">
        <f t="shared" ref="AC57" si="1573">IF(E57=1,E57*$O57*$Q57/1000,IF(E57=2,E57*$O57*$Q57/1000," "))</f>
        <v xml:space="preserve"> </v>
      </c>
      <c r="AD57" s="2" t="str">
        <f t="shared" ref="AD57" si="1574">IF(F57=1,F57*$O57*$P57/1000,IF(F57=2,F57*$O57*$P57/1000," "))</f>
        <v xml:space="preserve"> </v>
      </c>
      <c r="AE57" s="2" t="str">
        <f t="shared" ref="AE57" si="1575">IF(G57=1,G57*$O57*$P57/1000,IF(G57=2,G57*$O57*$P57/1000," "))</f>
        <v xml:space="preserve"> </v>
      </c>
      <c r="AF57" s="2" t="str">
        <f t="shared" ref="AF57" si="1576">IF(H57=1,H57*$O57*$Q57/1000,IF(H57=2,H57*$O57*$Q57/1000," "))</f>
        <v xml:space="preserve"> </v>
      </c>
      <c r="AG57" s="2" t="str">
        <f t="shared" ref="AG57" si="1577">IF(I57=1,I57*$O57*$P57/1000,IF(I57=2,I57*$O57*$P57/1000," "))</f>
        <v xml:space="preserve"> </v>
      </c>
      <c r="AH57" s="2" t="str">
        <f t="shared" ref="AH57" si="1578">IF(J57=1,J57*$O57*$P57/1000,IF(J57=2,J57*$O57*$P57/1000," "))</f>
        <v xml:space="preserve"> </v>
      </c>
      <c r="AI57" s="2" t="str">
        <f t="shared" ref="AI57" si="1579">IF(K57=1,K57*$O57*$Q57/1000,IF(K57=2,K57*$O57*$Q57/1000," "))</f>
        <v xml:space="preserve"> </v>
      </c>
      <c r="AJ57" s="2" t="str">
        <f t="shared" ref="AJ57" si="1580">IF(L57=1,L57*$O57*$P57/1000,IF(L57=2,L57*$O57*$P57/1000," "))</f>
        <v xml:space="preserve"> </v>
      </c>
      <c r="AK57" s="2" t="str">
        <f t="shared" ref="AK57" si="1581">IF(M57=1,M57*$O57*$P57/1000,IF(M57=2,M57*$O57*$P57/1000," "))</f>
        <v xml:space="preserve"> </v>
      </c>
      <c r="AL57" s="2" t="str">
        <f t="shared" ref="AL57" si="1582">IF(N57=1,N57*$O57*$Q57/1000,IF(N57=2,N57*$O57*$Q57/1000," "))</f>
        <v xml:space="preserve"> </v>
      </c>
      <c r="AM57" s="23">
        <f t="shared" ref="AM57" si="1583">SUM(AN57:BG57)*R57</f>
        <v>0</v>
      </c>
      <c r="AN57" s="8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11"/>
      <c r="BH57" s="1">
        <f t="shared" ref="BH57" si="1584">SUM(BI57:CB57)*R57</f>
        <v>0</v>
      </c>
      <c r="BI57" s="8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11"/>
      <c r="CC57" s="1">
        <f t="shared" ref="CC57" si="1585">SUM(CD57:CW57)*R57</f>
        <v>0</v>
      </c>
      <c r="CD57" s="8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11"/>
      <c r="CX57" s="10">
        <f t="shared" ref="CX57" si="1586">SUM(CY57:DR57)*R57</f>
        <v>0</v>
      </c>
      <c r="CY57" s="8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11"/>
      <c r="DS57" s="10">
        <f t="shared" ref="DS57" si="1587">SUM(DT57:EM57)*R57</f>
        <v>0</v>
      </c>
      <c r="DT57" s="8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11"/>
      <c r="EN57" s="10">
        <f t="shared" ref="EN57" si="1588">SUM(EO57:FH57)*R57</f>
        <v>0</v>
      </c>
      <c r="EO57" s="8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11"/>
      <c r="FI57" s="10">
        <f t="shared" ref="FI57" si="1589">SUM(FJ57:GC57)*R57</f>
        <v>0</v>
      </c>
      <c r="FJ57" s="8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11"/>
      <c r="GD57" s="10">
        <f t="shared" ref="GD57" si="1590">SUM(GE57:GX57)*R57</f>
        <v>0</v>
      </c>
      <c r="GE57" s="8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11"/>
      <c r="GY57" s="10">
        <f t="shared" ref="GY57" si="1591">SUM(GZ57:IZ57)*R57</f>
        <v>0</v>
      </c>
      <c r="GZ57" s="8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11"/>
    </row>
    <row r="58" spans="1:260" ht="14.25" customHeight="1" x14ac:dyDescent="0.3">
      <c r="A58" s="63"/>
      <c r="B58" s="61"/>
      <c r="C58" s="62"/>
      <c r="D58" s="62"/>
      <c r="E58" s="5"/>
      <c r="F58" s="5"/>
      <c r="G58" s="5"/>
      <c r="H58" s="5"/>
      <c r="I58" s="5"/>
      <c r="J58" s="5"/>
      <c r="K58" s="5"/>
      <c r="L58" s="5"/>
      <c r="M58" s="5"/>
      <c r="N58" s="5"/>
      <c r="O58" s="3">
        <f t="shared" ref="O58" si="1592">SUM(AN58:BG58,BI58:CB58,CD58:CW58,CY58:DR58,DT58:EM58,EO58:FH58,FJ58:GC58,GE58:GX58,GZ58:IZ58)</f>
        <v>0</v>
      </c>
      <c r="P58" s="7"/>
      <c r="Q58" s="7"/>
      <c r="R58" s="2">
        <f t="shared" ref="R58" si="1593">P58*Q58/1000000</f>
        <v>0</v>
      </c>
      <c r="S58" s="27">
        <f t="shared" ref="S58" si="1594">AM58</f>
        <v>0</v>
      </c>
      <c r="T58" s="27">
        <f t="shared" ref="T58" si="1595">BH58</f>
        <v>0</v>
      </c>
      <c r="U58" s="27">
        <f t="shared" ref="U58" si="1596">CC58</f>
        <v>0</v>
      </c>
      <c r="V58" s="27">
        <f t="shared" ref="V58" si="1597">CX58</f>
        <v>0</v>
      </c>
      <c r="W58" s="27">
        <f t="shared" ref="W58" si="1598">DS58</f>
        <v>0</v>
      </c>
      <c r="X58" s="27">
        <f t="shared" ref="X58" si="1599">EN58</f>
        <v>0</v>
      </c>
      <c r="Y58" s="27">
        <f t="shared" ref="Y58" si="1600">FI58</f>
        <v>0</v>
      </c>
      <c r="Z58" s="27">
        <f t="shared" ref="Z58" si="1601">GD58</f>
        <v>0</v>
      </c>
      <c r="AA58" s="27">
        <f t="shared" ref="AA58" si="1602">GY58</f>
        <v>0</v>
      </c>
      <c r="AB58" s="4">
        <f t="shared" ref="AB58" si="1603">P58*Q58*O58/1000000</f>
        <v>0</v>
      </c>
      <c r="AC58" s="2" t="str">
        <f t="shared" ref="AC58" si="1604">IF(E58=1,E58*$O58*$Q58/1000,IF(E58=2,E58*$O58*$Q58/1000," "))</f>
        <v xml:space="preserve"> </v>
      </c>
      <c r="AD58" s="2" t="str">
        <f t="shared" ref="AD58" si="1605">IF(F58=1,F58*$O58*$P58/1000,IF(F58=2,F58*$O58*$P58/1000," "))</f>
        <v xml:space="preserve"> </v>
      </c>
      <c r="AE58" s="2" t="str">
        <f t="shared" ref="AE58" si="1606">IF(G58=1,G58*$O58*$P58/1000,IF(G58=2,G58*$O58*$P58/1000," "))</f>
        <v xml:space="preserve"> </v>
      </c>
      <c r="AF58" s="2" t="str">
        <f t="shared" ref="AF58" si="1607">IF(H58=1,H58*$O58*$Q58/1000,IF(H58=2,H58*$O58*$Q58/1000," "))</f>
        <v xml:space="preserve"> </v>
      </c>
      <c r="AG58" s="2" t="str">
        <f t="shared" ref="AG58" si="1608">IF(I58=1,I58*$O58*$P58/1000,IF(I58=2,I58*$O58*$P58/1000," "))</f>
        <v xml:space="preserve"> </v>
      </c>
      <c r="AH58" s="2" t="str">
        <f t="shared" ref="AH58" si="1609">IF(J58=1,J58*$O58*$P58/1000,IF(J58=2,J58*$O58*$P58/1000," "))</f>
        <v xml:space="preserve"> </v>
      </c>
      <c r="AI58" s="2" t="str">
        <f t="shared" ref="AI58" si="1610">IF(K58=1,K58*$O58*$Q58/1000,IF(K58=2,K58*$O58*$Q58/1000," "))</f>
        <v xml:space="preserve"> </v>
      </c>
      <c r="AJ58" s="2" t="str">
        <f t="shared" ref="AJ58" si="1611">IF(L58=1,L58*$O58*$P58/1000,IF(L58=2,L58*$O58*$P58/1000," "))</f>
        <v xml:space="preserve"> </v>
      </c>
      <c r="AK58" s="2" t="str">
        <f t="shared" ref="AK58" si="1612">IF(M58=1,M58*$O58*$P58/1000,IF(M58=2,M58*$O58*$P58/1000," "))</f>
        <v xml:space="preserve"> </v>
      </c>
      <c r="AL58" s="2" t="str">
        <f t="shared" ref="AL58" si="1613">IF(N58=1,N58*$O58*$Q58/1000,IF(N58=2,N58*$O58*$Q58/1000," "))</f>
        <v xml:space="preserve"> </v>
      </c>
      <c r="AM58" s="23">
        <f t="shared" ref="AM58" si="1614">SUM(AN58:BG58)*R58</f>
        <v>0</v>
      </c>
      <c r="AN58" s="8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11"/>
      <c r="BH58" s="1">
        <f t="shared" ref="BH58" si="1615">SUM(BI58:CB58)*R58</f>
        <v>0</v>
      </c>
      <c r="BI58" s="8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11"/>
      <c r="CC58" s="1">
        <f t="shared" ref="CC58" si="1616">SUM(CD58:CW58)*R58</f>
        <v>0</v>
      </c>
      <c r="CD58" s="8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11"/>
      <c r="CX58" s="10">
        <f t="shared" ref="CX58" si="1617">SUM(CY58:DR58)*R58</f>
        <v>0</v>
      </c>
      <c r="CY58" s="8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11"/>
      <c r="DS58" s="10">
        <f t="shared" ref="DS58" si="1618">SUM(DT58:EM58)*R58</f>
        <v>0</v>
      </c>
      <c r="DT58" s="8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11"/>
      <c r="EN58" s="10">
        <f t="shared" ref="EN58" si="1619">SUM(EO58:FH58)*R58</f>
        <v>0</v>
      </c>
      <c r="EO58" s="8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11"/>
      <c r="FI58" s="10">
        <f t="shared" ref="FI58" si="1620">SUM(FJ58:GC58)*R58</f>
        <v>0</v>
      </c>
      <c r="FJ58" s="8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11"/>
      <c r="GD58" s="10">
        <f t="shared" ref="GD58" si="1621">SUM(GE58:GX58)*R58</f>
        <v>0</v>
      </c>
      <c r="GE58" s="8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11"/>
      <c r="GY58" s="10">
        <f t="shared" ref="GY58" si="1622">SUM(GZ58:IZ58)*R58</f>
        <v>0</v>
      </c>
      <c r="GZ58" s="8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11"/>
    </row>
    <row r="59" spans="1:260" ht="14.25" customHeight="1" x14ac:dyDescent="0.3">
      <c r="A59" s="63"/>
      <c r="B59" s="61"/>
      <c r="C59" s="62"/>
      <c r="D59" s="62"/>
      <c r="E59" s="5"/>
      <c r="F59" s="5"/>
      <c r="G59" s="5"/>
      <c r="H59" s="5"/>
      <c r="I59" s="5"/>
      <c r="J59" s="5"/>
      <c r="K59" s="5"/>
      <c r="L59" s="5"/>
      <c r="M59" s="5"/>
      <c r="N59" s="5"/>
      <c r="O59" s="3">
        <f t="shared" ref="O59" si="1623">SUM(AN59:BG59,BI59:CB59,CD59:CW59,CY59:DR59,DT59:EM59,EO59:FH59,FJ59:GC59,GE59:GX59,GZ59:IZ59)</f>
        <v>0</v>
      </c>
      <c r="P59" s="7"/>
      <c r="Q59" s="7"/>
      <c r="R59" s="2">
        <f t="shared" ref="R59" si="1624">P59*Q59/1000000</f>
        <v>0</v>
      </c>
      <c r="S59" s="27">
        <f t="shared" ref="S59" si="1625">AM59</f>
        <v>0</v>
      </c>
      <c r="T59" s="27">
        <f t="shared" ref="T59" si="1626">BH59</f>
        <v>0</v>
      </c>
      <c r="U59" s="27">
        <f t="shared" ref="U59" si="1627">CC59</f>
        <v>0</v>
      </c>
      <c r="V59" s="27">
        <f t="shared" ref="V59" si="1628">CX59</f>
        <v>0</v>
      </c>
      <c r="W59" s="27">
        <f t="shared" ref="W59" si="1629">DS59</f>
        <v>0</v>
      </c>
      <c r="X59" s="27">
        <f t="shared" ref="X59" si="1630">EN59</f>
        <v>0</v>
      </c>
      <c r="Y59" s="27">
        <f t="shared" ref="Y59" si="1631">FI59</f>
        <v>0</v>
      </c>
      <c r="Z59" s="27">
        <f t="shared" ref="Z59" si="1632">GD59</f>
        <v>0</v>
      </c>
      <c r="AA59" s="27">
        <f t="shared" ref="AA59" si="1633">GY59</f>
        <v>0</v>
      </c>
      <c r="AB59" s="4">
        <f t="shared" ref="AB59" si="1634">P59*Q59*O59/1000000</f>
        <v>0</v>
      </c>
      <c r="AC59" s="2" t="str">
        <f t="shared" ref="AC59" si="1635">IF(E59=1,E59*$O59*$Q59/1000,IF(E59=2,E59*$O59*$Q59/1000," "))</f>
        <v xml:space="preserve"> </v>
      </c>
      <c r="AD59" s="2" t="str">
        <f t="shared" ref="AD59" si="1636">IF(F59=1,F59*$O59*$P59/1000,IF(F59=2,F59*$O59*$P59/1000," "))</f>
        <v xml:space="preserve"> </v>
      </c>
      <c r="AE59" s="2" t="str">
        <f t="shared" ref="AE59" si="1637">IF(G59=1,G59*$O59*$P59/1000,IF(G59=2,G59*$O59*$P59/1000," "))</f>
        <v xml:space="preserve"> </v>
      </c>
      <c r="AF59" s="2" t="str">
        <f t="shared" ref="AF59" si="1638">IF(H59=1,H59*$O59*$Q59/1000,IF(H59=2,H59*$O59*$Q59/1000," "))</f>
        <v xml:space="preserve"> </v>
      </c>
      <c r="AG59" s="2" t="str">
        <f t="shared" ref="AG59" si="1639">IF(I59=1,I59*$O59*$P59/1000,IF(I59=2,I59*$O59*$P59/1000," "))</f>
        <v xml:space="preserve"> </v>
      </c>
      <c r="AH59" s="2" t="str">
        <f t="shared" ref="AH59" si="1640">IF(J59=1,J59*$O59*$P59/1000,IF(J59=2,J59*$O59*$P59/1000," "))</f>
        <v xml:space="preserve"> </v>
      </c>
      <c r="AI59" s="2" t="str">
        <f t="shared" ref="AI59" si="1641">IF(K59=1,K59*$O59*$Q59/1000,IF(K59=2,K59*$O59*$Q59/1000," "))</f>
        <v xml:space="preserve"> </v>
      </c>
      <c r="AJ59" s="2" t="str">
        <f t="shared" ref="AJ59" si="1642">IF(L59=1,L59*$O59*$P59/1000,IF(L59=2,L59*$O59*$P59/1000," "))</f>
        <v xml:space="preserve"> </v>
      </c>
      <c r="AK59" s="2" t="str">
        <f t="shared" ref="AK59" si="1643">IF(M59=1,M59*$O59*$P59/1000,IF(M59=2,M59*$O59*$P59/1000," "))</f>
        <v xml:space="preserve"> </v>
      </c>
      <c r="AL59" s="2" t="str">
        <f t="shared" ref="AL59" si="1644">IF(N59=1,N59*$O59*$Q59/1000,IF(N59=2,N59*$O59*$Q59/1000," "))</f>
        <v xml:space="preserve"> </v>
      </c>
      <c r="AM59" s="23">
        <f t="shared" ref="AM59" si="1645">SUM(AN59:BG59)*R59</f>
        <v>0</v>
      </c>
      <c r="AN59" s="8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11"/>
      <c r="BH59" s="1">
        <f t="shared" ref="BH59" si="1646">SUM(BI59:CB59)*R59</f>
        <v>0</v>
      </c>
      <c r="BI59" s="8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11"/>
      <c r="CC59" s="1">
        <f t="shared" ref="CC59" si="1647">SUM(CD59:CW59)*R59</f>
        <v>0</v>
      </c>
      <c r="CD59" s="8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11"/>
      <c r="CX59" s="10">
        <f t="shared" ref="CX59" si="1648">SUM(CY59:DR59)*R59</f>
        <v>0</v>
      </c>
      <c r="CY59" s="8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11"/>
      <c r="DS59" s="10">
        <f t="shared" ref="DS59" si="1649">SUM(DT59:EM59)*R59</f>
        <v>0</v>
      </c>
      <c r="DT59" s="8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11"/>
      <c r="EN59" s="10">
        <f t="shared" ref="EN59" si="1650">SUM(EO59:FH59)*R59</f>
        <v>0</v>
      </c>
      <c r="EO59" s="8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11"/>
      <c r="FI59" s="10">
        <f t="shared" ref="FI59" si="1651">SUM(FJ59:GC59)*R59</f>
        <v>0</v>
      </c>
      <c r="FJ59" s="8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11"/>
      <c r="GD59" s="10">
        <f t="shared" ref="GD59" si="1652">SUM(GE59:GX59)*R59</f>
        <v>0</v>
      </c>
      <c r="GE59" s="8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11"/>
      <c r="GY59" s="10">
        <f t="shared" ref="GY59" si="1653">SUM(GZ59:IZ59)*R59</f>
        <v>0</v>
      </c>
      <c r="GZ59" s="8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11"/>
    </row>
    <row r="60" spans="1:260" ht="14.25" customHeight="1" x14ac:dyDescent="0.3">
      <c r="A60" s="63"/>
      <c r="B60" s="61"/>
      <c r="C60" s="62"/>
      <c r="D60" s="62"/>
      <c r="E60" s="5"/>
      <c r="F60" s="5"/>
      <c r="G60" s="5"/>
      <c r="H60" s="5"/>
      <c r="I60" s="5"/>
      <c r="J60" s="5"/>
      <c r="K60" s="5"/>
      <c r="L60" s="5"/>
      <c r="M60" s="5"/>
      <c r="N60" s="5"/>
      <c r="O60" s="3">
        <f t="shared" ref="O60" si="1654">SUM(AN60:BG60,BI60:CB60,CD60:CW60,CY60:DR60,DT60:EM60,EO60:FH60,FJ60:GC60,GE60:GX60,GZ60:IZ60)</f>
        <v>0</v>
      </c>
      <c r="P60" s="7"/>
      <c r="Q60" s="7"/>
      <c r="R60" s="2">
        <f t="shared" ref="R60" si="1655">P60*Q60/1000000</f>
        <v>0</v>
      </c>
      <c r="S60" s="27">
        <f t="shared" ref="S60" si="1656">AM60</f>
        <v>0</v>
      </c>
      <c r="T60" s="27">
        <f t="shared" ref="T60" si="1657">BH60</f>
        <v>0</v>
      </c>
      <c r="U60" s="27">
        <f t="shared" ref="U60" si="1658">CC60</f>
        <v>0</v>
      </c>
      <c r="V60" s="27">
        <f t="shared" ref="V60" si="1659">CX60</f>
        <v>0</v>
      </c>
      <c r="W60" s="27">
        <f t="shared" ref="W60" si="1660">DS60</f>
        <v>0</v>
      </c>
      <c r="X60" s="27">
        <f t="shared" ref="X60" si="1661">EN60</f>
        <v>0</v>
      </c>
      <c r="Y60" s="27">
        <f t="shared" ref="Y60" si="1662">FI60</f>
        <v>0</v>
      </c>
      <c r="Z60" s="27">
        <f t="shared" ref="Z60" si="1663">GD60</f>
        <v>0</v>
      </c>
      <c r="AA60" s="27">
        <f t="shared" ref="AA60" si="1664">GY60</f>
        <v>0</v>
      </c>
      <c r="AB60" s="4">
        <f t="shared" ref="AB60" si="1665">P60*Q60*O60/1000000</f>
        <v>0</v>
      </c>
      <c r="AC60" s="2" t="str">
        <f t="shared" ref="AC60" si="1666">IF(E60=1,E60*$O60*$Q60/1000,IF(E60=2,E60*$O60*$Q60/1000," "))</f>
        <v xml:space="preserve"> </v>
      </c>
      <c r="AD60" s="2" t="str">
        <f t="shared" ref="AD60" si="1667">IF(F60=1,F60*$O60*$P60/1000,IF(F60=2,F60*$O60*$P60/1000," "))</f>
        <v xml:space="preserve"> </v>
      </c>
      <c r="AE60" s="2" t="str">
        <f t="shared" ref="AE60" si="1668">IF(G60=1,G60*$O60*$P60/1000,IF(G60=2,G60*$O60*$P60/1000," "))</f>
        <v xml:space="preserve"> </v>
      </c>
      <c r="AF60" s="2" t="str">
        <f t="shared" ref="AF60" si="1669">IF(H60=1,H60*$O60*$Q60/1000,IF(H60=2,H60*$O60*$Q60/1000," "))</f>
        <v xml:space="preserve"> </v>
      </c>
      <c r="AG60" s="2" t="str">
        <f t="shared" ref="AG60" si="1670">IF(I60=1,I60*$O60*$P60/1000,IF(I60=2,I60*$O60*$P60/1000," "))</f>
        <v xml:space="preserve"> </v>
      </c>
      <c r="AH60" s="2" t="str">
        <f t="shared" ref="AH60" si="1671">IF(J60=1,J60*$O60*$P60/1000,IF(J60=2,J60*$O60*$P60/1000," "))</f>
        <v xml:space="preserve"> </v>
      </c>
      <c r="AI60" s="2" t="str">
        <f t="shared" ref="AI60" si="1672">IF(K60=1,K60*$O60*$Q60/1000,IF(K60=2,K60*$O60*$Q60/1000," "))</f>
        <v xml:space="preserve"> </v>
      </c>
      <c r="AJ60" s="2" t="str">
        <f t="shared" ref="AJ60" si="1673">IF(L60=1,L60*$O60*$P60/1000,IF(L60=2,L60*$O60*$P60/1000," "))</f>
        <v xml:space="preserve"> </v>
      </c>
      <c r="AK60" s="2" t="str">
        <f t="shared" ref="AK60" si="1674">IF(M60=1,M60*$O60*$P60/1000,IF(M60=2,M60*$O60*$P60/1000," "))</f>
        <v xml:space="preserve"> </v>
      </c>
      <c r="AL60" s="2" t="str">
        <f t="shared" ref="AL60" si="1675">IF(N60=1,N60*$O60*$Q60/1000,IF(N60=2,N60*$O60*$Q60/1000," "))</f>
        <v xml:space="preserve"> </v>
      </c>
      <c r="AM60" s="23">
        <f t="shared" ref="AM60" si="1676">SUM(AN60:BG60)*R60</f>
        <v>0</v>
      </c>
      <c r="AN60" s="8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11"/>
      <c r="BH60" s="1">
        <f t="shared" ref="BH60" si="1677">SUM(BI60:CB60)*R60</f>
        <v>0</v>
      </c>
      <c r="BI60" s="8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11"/>
      <c r="CC60" s="1">
        <f t="shared" ref="CC60" si="1678">SUM(CD60:CW60)*R60</f>
        <v>0</v>
      </c>
      <c r="CD60" s="8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11"/>
      <c r="CX60" s="10">
        <f t="shared" ref="CX60" si="1679">SUM(CY60:DR60)*R60</f>
        <v>0</v>
      </c>
      <c r="CY60" s="8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11"/>
      <c r="DS60" s="10">
        <f t="shared" ref="DS60" si="1680">SUM(DT60:EM60)*R60</f>
        <v>0</v>
      </c>
      <c r="DT60" s="8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11"/>
      <c r="EN60" s="10">
        <f t="shared" ref="EN60" si="1681">SUM(EO60:FH60)*R60</f>
        <v>0</v>
      </c>
      <c r="EO60" s="8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11"/>
      <c r="FI60" s="10">
        <f t="shared" ref="FI60" si="1682">SUM(FJ60:GC60)*R60</f>
        <v>0</v>
      </c>
      <c r="FJ60" s="8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11"/>
      <c r="GD60" s="10">
        <f t="shared" ref="GD60" si="1683">SUM(GE60:GX60)*R60</f>
        <v>0</v>
      </c>
      <c r="GE60" s="8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11"/>
      <c r="GY60" s="10">
        <f t="shared" ref="GY60" si="1684">SUM(GZ60:IZ60)*R60</f>
        <v>0</v>
      </c>
      <c r="GZ60" s="8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11"/>
    </row>
    <row r="61" spans="1:260" ht="14.25" customHeight="1" x14ac:dyDescent="0.3">
      <c r="A61" s="63"/>
      <c r="B61" s="61"/>
      <c r="C61" s="62"/>
      <c r="D61" s="62"/>
      <c r="E61" s="5"/>
      <c r="F61" s="5"/>
      <c r="G61" s="5"/>
      <c r="H61" s="5"/>
      <c r="I61" s="5"/>
      <c r="J61" s="5"/>
      <c r="K61" s="5"/>
      <c r="L61" s="5"/>
      <c r="M61" s="5"/>
      <c r="N61" s="5"/>
      <c r="O61" s="3">
        <f t="shared" ref="O61" si="1685">SUM(AN61:BG61,BI61:CB61,CD61:CW61,CY61:DR61,DT61:EM61,EO61:FH61,FJ61:GC61,GE61:GX61,GZ61:IZ61)</f>
        <v>0</v>
      </c>
      <c r="P61" s="7"/>
      <c r="Q61" s="7"/>
      <c r="R61" s="2">
        <f t="shared" ref="R61" si="1686">P61*Q61/1000000</f>
        <v>0</v>
      </c>
      <c r="S61" s="27">
        <f t="shared" ref="S61" si="1687">AM61</f>
        <v>0</v>
      </c>
      <c r="T61" s="27">
        <f t="shared" ref="T61" si="1688">BH61</f>
        <v>0</v>
      </c>
      <c r="U61" s="27">
        <f t="shared" ref="U61" si="1689">CC61</f>
        <v>0</v>
      </c>
      <c r="V61" s="27">
        <f t="shared" ref="V61" si="1690">CX61</f>
        <v>0</v>
      </c>
      <c r="W61" s="27">
        <f t="shared" ref="W61" si="1691">DS61</f>
        <v>0</v>
      </c>
      <c r="X61" s="27">
        <f t="shared" ref="X61" si="1692">EN61</f>
        <v>0</v>
      </c>
      <c r="Y61" s="27">
        <f t="shared" ref="Y61" si="1693">FI61</f>
        <v>0</v>
      </c>
      <c r="Z61" s="27">
        <f t="shared" ref="Z61" si="1694">GD61</f>
        <v>0</v>
      </c>
      <c r="AA61" s="27">
        <f t="shared" ref="AA61" si="1695">GY61</f>
        <v>0</v>
      </c>
      <c r="AB61" s="4">
        <f t="shared" ref="AB61" si="1696">P61*Q61*O61/1000000</f>
        <v>0</v>
      </c>
      <c r="AC61" s="2" t="str">
        <f t="shared" ref="AC61" si="1697">IF(E61=1,E61*$O61*$Q61/1000,IF(E61=2,E61*$O61*$Q61/1000," "))</f>
        <v xml:space="preserve"> </v>
      </c>
      <c r="AD61" s="2" t="str">
        <f t="shared" ref="AD61" si="1698">IF(F61=1,F61*$O61*$P61/1000,IF(F61=2,F61*$O61*$P61/1000," "))</f>
        <v xml:space="preserve"> </v>
      </c>
      <c r="AE61" s="2" t="str">
        <f t="shared" ref="AE61" si="1699">IF(G61=1,G61*$O61*$P61/1000,IF(G61=2,G61*$O61*$P61/1000," "))</f>
        <v xml:space="preserve"> </v>
      </c>
      <c r="AF61" s="2" t="str">
        <f t="shared" ref="AF61" si="1700">IF(H61=1,H61*$O61*$Q61/1000,IF(H61=2,H61*$O61*$Q61/1000," "))</f>
        <v xml:space="preserve"> </v>
      </c>
      <c r="AG61" s="2" t="str">
        <f t="shared" ref="AG61" si="1701">IF(I61=1,I61*$O61*$P61/1000,IF(I61=2,I61*$O61*$P61/1000," "))</f>
        <v xml:space="preserve"> </v>
      </c>
      <c r="AH61" s="2" t="str">
        <f t="shared" ref="AH61" si="1702">IF(J61=1,J61*$O61*$P61/1000,IF(J61=2,J61*$O61*$P61/1000," "))</f>
        <v xml:space="preserve"> </v>
      </c>
      <c r="AI61" s="2" t="str">
        <f t="shared" ref="AI61" si="1703">IF(K61=1,K61*$O61*$Q61/1000,IF(K61=2,K61*$O61*$Q61/1000," "))</f>
        <v xml:space="preserve"> </v>
      </c>
      <c r="AJ61" s="2" t="str">
        <f t="shared" ref="AJ61" si="1704">IF(L61=1,L61*$O61*$P61/1000,IF(L61=2,L61*$O61*$P61/1000," "))</f>
        <v xml:space="preserve"> </v>
      </c>
      <c r="AK61" s="2" t="str">
        <f t="shared" ref="AK61" si="1705">IF(M61=1,M61*$O61*$P61/1000,IF(M61=2,M61*$O61*$P61/1000," "))</f>
        <v xml:space="preserve"> </v>
      </c>
      <c r="AL61" s="2" t="str">
        <f t="shared" ref="AL61" si="1706">IF(N61=1,N61*$O61*$Q61/1000,IF(N61=2,N61*$O61*$Q61/1000," "))</f>
        <v xml:space="preserve"> </v>
      </c>
      <c r="AM61" s="23">
        <f t="shared" ref="AM61" si="1707">SUM(AN61:BG61)*R61</f>
        <v>0</v>
      </c>
      <c r="AN61" s="8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11"/>
      <c r="BH61" s="1">
        <f t="shared" ref="BH61" si="1708">SUM(BI61:CB61)*R61</f>
        <v>0</v>
      </c>
      <c r="BI61" s="8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11"/>
      <c r="CC61" s="1">
        <f t="shared" ref="CC61" si="1709">SUM(CD61:CW61)*R61</f>
        <v>0</v>
      </c>
      <c r="CD61" s="8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11"/>
      <c r="CX61" s="10">
        <f t="shared" ref="CX61" si="1710">SUM(CY61:DR61)*R61</f>
        <v>0</v>
      </c>
      <c r="CY61" s="8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11"/>
      <c r="DS61" s="10">
        <f t="shared" ref="DS61" si="1711">SUM(DT61:EM61)*R61</f>
        <v>0</v>
      </c>
      <c r="DT61" s="8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11"/>
      <c r="EN61" s="10">
        <f t="shared" ref="EN61" si="1712">SUM(EO61:FH61)*R61</f>
        <v>0</v>
      </c>
      <c r="EO61" s="8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11"/>
      <c r="FI61" s="10">
        <f t="shared" ref="FI61" si="1713">SUM(FJ61:GC61)*R61</f>
        <v>0</v>
      </c>
      <c r="FJ61" s="8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11"/>
      <c r="GD61" s="10">
        <f t="shared" ref="GD61" si="1714">SUM(GE61:GX61)*R61</f>
        <v>0</v>
      </c>
      <c r="GE61" s="8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11"/>
      <c r="GY61" s="10">
        <f t="shared" ref="GY61" si="1715">SUM(GZ61:IZ61)*R61</f>
        <v>0</v>
      </c>
      <c r="GZ61" s="8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11"/>
    </row>
    <row r="62" spans="1:260" ht="14.25" customHeight="1" x14ac:dyDescent="0.3">
      <c r="A62" s="63"/>
      <c r="B62" s="61"/>
      <c r="C62" s="62"/>
      <c r="D62" s="62"/>
      <c r="E62" s="5"/>
      <c r="F62" s="5"/>
      <c r="G62" s="5"/>
      <c r="H62" s="5"/>
      <c r="I62" s="5"/>
      <c r="J62" s="5"/>
      <c r="K62" s="5"/>
      <c r="L62" s="5"/>
      <c r="M62" s="5"/>
      <c r="N62" s="5"/>
      <c r="O62" s="3">
        <f t="shared" ref="O62" si="1716">SUM(AN62:BG62,BI62:CB62,CD62:CW62,CY62:DR62,DT62:EM62,EO62:FH62,FJ62:GC62,GE62:GX62,GZ62:IZ62)</f>
        <v>0</v>
      </c>
      <c r="P62" s="7"/>
      <c r="Q62" s="7"/>
      <c r="R62" s="2">
        <f t="shared" ref="R62" si="1717">P62*Q62/1000000</f>
        <v>0</v>
      </c>
      <c r="S62" s="27">
        <f t="shared" ref="S62" si="1718">AM62</f>
        <v>0</v>
      </c>
      <c r="T62" s="27">
        <f t="shared" ref="T62" si="1719">BH62</f>
        <v>0</v>
      </c>
      <c r="U62" s="27">
        <f t="shared" ref="U62" si="1720">CC62</f>
        <v>0</v>
      </c>
      <c r="V62" s="27">
        <f t="shared" ref="V62" si="1721">CX62</f>
        <v>0</v>
      </c>
      <c r="W62" s="27">
        <f t="shared" ref="W62" si="1722">DS62</f>
        <v>0</v>
      </c>
      <c r="X62" s="27">
        <f t="shared" ref="X62" si="1723">EN62</f>
        <v>0</v>
      </c>
      <c r="Y62" s="27">
        <f t="shared" ref="Y62" si="1724">FI62</f>
        <v>0</v>
      </c>
      <c r="Z62" s="27">
        <f t="shared" ref="Z62" si="1725">GD62</f>
        <v>0</v>
      </c>
      <c r="AA62" s="27">
        <f t="shared" ref="AA62" si="1726">GY62</f>
        <v>0</v>
      </c>
      <c r="AB62" s="4">
        <f t="shared" ref="AB62" si="1727">P62*Q62*O62/1000000</f>
        <v>0</v>
      </c>
      <c r="AC62" s="2" t="str">
        <f t="shared" ref="AC62" si="1728">IF(E62=1,E62*$O62*$Q62/1000,IF(E62=2,E62*$O62*$Q62/1000," "))</f>
        <v xml:space="preserve"> </v>
      </c>
      <c r="AD62" s="2" t="str">
        <f t="shared" ref="AD62" si="1729">IF(F62=1,F62*$O62*$P62/1000,IF(F62=2,F62*$O62*$P62/1000," "))</f>
        <v xml:space="preserve"> </v>
      </c>
      <c r="AE62" s="2" t="str">
        <f t="shared" ref="AE62" si="1730">IF(G62=1,G62*$O62*$P62/1000,IF(G62=2,G62*$O62*$P62/1000," "))</f>
        <v xml:space="preserve"> </v>
      </c>
      <c r="AF62" s="2" t="str">
        <f t="shared" ref="AF62" si="1731">IF(H62=1,H62*$O62*$Q62/1000,IF(H62=2,H62*$O62*$Q62/1000," "))</f>
        <v xml:space="preserve"> </v>
      </c>
      <c r="AG62" s="2" t="str">
        <f t="shared" ref="AG62" si="1732">IF(I62=1,I62*$O62*$P62/1000,IF(I62=2,I62*$O62*$P62/1000," "))</f>
        <v xml:space="preserve"> </v>
      </c>
      <c r="AH62" s="2" t="str">
        <f t="shared" ref="AH62" si="1733">IF(J62=1,J62*$O62*$P62/1000,IF(J62=2,J62*$O62*$P62/1000," "))</f>
        <v xml:space="preserve"> </v>
      </c>
      <c r="AI62" s="2" t="str">
        <f t="shared" ref="AI62" si="1734">IF(K62=1,K62*$O62*$Q62/1000,IF(K62=2,K62*$O62*$Q62/1000," "))</f>
        <v xml:space="preserve"> </v>
      </c>
      <c r="AJ62" s="2" t="str">
        <f t="shared" ref="AJ62" si="1735">IF(L62=1,L62*$O62*$P62/1000,IF(L62=2,L62*$O62*$P62/1000," "))</f>
        <v xml:space="preserve"> </v>
      </c>
      <c r="AK62" s="2" t="str">
        <f t="shared" ref="AK62" si="1736">IF(M62=1,M62*$O62*$P62/1000,IF(M62=2,M62*$O62*$P62/1000," "))</f>
        <v xml:space="preserve"> </v>
      </c>
      <c r="AL62" s="2" t="str">
        <f t="shared" ref="AL62" si="1737">IF(N62=1,N62*$O62*$Q62/1000,IF(N62=2,N62*$O62*$Q62/1000," "))</f>
        <v xml:space="preserve"> </v>
      </c>
      <c r="AM62" s="23">
        <f t="shared" ref="AM62" si="1738">SUM(AN62:BG62)*R62</f>
        <v>0</v>
      </c>
      <c r="AN62" s="8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11"/>
      <c r="BH62" s="1">
        <f t="shared" ref="BH62" si="1739">SUM(BI62:CB62)*R62</f>
        <v>0</v>
      </c>
      <c r="BI62" s="8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11"/>
      <c r="CC62" s="1">
        <f t="shared" ref="CC62" si="1740">SUM(CD62:CW62)*R62</f>
        <v>0</v>
      </c>
      <c r="CD62" s="8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11"/>
      <c r="CX62" s="10">
        <f t="shared" ref="CX62" si="1741">SUM(CY62:DR62)*R62</f>
        <v>0</v>
      </c>
      <c r="CY62" s="8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11"/>
      <c r="DS62" s="10">
        <f t="shared" ref="DS62" si="1742">SUM(DT62:EM62)*R62</f>
        <v>0</v>
      </c>
      <c r="DT62" s="8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11"/>
      <c r="EN62" s="10">
        <f t="shared" ref="EN62" si="1743">SUM(EO62:FH62)*R62</f>
        <v>0</v>
      </c>
      <c r="EO62" s="8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11"/>
      <c r="FI62" s="10">
        <f t="shared" ref="FI62" si="1744">SUM(FJ62:GC62)*R62</f>
        <v>0</v>
      </c>
      <c r="FJ62" s="8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11"/>
      <c r="GD62" s="10">
        <f t="shared" ref="GD62" si="1745">SUM(GE62:GX62)*R62</f>
        <v>0</v>
      </c>
      <c r="GE62" s="8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11"/>
      <c r="GY62" s="10">
        <f t="shared" ref="GY62" si="1746">SUM(GZ62:IZ62)*R62</f>
        <v>0</v>
      </c>
      <c r="GZ62" s="8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11"/>
    </row>
    <row r="63" spans="1:260" ht="14.25" customHeight="1" x14ac:dyDescent="0.3">
      <c r="A63" s="63"/>
      <c r="B63" s="61"/>
      <c r="C63" s="62"/>
      <c r="D63" s="62"/>
      <c r="E63" s="5"/>
      <c r="F63" s="5"/>
      <c r="G63" s="5"/>
      <c r="H63" s="5"/>
      <c r="I63" s="5"/>
      <c r="J63" s="5"/>
      <c r="K63" s="5"/>
      <c r="L63" s="5"/>
      <c r="M63" s="5"/>
      <c r="N63" s="5"/>
      <c r="O63" s="3">
        <f t="shared" ref="O63" si="1747">SUM(AN63:BG63,BI63:CB63,CD63:CW63,CY63:DR63,DT63:EM63,EO63:FH63,FJ63:GC63,GE63:GX63,GZ63:IZ63)</f>
        <v>0</v>
      </c>
      <c r="P63" s="7"/>
      <c r="Q63" s="7"/>
      <c r="R63" s="2">
        <f t="shared" ref="R63" si="1748">P63*Q63/1000000</f>
        <v>0</v>
      </c>
      <c r="S63" s="27">
        <f t="shared" ref="S63" si="1749">AM63</f>
        <v>0</v>
      </c>
      <c r="T63" s="27">
        <f t="shared" ref="T63" si="1750">BH63</f>
        <v>0</v>
      </c>
      <c r="U63" s="27">
        <f t="shared" ref="U63" si="1751">CC63</f>
        <v>0</v>
      </c>
      <c r="V63" s="27">
        <f t="shared" ref="V63" si="1752">CX63</f>
        <v>0</v>
      </c>
      <c r="W63" s="27">
        <f t="shared" ref="W63" si="1753">DS63</f>
        <v>0</v>
      </c>
      <c r="X63" s="27">
        <f t="shared" ref="X63" si="1754">EN63</f>
        <v>0</v>
      </c>
      <c r="Y63" s="27">
        <f t="shared" ref="Y63" si="1755">FI63</f>
        <v>0</v>
      </c>
      <c r="Z63" s="27">
        <f t="shared" ref="Z63" si="1756">GD63</f>
        <v>0</v>
      </c>
      <c r="AA63" s="27">
        <f t="shared" ref="AA63" si="1757">GY63</f>
        <v>0</v>
      </c>
      <c r="AB63" s="4">
        <f t="shared" ref="AB63" si="1758">P63*Q63*O63/1000000</f>
        <v>0</v>
      </c>
      <c r="AC63" s="2" t="str">
        <f t="shared" ref="AC63" si="1759">IF(E63=1,E63*$O63*$Q63/1000,IF(E63=2,E63*$O63*$Q63/1000," "))</f>
        <v xml:space="preserve"> </v>
      </c>
      <c r="AD63" s="2" t="str">
        <f t="shared" ref="AD63" si="1760">IF(F63=1,F63*$O63*$P63/1000,IF(F63=2,F63*$O63*$P63/1000," "))</f>
        <v xml:space="preserve"> </v>
      </c>
      <c r="AE63" s="2" t="str">
        <f t="shared" ref="AE63" si="1761">IF(G63=1,G63*$O63*$P63/1000,IF(G63=2,G63*$O63*$P63/1000," "))</f>
        <v xml:space="preserve"> </v>
      </c>
      <c r="AF63" s="2" t="str">
        <f t="shared" ref="AF63" si="1762">IF(H63=1,H63*$O63*$Q63/1000,IF(H63=2,H63*$O63*$Q63/1000," "))</f>
        <v xml:space="preserve"> </v>
      </c>
      <c r="AG63" s="2" t="str">
        <f t="shared" ref="AG63" si="1763">IF(I63=1,I63*$O63*$P63/1000,IF(I63=2,I63*$O63*$P63/1000," "))</f>
        <v xml:space="preserve"> </v>
      </c>
      <c r="AH63" s="2" t="str">
        <f t="shared" ref="AH63" si="1764">IF(J63=1,J63*$O63*$P63/1000,IF(J63=2,J63*$O63*$P63/1000," "))</f>
        <v xml:space="preserve"> </v>
      </c>
      <c r="AI63" s="2" t="str">
        <f t="shared" ref="AI63" si="1765">IF(K63=1,K63*$O63*$Q63/1000,IF(K63=2,K63*$O63*$Q63/1000," "))</f>
        <v xml:space="preserve"> </v>
      </c>
      <c r="AJ63" s="2" t="str">
        <f t="shared" ref="AJ63" si="1766">IF(L63=1,L63*$O63*$P63/1000,IF(L63=2,L63*$O63*$P63/1000," "))</f>
        <v xml:space="preserve"> </v>
      </c>
      <c r="AK63" s="2" t="str">
        <f t="shared" ref="AK63" si="1767">IF(M63=1,M63*$O63*$P63/1000,IF(M63=2,M63*$O63*$P63/1000," "))</f>
        <v xml:space="preserve"> </v>
      </c>
      <c r="AL63" s="2" t="str">
        <f t="shared" ref="AL63" si="1768">IF(N63=1,N63*$O63*$Q63/1000,IF(N63=2,N63*$O63*$Q63/1000," "))</f>
        <v xml:space="preserve"> </v>
      </c>
      <c r="AM63" s="23">
        <f t="shared" ref="AM63" si="1769">SUM(AN63:BG63)*R63</f>
        <v>0</v>
      </c>
      <c r="AN63" s="8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11"/>
      <c r="BH63" s="1">
        <f t="shared" ref="BH63" si="1770">SUM(BI63:CB63)*R63</f>
        <v>0</v>
      </c>
      <c r="BI63" s="8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11"/>
      <c r="CC63" s="1">
        <f t="shared" ref="CC63" si="1771">SUM(CD63:CW63)*R63</f>
        <v>0</v>
      </c>
      <c r="CD63" s="8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11"/>
      <c r="CX63" s="10">
        <f t="shared" ref="CX63" si="1772">SUM(CY63:DR63)*R63</f>
        <v>0</v>
      </c>
      <c r="CY63" s="8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11"/>
      <c r="DS63" s="10">
        <f t="shared" ref="DS63" si="1773">SUM(DT63:EM63)*R63</f>
        <v>0</v>
      </c>
      <c r="DT63" s="8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11"/>
      <c r="EN63" s="10">
        <f t="shared" ref="EN63" si="1774">SUM(EO63:FH63)*R63</f>
        <v>0</v>
      </c>
      <c r="EO63" s="8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11"/>
      <c r="FI63" s="10">
        <f t="shared" ref="FI63" si="1775">SUM(FJ63:GC63)*R63</f>
        <v>0</v>
      </c>
      <c r="FJ63" s="8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11"/>
      <c r="GD63" s="10">
        <f t="shared" ref="GD63" si="1776">SUM(GE63:GX63)*R63</f>
        <v>0</v>
      </c>
      <c r="GE63" s="8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11"/>
      <c r="GY63" s="10">
        <f t="shared" ref="GY63" si="1777">SUM(GZ63:IZ63)*R63</f>
        <v>0</v>
      </c>
      <c r="GZ63" s="8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11"/>
    </row>
    <row r="64" spans="1:260" ht="14.25" customHeight="1" x14ac:dyDescent="0.3">
      <c r="A64" s="63"/>
      <c r="B64" s="61"/>
      <c r="C64" s="62"/>
      <c r="D64" s="62"/>
      <c r="E64" s="5"/>
      <c r="F64" s="5"/>
      <c r="G64" s="5"/>
      <c r="H64" s="5"/>
      <c r="I64" s="5"/>
      <c r="J64" s="5"/>
      <c r="K64" s="5"/>
      <c r="L64" s="5"/>
      <c r="M64" s="5"/>
      <c r="N64" s="5"/>
      <c r="O64" s="3">
        <f t="shared" ref="O64" si="1778">SUM(AN64:BG64,BI64:CB64,CD64:CW64,CY64:DR64,DT64:EM64,EO64:FH64,FJ64:GC64,GE64:GX64,GZ64:IZ64)</f>
        <v>0</v>
      </c>
      <c r="P64" s="7"/>
      <c r="Q64" s="7"/>
      <c r="R64" s="2">
        <f t="shared" ref="R64" si="1779">P64*Q64/1000000</f>
        <v>0</v>
      </c>
      <c r="S64" s="27">
        <f t="shared" ref="S64" si="1780">AM64</f>
        <v>0</v>
      </c>
      <c r="T64" s="27">
        <f t="shared" ref="T64" si="1781">BH64</f>
        <v>0</v>
      </c>
      <c r="U64" s="27">
        <f t="shared" ref="U64" si="1782">CC64</f>
        <v>0</v>
      </c>
      <c r="V64" s="27">
        <f t="shared" ref="V64" si="1783">CX64</f>
        <v>0</v>
      </c>
      <c r="W64" s="27">
        <f t="shared" ref="W64" si="1784">DS64</f>
        <v>0</v>
      </c>
      <c r="X64" s="27">
        <f t="shared" ref="X64" si="1785">EN64</f>
        <v>0</v>
      </c>
      <c r="Y64" s="27">
        <f t="shared" ref="Y64" si="1786">FI64</f>
        <v>0</v>
      </c>
      <c r="Z64" s="27">
        <f t="shared" ref="Z64" si="1787">GD64</f>
        <v>0</v>
      </c>
      <c r="AA64" s="27">
        <f t="shared" ref="AA64" si="1788">GY64</f>
        <v>0</v>
      </c>
      <c r="AB64" s="4">
        <f t="shared" ref="AB64" si="1789">P64*Q64*O64/1000000</f>
        <v>0</v>
      </c>
      <c r="AC64" s="2" t="str">
        <f t="shared" ref="AC64" si="1790">IF(E64=1,E64*$O64*$Q64/1000,IF(E64=2,E64*$O64*$Q64/1000," "))</f>
        <v xml:space="preserve"> </v>
      </c>
      <c r="AD64" s="2" t="str">
        <f t="shared" ref="AD64" si="1791">IF(F64=1,F64*$O64*$P64/1000,IF(F64=2,F64*$O64*$P64/1000," "))</f>
        <v xml:space="preserve"> </v>
      </c>
      <c r="AE64" s="2" t="str">
        <f t="shared" ref="AE64" si="1792">IF(G64=1,G64*$O64*$P64/1000,IF(G64=2,G64*$O64*$P64/1000," "))</f>
        <v xml:space="preserve"> </v>
      </c>
      <c r="AF64" s="2" t="str">
        <f t="shared" ref="AF64" si="1793">IF(H64=1,H64*$O64*$Q64/1000,IF(H64=2,H64*$O64*$Q64/1000," "))</f>
        <v xml:space="preserve"> </v>
      </c>
      <c r="AG64" s="2" t="str">
        <f t="shared" ref="AG64" si="1794">IF(I64=1,I64*$O64*$P64/1000,IF(I64=2,I64*$O64*$P64/1000," "))</f>
        <v xml:space="preserve"> </v>
      </c>
      <c r="AH64" s="2" t="str">
        <f t="shared" ref="AH64" si="1795">IF(J64=1,J64*$O64*$P64/1000,IF(J64=2,J64*$O64*$P64/1000," "))</f>
        <v xml:space="preserve"> </v>
      </c>
      <c r="AI64" s="2" t="str">
        <f t="shared" ref="AI64" si="1796">IF(K64=1,K64*$O64*$Q64/1000,IF(K64=2,K64*$O64*$Q64/1000," "))</f>
        <v xml:space="preserve"> </v>
      </c>
      <c r="AJ64" s="2" t="str">
        <f t="shared" ref="AJ64" si="1797">IF(L64=1,L64*$O64*$P64/1000,IF(L64=2,L64*$O64*$P64/1000," "))</f>
        <v xml:space="preserve"> </v>
      </c>
      <c r="AK64" s="2" t="str">
        <f t="shared" ref="AK64" si="1798">IF(M64=1,M64*$O64*$P64/1000,IF(M64=2,M64*$O64*$P64/1000," "))</f>
        <v xml:space="preserve"> </v>
      </c>
      <c r="AL64" s="2" t="str">
        <f t="shared" ref="AL64" si="1799">IF(N64=1,N64*$O64*$Q64/1000,IF(N64=2,N64*$O64*$Q64/1000," "))</f>
        <v xml:space="preserve"> </v>
      </c>
      <c r="AM64" s="23">
        <f t="shared" ref="AM64" si="1800">SUM(AN64:BG64)*R64</f>
        <v>0</v>
      </c>
      <c r="AN64" s="8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11"/>
      <c r="BH64" s="1">
        <f t="shared" ref="BH64" si="1801">SUM(BI64:CB64)*R64</f>
        <v>0</v>
      </c>
      <c r="BI64" s="8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11"/>
      <c r="CC64" s="1">
        <f t="shared" ref="CC64" si="1802">SUM(CD64:CW64)*R64</f>
        <v>0</v>
      </c>
      <c r="CD64" s="8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11"/>
      <c r="CX64" s="10">
        <f t="shared" ref="CX64" si="1803">SUM(CY64:DR64)*R64</f>
        <v>0</v>
      </c>
      <c r="CY64" s="8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11"/>
      <c r="DS64" s="10">
        <f t="shared" ref="DS64" si="1804">SUM(DT64:EM64)*R64</f>
        <v>0</v>
      </c>
      <c r="DT64" s="8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11"/>
      <c r="EN64" s="10">
        <f t="shared" ref="EN64" si="1805">SUM(EO64:FH64)*R64</f>
        <v>0</v>
      </c>
      <c r="EO64" s="8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11"/>
      <c r="FI64" s="10">
        <f t="shared" ref="FI64" si="1806">SUM(FJ64:GC64)*R64</f>
        <v>0</v>
      </c>
      <c r="FJ64" s="8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11"/>
      <c r="GD64" s="10">
        <f t="shared" ref="GD64" si="1807">SUM(GE64:GX64)*R64</f>
        <v>0</v>
      </c>
      <c r="GE64" s="8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11"/>
      <c r="GY64" s="10">
        <f t="shared" ref="GY64" si="1808">SUM(GZ64:IZ64)*R64</f>
        <v>0</v>
      </c>
      <c r="GZ64" s="8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11"/>
    </row>
    <row r="65" spans="1:260" ht="14.25" customHeight="1" x14ac:dyDescent="0.3">
      <c r="A65" s="63"/>
      <c r="B65" s="61"/>
      <c r="C65" s="62"/>
      <c r="D65" s="62"/>
      <c r="E65" s="5"/>
      <c r="F65" s="5"/>
      <c r="G65" s="5"/>
      <c r="H65" s="5"/>
      <c r="I65" s="5"/>
      <c r="J65" s="5"/>
      <c r="K65" s="5"/>
      <c r="L65" s="5"/>
      <c r="M65" s="5"/>
      <c r="N65" s="5"/>
      <c r="O65" s="3">
        <f t="shared" ref="O65" si="1809">SUM(AN65:BG65,BI65:CB65,CD65:CW65,CY65:DR65,DT65:EM65,EO65:FH65,FJ65:GC65,GE65:GX65,GZ65:IZ65)</f>
        <v>0</v>
      </c>
      <c r="P65" s="7"/>
      <c r="Q65" s="7"/>
      <c r="R65" s="2">
        <f t="shared" ref="R65" si="1810">P65*Q65/1000000</f>
        <v>0</v>
      </c>
      <c r="S65" s="27">
        <f t="shared" ref="S65" si="1811">AM65</f>
        <v>0</v>
      </c>
      <c r="T65" s="27">
        <f t="shared" ref="T65" si="1812">BH65</f>
        <v>0</v>
      </c>
      <c r="U65" s="27">
        <f t="shared" ref="U65" si="1813">CC65</f>
        <v>0</v>
      </c>
      <c r="V65" s="27">
        <f t="shared" ref="V65" si="1814">CX65</f>
        <v>0</v>
      </c>
      <c r="W65" s="27">
        <f t="shared" ref="W65" si="1815">DS65</f>
        <v>0</v>
      </c>
      <c r="X65" s="27">
        <f t="shared" ref="X65" si="1816">EN65</f>
        <v>0</v>
      </c>
      <c r="Y65" s="27">
        <f t="shared" ref="Y65" si="1817">FI65</f>
        <v>0</v>
      </c>
      <c r="Z65" s="27">
        <f t="shared" ref="Z65" si="1818">GD65</f>
        <v>0</v>
      </c>
      <c r="AA65" s="27">
        <f t="shared" ref="AA65" si="1819">GY65</f>
        <v>0</v>
      </c>
      <c r="AB65" s="4">
        <f t="shared" ref="AB65" si="1820">P65*Q65*O65/1000000</f>
        <v>0</v>
      </c>
      <c r="AC65" s="2" t="str">
        <f t="shared" ref="AC65" si="1821">IF(E65=1,E65*$O65*$Q65/1000,IF(E65=2,E65*$O65*$Q65/1000," "))</f>
        <v xml:space="preserve"> </v>
      </c>
      <c r="AD65" s="2" t="str">
        <f t="shared" ref="AD65" si="1822">IF(F65=1,F65*$O65*$P65/1000,IF(F65=2,F65*$O65*$P65/1000," "))</f>
        <v xml:space="preserve"> </v>
      </c>
      <c r="AE65" s="2" t="str">
        <f t="shared" ref="AE65" si="1823">IF(G65=1,G65*$O65*$P65/1000,IF(G65=2,G65*$O65*$P65/1000," "))</f>
        <v xml:space="preserve"> </v>
      </c>
      <c r="AF65" s="2" t="str">
        <f t="shared" ref="AF65" si="1824">IF(H65=1,H65*$O65*$Q65/1000,IF(H65=2,H65*$O65*$Q65/1000," "))</f>
        <v xml:space="preserve"> </v>
      </c>
      <c r="AG65" s="2" t="str">
        <f t="shared" ref="AG65" si="1825">IF(I65=1,I65*$O65*$P65/1000,IF(I65=2,I65*$O65*$P65/1000," "))</f>
        <v xml:space="preserve"> </v>
      </c>
      <c r="AH65" s="2" t="str">
        <f t="shared" ref="AH65" si="1826">IF(J65=1,J65*$O65*$P65/1000,IF(J65=2,J65*$O65*$P65/1000," "))</f>
        <v xml:space="preserve"> </v>
      </c>
      <c r="AI65" s="2" t="str">
        <f t="shared" ref="AI65" si="1827">IF(K65=1,K65*$O65*$Q65/1000,IF(K65=2,K65*$O65*$Q65/1000," "))</f>
        <v xml:space="preserve"> </v>
      </c>
      <c r="AJ65" s="2" t="str">
        <f t="shared" ref="AJ65" si="1828">IF(L65=1,L65*$O65*$P65/1000,IF(L65=2,L65*$O65*$P65/1000," "))</f>
        <v xml:space="preserve"> </v>
      </c>
      <c r="AK65" s="2" t="str">
        <f t="shared" ref="AK65" si="1829">IF(M65=1,M65*$O65*$P65/1000,IF(M65=2,M65*$O65*$P65/1000," "))</f>
        <v xml:space="preserve"> </v>
      </c>
      <c r="AL65" s="2" t="str">
        <f t="shared" ref="AL65" si="1830">IF(N65=1,N65*$O65*$Q65/1000,IF(N65=2,N65*$O65*$Q65/1000," "))</f>
        <v xml:space="preserve"> </v>
      </c>
      <c r="AM65" s="23">
        <f t="shared" ref="AM65" si="1831">SUM(AN65:BG65)*R65</f>
        <v>0</v>
      </c>
      <c r="AN65" s="8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11"/>
      <c r="BH65" s="1">
        <f t="shared" ref="BH65" si="1832">SUM(BI65:CB65)*R65</f>
        <v>0</v>
      </c>
      <c r="BI65" s="8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11"/>
      <c r="CC65" s="1">
        <f t="shared" ref="CC65" si="1833">SUM(CD65:CW65)*R65</f>
        <v>0</v>
      </c>
      <c r="CD65" s="8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11"/>
      <c r="CX65" s="10">
        <f t="shared" ref="CX65" si="1834">SUM(CY65:DR65)*R65</f>
        <v>0</v>
      </c>
      <c r="CY65" s="8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11"/>
      <c r="DS65" s="10">
        <f t="shared" ref="DS65" si="1835">SUM(DT65:EM65)*R65</f>
        <v>0</v>
      </c>
      <c r="DT65" s="8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11"/>
      <c r="EN65" s="10">
        <f t="shared" ref="EN65" si="1836">SUM(EO65:FH65)*R65</f>
        <v>0</v>
      </c>
      <c r="EO65" s="8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11"/>
      <c r="FI65" s="10">
        <f t="shared" ref="FI65" si="1837">SUM(FJ65:GC65)*R65</f>
        <v>0</v>
      </c>
      <c r="FJ65" s="8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11"/>
      <c r="GD65" s="10">
        <f t="shared" ref="GD65" si="1838">SUM(GE65:GX65)*R65</f>
        <v>0</v>
      </c>
      <c r="GE65" s="8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11"/>
      <c r="GY65" s="10">
        <f t="shared" ref="GY65" si="1839">SUM(GZ65:IZ65)*R65</f>
        <v>0</v>
      </c>
      <c r="GZ65" s="8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11"/>
    </row>
    <row r="66" spans="1:260" ht="14.25" customHeight="1" x14ac:dyDescent="0.3">
      <c r="A66" s="63"/>
      <c r="B66" s="61"/>
      <c r="C66" s="62"/>
      <c r="D66" s="62"/>
      <c r="E66" s="5"/>
      <c r="F66" s="5"/>
      <c r="G66" s="5"/>
      <c r="H66" s="5"/>
      <c r="I66" s="5"/>
      <c r="J66" s="5"/>
      <c r="K66" s="5"/>
      <c r="L66" s="5"/>
      <c r="M66" s="5"/>
      <c r="N66" s="5"/>
      <c r="O66" s="3">
        <f t="shared" ref="O66" si="1840">SUM(AN66:BG66,BI66:CB66,CD66:CW66,CY66:DR66,DT66:EM66,EO66:FH66,FJ66:GC66,GE66:GX66,GZ66:IZ66)</f>
        <v>0</v>
      </c>
      <c r="P66" s="7"/>
      <c r="Q66" s="7"/>
      <c r="R66" s="2">
        <f t="shared" ref="R66" si="1841">P66*Q66/1000000</f>
        <v>0</v>
      </c>
      <c r="S66" s="27">
        <f t="shared" ref="S66" si="1842">AM66</f>
        <v>0</v>
      </c>
      <c r="T66" s="27">
        <f t="shared" ref="T66" si="1843">BH66</f>
        <v>0</v>
      </c>
      <c r="U66" s="27">
        <f t="shared" ref="U66" si="1844">CC66</f>
        <v>0</v>
      </c>
      <c r="V66" s="27">
        <f t="shared" ref="V66" si="1845">CX66</f>
        <v>0</v>
      </c>
      <c r="W66" s="27">
        <f t="shared" ref="W66" si="1846">DS66</f>
        <v>0</v>
      </c>
      <c r="X66" s="27">
        <f t="shared" ref="X66" si="1847">EN66</f>
        <v>0</v>
      </c>
      <c r="Y66" s="27">
        <f t="shared" ref="Y66" si="1848">FI66</f>
        <v>0</v>
      </c>
      <c r="Z66" s="27">
        <f t="shared" ref="Z66" si="1849">GD66</f>
        <v>0</v>
      </c>
      <c r="AA66" s="27">
        <f t="shared" ref="AA66" si="1850">GY66</f>
        <v>0</v>
      </c>
      <c r="AB66" s="4">
        <f t="shared" ref="AB66" si="1851">P66*Q66*O66/1000000</f>
        <v>0</v>
      </c>
      <c r="AC66" s="2" t="str">
        <f t="shared" ref="AC66" si="1852">IF(E66=1,E66*$O66*$Q66/1000,IF(E66=2,E66*$O66*$Q66/1000," "))</f>
        <v xml:space="preserve"> </v>
      </c>
      <c r="AD66" s="2" t="str">
        <f t="shared" ref="AD66" si="1853">IF(F66=1,F66*$O66*$P66/1000,IF(F66=2,F66*$O66*$P66/1000," "))</f>
        <v xml:space="preserve"> </v>
      </c>
      <c r="AE66" s="2" t="str">
        <f t="shared" ref="AE66" si="1854">IF(G66=1,G66*$O66*$P66/1000,IF(G66=2,G66*$O66*$P66/1000," "))</f>
        <v xml:space="preserve"> </v>
      </c>
      <c r="AF66" s="2" t="str">
        <f t="shared" ref="AF66" si="1855">IF(H66=1,H66*$O66*$Q66/1000,IF(H66=2,H66*$O66*$Q66/1000," "))</f>
        <v xml:space="preserve"> </v>
      </c>
      <c r="AG66" s="2" t="str">
        <f t="shared" ref="AG66" si="1856">IF(I66=1,I66*$O66*$P66/1000,IF(I66=2,I66*$O66*$P66/1000," "))</f>
        <v xml:space="preserve"> </v>
      </c>
      <c r="AH66" s="2" t="str">
        <f t="shared" ref="AH66" si="1857">IF(J66=1,J66*$O66*$P66/1000,IF(J66=2,J66*$O66*$P66/1000," "))</f>
        <v xml:space="preserve"> </v>
      </c>
      <c r="AI66" s="2" t="str">
        <f t="shared" ref="AI66" si="1858">IF(K66=1,K66*$O66*$Q66/1000,IF(K66=2,K66*$O66*$Q66/1000," "))</f>
        <v xml:space="preserve"> </v>
      </c>
      <c r="AJ66" s="2" t="str">
        <f t="shared" ref="AJ66" si="1859">IF(L66=1,L66*$O66*$P66/1000,IF(L66=2,L66*$O66*$P66/1000," "))</f>
        <v xml:space="preserve"> </v>
      </c>
      <c r="AK66" s="2" t="str">
        <f t="shared" ref="AK66" si="1860">IF(M66=1,M66*$O66*$P66/1000,IF(M66=2,M66*$O66*$P66/1000," "))</f>
        <v xml:space="preserve"> </v>
      </c>
      <c r="AL66" s="2" t="str">
        <f t="shared" ref="AL66" si="1861">IF(N66=1,N66*$O66*$Q66/1000,IF(N66=2,N66*$O66*$Q66/1000," "))</f>
        <v xml:space="preserve"> </v>
      </c>
      <c r="AM66" s="23">
        <f t="shared" ref="AM66" si="1862">SUM(AN66:BG66)*R66</f>
        <v>0</v>
      </c>
      <c r="AN66" s="8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11"/>
      <c r="BH66" s="1">
        <f t="shared" ref="BH66" si="1863">SUM(BI66:CB66)*R66</f>
        <v>0</v>
      </c>
      <c r="BI66" s="8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11"/>
      <c r="CC66" s="1">
        <f t="shared" ref="CC66" si="1864">SUM(CD66:CW66)*R66</f>
        <v>0</v>
      </c>
      <c r="CD66" s="8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11"/>
      <c r="CX66" s="10">
        <f t="shared" ref="CX66" si="1865">SUM(CY66:DR66)*R66</f>
        <v>0</v>
      </c>
      <c r="CY66" s="8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11"/>
      <c r="DS66" s="10">
        <f t="shared" ref="DS66" si="1866">SUM(DT66:EM66)*R66</f>
        <v>0</v>
      </c>
      <c r="DT66" s="8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11"/>
      <c r="EN66" s="10">
        <f t="shared" ref="EN66" si="1867">SUM(EO66:FH66)*R66</f>
        <v>0</v>
      </c>
      <c r="EO66" s="8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11"/>
      <c r="FI66" s="10">
        <f t="shared" ref="FI66" si="1868">SUM(FJ66:GC66)*R66</f>
        <v>0</v>
      </c>
      <c r="FJ66" s="8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11"/>
      <c r="GD66" s="10">
        <f t="shared" ref="GD66" si="1869">SUM(GE66:GX66)*R66</f>
        <v>0</v>
      </c>
      <c r="GE66" s="8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11"/>
      <c r="GY66" s="10">
        <f t="shared" ref="GY66" si="1870">SUM(GZ66:IZ66)*R66</f>
        <v>0</v>
      </c>
      <c r="GZ66" s="8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11"/>
    </row>
    <row r="67" spans="1:260" ht="14.25" customHeight="1" x14ac:dyDescent="0.3">
      <c r="A67" s="63"/>
      <c r="B67" s="61"/>
      <c r="C67" s="62"/>
      <c r="D67" s="62"/>
      <c r="E67" s="5"/>
      <c r="F67" s="5"/>
      <c r="G67" s="5"/>
      <c r="H67" s="5"/>
      <c r="I67" s="5"/>
      <c r="J67" s="5"/>
      <c r="K67" s="5"/>
      <c r="L67" s="5"/>
      <c r="M67" s="5"/>
      <c r="N67" s="5"/>
      <c r="O67" s="3">
        <f t="shared" ref="O67" si="1871">SUM(AN67:BG67,BI67:CB67,CD67:CW67,CY67:DR67,DT67:EM67,EO67:FH67,FJ67:GC67,GE67:GX67,GZ67:IZ67)</f>
        <v>0</v>
      </c>
      <c r="P67" s="7"/>
      <c r="Q67" s="7"/>
      <c r="R67" s="2">
        <f t="shared" ref="R67" si="1872">P67*Q67/1000000</f>
        <v>0</v>
      </c>
      <c r="S67" s="27">
        <f t="shared" ref="S67" si="1873">AM67</f>
        <v>0</v>
      </c>
      <c r="T67" s="27">
        <f t="shared" ref="T67" si="1874">BH67</f>
        <v>0</v>
      </c>
      <c r="U67" s="27">
        <f t="shared" ref="U67" si="1875">CC67</f>
        <v>0</v>
      </c>
      <c r="V67" s="27">
        <f t="shared" ref="V67" si="1876">CX67</f>
        <v>0</v>
      </c>
      <c r="W67" s="27">
        <f t="shared" ref="W67" si="1877">DS67</f>
        <v>0</v>
      </c>
      <c r="X67" s="27">
        <f t="shared" ref="X67" si="1878">EN67</f>
        <v>0</v>
      </c>
      <c r="Y67" s="27">
        <f t="shared" ref="Y67" si="1879">FI67</f>
        <v>0</v>
      </c>
      <c r="Z67" s="27">
        <f t="shared" ref="Z67" si="1880">GD67</f>
        <v>0</v>
      </c>
      <c r="AA67" s="27">
        <f t="shared" ref="AA67" si="1881">GY67</f>
        <v>0</v>
      </c>
      <c r="AB67" s="4">
        <f t="shared" ref="AB67" si="1882">P67*Q67*O67/1000000</f>
        <v>0</v>
      </c>
      <c r="AC67" s="2" t="str">
        <f t="shared" ref="AC67" si="1883">IF(E67=1,E67*$O67*$Q67/1000,IF(E67=2,E67*$O67*$Q67/1000," "))</f>
        <v xml:space="preserve"> </v>
      </c>
      <c r="AD67" s="2" t="str">
        <f t="shared" ref="AD67" si="1884">IF(F67=1,F67*$O67*$P67/1000,IF(F67=2,F67*$O67*$P67/1000," "))</f>
        <v xml:space="preserve"> </v>
      </c>
      <c r="AE67" s="2" t="str">
        <f t="shared" ref="AE67" si="1885">IF(G67=1,G67*$O67*$P67/1000,IF(G67=2,G67*$O67*$P67/1000," "))</f>
        <v xml:space="preserve"> </v>
      </c>
      <c r="AF67" s="2" t="str">
        <f t="shared" ref="AF67" si="1886">IF(H67=1,H67*$O67*$Q67/1000,IF(H67=2,H67*$O67*$Q67/1000," "))</f>
        <v xml:space="preserve"> </v>
      </c>
      <c r="AG67" s="2" t="str">
        <f t="shared" ref="AG67" si="1887">IF(I67=1,I67*$O67*$P67/1000,IF(I67=2,I67*$O67*$P67/1000," "))</f>
        <v xml:space="preserve"> </v>
      </c>
      <c r="AH67" s="2" t="str">
        <f t="shared" ref="AH67" si="1888">IF(J67=1,J67*$O67*$P67/1000,IF(J67=2,J67*$O67*$P67/1000," "))</f>
        <v xml:space="preserve"> </v>
      </c>
      <c r="AI67" s="2" t="str">
        <f t="shared" ref="AI67" si="1889">IF(K67=1,K67*$O67*$Q67/1000,IF(K67=2,K67*$O67*$Q67/1000," "))</f>
        <v xml:space="preserve"> </v>
      </c>
      <c r="AJ67" s="2" t="str">
        <f t="shared" ref="AJ67" si="1890">IF(L67=1,L67*$O67*$P67/1000,IF(L67=2,L67*$O67*$P67/1000," "))</f>
        <v xml:space="preserve"> </v>
      </c>
      <c r="AK67" s="2" t="str">
        <f t="shared" ref="AK67" si="1891">IF(M67=1,M67*$O67*$P67/1000,IF(M67=2,M67*$O67*$P67/1000," "))</f>
        <v xml:space="preserve"> </v>
      </c>
      <c r="AL67" s="2" t="str">
        <f t="shared" ref="AL67" si="1892">IF(N67=1,N67*$O67*$Q67/1000,IF(N67=2,N67*$O67*$Q67/1000," "))</f>
        <v xml:space="preserve"> </v>
      </c>
      <c r="AM67" s="23">
        <f t="shared" ref="AM67" si="1893">SUM(AN67:BG67)*R67</f>
        <v>0</v>
      </c>
      <c r="AN67" s="8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11"/>
      <c r="BH67" s="1">
        <f t="shared" ref="BH67" si="1894">SUM(BI67:CB67)*R67</f>
        <v>0</v>
      </c>
      <c r="BI67" s="8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11"/>
      <c r="CC67" s="1">
        <f t="shared" ref="CC67" si="1895">SUM(CD67:CW67)*R67</f>
        <v>0</v>
      </c>
      <c r="CD67" s="8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11"/>
      <c r="CX67" s="10">
        <f t="shared" ref="CX67" si="1896">SUM(CY67:DR67)*R67</f>
        <v>0</v>
      </c>
      <c r="CY67" s="8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11"/>
      <c r="DS67" s="10">
        <f t="shared" ref="DS67" si="1897">SUM(DT67:EM67)*R67</f>
        <v>0</v>
      </c>
      <c r="DT67" s="8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11"/>
      <c r="EN67" s="10">
        <f t="shared" ref="EN67" si="1898">SUM(EO67:FH67)*R67</f>
        <v>0</v>
      </c>
      <c r="EO67" s="8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11"/>
      <c r="FI67" s="10">
        <f t="shared" ref="FI67" si="1899">SUM(FJ67:GC67)*R67</f>
        <v>0</v>
      </c>
      <c r="FJ67" s="8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11"/>
      <c r="GD67" s="10">
        <f t="shared" ref="GD67" si="1900">SUM(GE67:GX67)*R67</f>
        <v>0</v>
      </c>
      <c r="GE67" s="8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11"/>
      <c r="GY67" s="10">
        <f t="shared" ref="GY67" si="1901">SUM(GZ67:IZ67)*R67</f>
        <v>0</v>
      </c>
      <c r="GZ67" s="8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11"/>
    </row>
    <row r="68" spans="1:260" ht="14.25" customHeight="1" x14ac:dyDescent="0.3">
      <c r="A68" s="63"/>
      <c r="B68" s="61"/>
      <c r="C68" s="62"/>
      <c r="D68" s="62"/>
      <c r="E68" s="5"/>
      <c r="F68" s="5"/>
      <c r="G68" s="5"/>
      <c r="H68" s="5"/>
      <c r="I68" s="5"/>
      <c r="J68" s="5"/>
      <c r="K68" s="5"/>
      <c r="L68" s="5"/>
      <c r="M68" s="5"/>
      <c r="N68" s="5"/>
      <c r="O68" s="3">
        <f t="shared" ref="O68" si="1902">SUM(AN68:BG68,BI68:CB68,CD68:CW68,CY68:DR68,DT68:EM68,EO68:FH68,FJ68:GC68,GE68:GX68,GZ68:IZ68)</f>
        <v>0</v>
      </c>
      <c r="P68" s="7"/>
      <c r="Q68" s="7"/>
      <c r="R68" s="2">
        <f t="shared" ref="R68" si="1903">P68*Q68/1000000</f>
        <v>0</v>
      </c>
      <c r="S68" s="27">
        <f t="shared" ref="S68" si="1904">AM68</f>
        <v>0</v>
      </c>
      <c r="T68" s="27">
        <f t="shared" ref="T68" si="1905">BH68</f>
        <v>0</v>
      </c>
      <c r="U68" s="27">
        <f t="shared" ref="U68" si="1906">CC68</f>
        <v>0</v>
      </c>
      <c r="V68" s="27">
        <f t="shared" ref="V68" si="1907">CX68</f>
        <v>0</v>
      </c>
      <c r="W68" s="27">
        <f t="shared" ref="W68" si="1908">DS68</f>
        <v>0</v>
      </c>
      <c r="X68" s="27">
        <f t="shared" ref="X68" si="1909">EN68</f>
        <v>0</v>
      </c>
      <c r="Y68" s="27">
        <f t="shared" ref="Y68" si="1910">FI68</f>
        <v>0</v>
      </c>
      <c r="Z68" s="27">
        <f t="shared" ref="Z68" si="1911">GD68</f>
        <v>0</v>
      </c>
      <c r="AA68" s="27">
        <f t="shared" ref="AA68" si="1912">GY68</f>
        <v>0</v>
      </c>
      <c r="AB68" s="4">
        <f t="shared" ref="AB68" si="1913">P68*Q68*O68/1000000</f>
        <v>0</v>
      </c>
      <c r="AC68" s="2" t="str">
        <f t="shared" ref="AC68" si="1914">IF(E68=1,E68*$O68*$Q68/1000,IF(E68=2,E68*$O68*$Q68/1000," "))</f>
        <v xml:space="preserve"> </v>
      </c>
      <c r="AD68" s="2" t="str">
        <f t="shared" ref="AD68" si="1915">IF(F68=1,F68*$O68*$P68/1000,IF(F68=2,F68*$O68*$P68/1000," "))</f>
        <v xml:space="preserve"> </v>
      </c>
      <c r="AE68" s="2" t="str">
        <f t="shared" ref="AE68" si="1916">IF(G68=1,G68*$O68*$P68/1000,IF(G68=2,G68*$O68*$P68/1000," "))</f>
        <v xml:space="preserve"> </v>
      </c>
      <c r="AF68" s="2" t="str">
        <f t="shared" ref="AF68" si="1917">IF(H68=1,H68*$O68*$Q68/1000,IF(H68=2,H68*$O68*$Q68/1000," "))</f>
        <v xml:space="preserve"> </v>
      </c>
      <c r="AG68" s="2" t="str">
        <f t="shared" ref="AG68" si="1918">IF(I68=1,I68*$O68*$P68/1000,IF(I68=2,I68*$O68*$P68/1000," "))</f>
        <v xml:space="preserve"> </v>
      </c>
      <c r="AH68" s="2" t="str">
        <f t="shared" ref="AH68" si="1919">IF(J68=1,J68*$O68*$P68/1000,IF(J68=2,J68*$O68*$P68/1000," "))</f>
        <v xml:space="preserve"> </v>
      </c>
      <c r="AI68" s="2" t="str">
        <f t="shared" ref="AI68" si="1920">IF(K68=1,K68*$O68*$Q68/1000,IF(K68=2,K68*$O68*$Q68/1000," "))</f>
        <v xml:space="preserve"> </v>
      </c>
      <c r="AJ68" s="2" t="str">
        <f t="shared" ref="AJ68" si="1921">IF(L68=1,L68*$O68*$P68/1000,IF(L68=2,L68*$O68*$P68/1000," "))</f>
        <v xml:space="preserve"> </v>
      </c>
      <c r="AK68" s="2" t="str">
        <f t="shared" ref="AK68" si="1922">IF(M68=1,M68*$O68*$P68/1000,IF(M68=2,M68*$O68*$P68/1000," "))</f>
        <v xml:space="preserve"> </v>
      </c>
      <c r="AL68" s="2" t="str">
        <f t="shared" ref="AL68" si="1923">IF(N68=1,N68*$O68*$Q68/1000,IF(N68=2,N68*$O68*$Q68/1000," "))</f>
        <v xml:space="preserve"> </v>
      </c>
      <c r="AM68" s="23">
        <f t="shared" ref="AM68" si="1924">SUM(AN68:BG68)*R68</f>
        <v>0</v>
      </c>
      <c r="AN68" s="8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11"/>
      <c r="BH68" s="1">
        <f t="shared" ref="BH68" si="1925">SUM(BI68:CB68)*R68</f>
        <v>0</v>
      </c>
      <c r="BI68" s="8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11"/>
      <c r="CC68" s="1">
        <f t="shared" ref="CC68" si="1926">SUM(CD68:CW68)*R68</f>
        <v>0</v>
      </c>
      <c r="CD68" s="8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11"/>
      <c r="CX68" s="10">
        <f t="shared" ref="CX68" si="1927">SUM(CY68:DR68)*R68</f>
        <v>0</v>
      </c>
      <c r="CY68" s="8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11"/>
      <c r="DS68" s="10">
        <f t="shared" ref="DS68" si="1928">SUM(DT68:EM68)*R68</f>
        <v>0</v>
      </c>
      <c r="DT68" s="8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11"/>
      <c r="EN68" s="10">
        <f t="shared" ref="EN68" si="1929">SUM(EO68:FH68)*R68</f>
        <v>0</v>
      </c>
      <c r="EO68" s="8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11"/>
      <c r="FI68" s="10">
        <f t="shared" ref="FI68" si="1930">SUM(FJ68:GC68)*R68</f>
        <v>0</v>
      </c>
      <c r="FJ68" s="8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11"/>
      <c r="GD68" s="10">
        <f t="shared" ref="GD68" si="1931">SUM(GE68:GX68)*R68</f>
        <v>0</v>
      </c>
      <c r="GE68" s="8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11"/>
      <c r="GY68" s="10">
        <f t="shared" ref="GY68" si="1932">SUM(GZ68:IZ68)*R68</f>
        <v>0</v>
      </c>
      <c r="GZ68" s="8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11"/>
    </row>
    <row r="69" spans="1:260" ht="14.25" customHeight="1" x14ac:dyDescent="0.3">
      <c r="A69" s="63"/>
      <c r="B69" s="61"/>
      <c r="C69" s="62"/>
      <c r="D69" s="62"/>
      <c r="E69" s="5"/>
      <c r="F69" s="5"/>
      <c r="G69" s="5"/>
      <c r="H69" s="5"/>
      <c r="I69" s="5"/>
      <c r="J69" s="5"/>
      <c r="K69" s="5"/>
      <c r="L69" s="5"/>
      <c r="M69" s="5"/>
      <c r="N69" s="5"/>
      <c r="O69" s="3">
        <f t="shared" ref="O69" si="1933">SUM(AN69:BG69,BI69:CB69,CD69:CW69,CY69:DR69,DT69:EM69,EO69:FH69,FJ69:GC69,GE69:GX69,GZ69:IZ69)</f>
        <v>0</v>
      </c>
      <c r="P69" s="7"/>
      <c r="Q69" s="7"/>
      <c r="R69" s="2">
        <f t="shared" ref="R69" si="1934">P69*Q69/1000000</f>
        <v>0</v>
      </c>
      <c r="S69" s="27">
        <f t="shared" ref="S69" si="1935">AM69</f>
        <v>0</v>
      </c>
      <c r="T69" s="27">
        <f t="shared" ref="T69" si="1936">BH69</f>
        <v>0</v>
      </c>
      <c r="U69" s="27">
        <f t="shared" ref="U69" si="1937">CC69</f>
        <v>0</v>
      </c>
      <c r="V69" s="27">
        <f t="shared" ref="V69" si="1938">CX69</f>
        <v>0</v>
      </c>
      <c r="W69" s="27">
        <f t="shared" ref="W69" si="1939">DS69</f>
        <v>0</v>
      </c>
      <c r="X69" s="27">
        <f t="shared" ref="X69" si="1940">EN69</f>
        <v>0</v>
      </c>
      <c r="Y69" s="27">
        <f t="shared" ref="Y69" si="1941">FI69</f>
        <v>0</v>
      </c>
      <c r="Z69" s="27">
        <f t="shared" ref="Z69" si="1942">GD69</f>
        <v>0</v>
      </c>
      <c r="AA69" s="27">
        <f t="shared" ref="AA69" si="1943">GY69</f>
        <v>0</v>
      </c>
      <c r="AB69" s="4">
        <f t="shared" ref="AB69" si="1944">P69*Q69*O69/1000000</f>
        <v>0</v>
      </c>
      <c r="AC69" s="2" t="str">
        <f t="shared" ref="AC69" si="1945">IF(E69=1,E69*$O69*$Q69/1000,IF(E69=2,E69*$O69*$Q69/1000," "))</f>
        <v xml:space="preserve"> </v>
      </c>
      <c r="AD69" s="2" t="str">
        <f t="shared" ref="AD69" si="1946">IF(F69=1,F69*$O69*$P69/1000,IF(F69=2,F69*$O69*$P69/1000," "))</f>
        <v xml:space="preserve"> </v>
      </c>
      <c r="AE69" s="2" t="str">
        <f t="shared" ref="AE69" si="1947">IF(G69=1,G69*$O69*$P69/1000,IF(G69=2,G69*$O69*$P69/1000," "))</f>
        <v xml:space="preserve"> </v>
      </c>
      <c r="AF69" s="2" t="str">
        <f t="shared" ref="AF69" si="1948">IF(H69=1,H69*$O69*$Q69/1000,IF(H69=2,H69*$O69*$Q69/1000," "))</f>
        <v xml:space="preserve"> </v>
      </c>
      <c r="AG69" s="2" t="str">
        <f t="shared" ref="AG69" si="1949">IF(I69=1,I69*$O69*$P69/1000,IF(I69=2,I69*$O69*$P69/1000," "))</f>
        <v xml:space="preserve"> </v>
      </c>
      <c r="AH69" s="2" t="str">
        <f t="shared" ref="AH69" si="1950">IF(J69=1,J69*$O69*$P69/1000,IF(J69=2,J69*$O69*$P69/1000," "))</f>
        <v xml:space="preserve"> </v>
      </c>
      <c r="AI69" s="2" t="str">
        <f t="shared" ref="AI69" si="1951">IF(K69=1,K69*$O69*$Q69/1000,IF(K69=2,K69*$O69*$Q69/1000," "))</f>
        <v xml:space="preserve"> </v>
      </c>
      <c r="AJ69" s="2" t="str">
        <f t="shared" ref="AJ69" si="1952">IF(L69=1,L69*$O69*$P69/1000,IF(L69=2,L69*$O69*$P69/1000," "))</f>
        <v xml:space="preserve"> </v>
      </c>
      <c r="AK69" s="2" t="str">
        <f t="shared" ref="AK69" si="1953">IF(M69=1,M69*$O69*$P69/1000,IF(M69=2,M69*$O69*$P69/1000," "))</f>
        <v xml:space="preserve"> </v>
      </c>
      <c r="AL69" s="2" t="str">
        <f t="shared" ref="AL69" si="1954">IF(N69=1,N69*$O69*$Q69/1000,IF(N69=2,N69*$O69*$Q69/1000," "))</f>
        <v xml:space="preserve"> </v>
      </c>
      <c r="AM69" s="23">
        <f t="shared" ref="AM69" si="1955">SUM(AN69:BG69)*R69</f>
        <v>0</v>
      </c>
      <c r="AN69" s="8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11"/>
      <c r="BH69" s="1">
        <f t="shared" ref="BH69" si="1956">SUM(BI69:CB69)*R69</f>
        <v>0</v>
      </c>
      <c r="BI69" s="8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11"/>
      <c r="CC69" s="1">
        <f t="shared" ref="CC69" si="1957">SUM(CD69:CW69)*R69</f>
        <v>0</v>
      </c>
      <c r="CD69" s="8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11"/>
      <c r="CX69" s="10">
        <f t="shared" ref="CX69" si="1958">SUM(CY69:DR69)*R69</f>
        <v>0</v>
      </c>
      <c r="CY69" s="8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11"/>
      <c r="DS69" s="10">
        <f t="shared" ref="DS69" si="1959">SUM(DT69:EM69)*R69</f>
        <v>0</v>
      </c>
      <c r="DT69" s="8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11"/>
      <c r="EN69" s="10">
        <f t="shared" ref="EN69" si="1960">SUM(EO69:FH69)*R69</f>
        <v>0</v>
      </c>
      <c r="EO69" s="8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11"/>
      <c r="FI69" s="10">
        <f t="shared" ref="FI69" si="1961">SUM(FJ69:GC69)*R69</f>
        <v>0</v>
      </c>
      <c r="FJ69" s="8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11"/>
      <c r="GD69" s="10">
        <f t="shared" ref="GD69" si="1962">SUM(GE69:GX69)*R69</f>
        <v>0</v>
      </c>
      <c r="GE69" s="8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11"/>
      <c r="GY69" s="10">
        <f t="shared" ref="GY69" si="1963">SUM(GZ69:IZ69)*R69</f>
        <v>0</v>
      </c>
      <c r="GZ69" s="8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11"/>
    </row>
    <row r="70" spans="1:260" ht="14.25" customHeight="1" x14ac:dyDescent="0.3">
      <c r="A70" s="63"/>
      <c r="B70" s="61"/>
      <c r="C70" s="62"/>
      <c r="D70" s="62"/>
      <c r="E70" s="5"/>
      <c r="F70" s="5"/>
      <c r="G70" s="5"/>
      <c r="H70" s="5"/>
      <c r="I70" s="5"/>
      <c r="J70" s="5"/>
      <c r="K70" s="5"/>
      <c r="L70" s="5"/>
      <c r="M70" s="5"/>
      <c r="N70" s="5"/>
      <c r="O70" s="3">
        <f t="shared" ref="O70" si="1964">SUM(AN70:BG70,BI70:CB70,CD70:CW70,CY70:DR70,DT70:EM70,EO70:FH70,FJ70:GC70,GE70:GX70,GZ70:IZ70)</f>
        <v>0</v>
      </c>
      <c r="P70" s="7"/>
      <c r="Q70" s="7"/>
      <c r="R70" s="2">
        <f t="shared" ref="R70" si="1965">P70*Q70/1000000</f>
        <v>0</v>
      </c>
      <c r="S70" s="27">
        <f t="shared" ref="S70" si="1966">AM70</f>
        <v>0</v>
      </c>
      <c r="T70" s="27">
        <f t="shared" ref="T70" si="1967">BH70</f>
        <v>0</v>
      </c>
      <c r="U70" s="27">
        <f t="shared" ref="U70" si="1968">CC70</f>
        <v>0</v>
      </c>
      <c r="V70" s="27">
        <f t="shared" ref="V70" si="1969">CX70</f>
        <v>0</v>
      </c>
      <c r="W70" s="27">
        <f t="shared" ref="W70" si="1970">DS70</f>
        <v>0</v>
      </c>
      <c r="X70" s="27">
        <f t="shared" ref="X70" si="1971">EN70</f>
        <v>0</v>
      </c>
      <c r="Y70" s="27">
        <f t="shared" ref="Y70" si="1972">FI70</f>
        <v>0</v>
      </c>
      <c r="Z70" s="27">
        <f t="shared" ref="Z70" si="1973">GD70</f>
        <v>0</v>
      </c>
      <c r="AA70" s="27">
        <f t="shared" ref="AA70" si="1974">GY70</f>
        <v>0</v>
      </c>
      <c r="AB70" s="4">
        <f t="shared" ref="AB70" si="1975">P70*Q70*O70/1000000</f>
        <v>0</v>
      </c>
      <c r="AC70" s="2" t="str">
        <f t="shared" ref="AC70" si="1976">IF(E70=1,E70*$O70*$Q70/1000,IF(E70=2,E70*$O70*$Q70/1000," "))</f>
        <v xml:space="preserve"> </v>
      </c>
      <c r="AD70" s="2" t="str">
        <f t="shared" ref="AD70" si="1977">IF(F70=1,F70*$O70*$P70/1000,IF(F70=2,F70*$O70*$P70/1000," "))</f>
        <v xml:space="preserve"> </v>
      </c>
      <c r="AE70" s="2" t="str">
        <f t="shared" ref="AE70" si="1978">IF(G70=1,G70*$O70*$P70/1000,IF(G70=2,G70*$O70*$P70/1000," "))</f>
        <v xml:space="preserve"> </v>
      </c>
      <c r="AF70" s="2" t="str">
        <f t="shared" ref="AF70" si="1979">IF(H70=1,H70*$O70*$Q70/1000,IF(H70=2,H70*$O70*$Q70/1000," "))</f>
        <v xml:space="preserve"> </v>
      </c>
      <c r="AG70" s="2" t="str">
        <f t="shared" ref="AG70" si="1980">IF(I70=1,I70*$O70*$P70/1000,IF(I70=2,I70*$O70*$P70/1000," "))</f>
        <v xml:space="preserve"> </v>
      </c>
      <c r="AH70" s="2" t="str">
        <f t="shared" ref="AH70" si="1981">IF(J70=1,J70*$O70*$P70/1000,IF(J70=2,J70*$O70*$P70/1000," "))</f>
        <v xml:space="preserve"> </v>
      </c>
      <c r="AI70" s="2" t="str">
        <f t="shared" ref="AI70" si="1982">IF(K70=1,K70*$O70*$Q70/1000,IF(K70=2,K70*$O70*$Q70/1000," "))</f>
        <v xml:space="preserve"> </v>
      </c>
      <c r="AJ70" s="2" t="str">
        <f t="shared" ref="AJ70" si="1983">IF(L70=1,L70*$O70*$P70/1000,IF(L70=2,L70*$O70*$P70/1000," "))</f>
        <v xml:space="preserve"> </v>
      </c>
      <c r="AK70" s="2" t="str">
        <f t="shared" ref="AK70" si="1984">IF(M70=1,M70*$O70*$P70/1000,IF(M70=2,M70*$O70*$P70/1000," "))</f>
        <v xml:space="preserve"> </v>
      </c>
      <c r="AL70" s="2" t="str">
        <f t="shared" ref="AL70" si="1985">IF(N70=1,N70*$O70*$Q70/1000,IF(N70=2,N70*$O70*$Q70/1000," "))</f>
        <v xml:space="preserve"> </v>
      </c>
      <c r="AM70" s="23">
        <f t="shared" ref="AM70" si="1986">SUM(AN70:BG70)*R70</f>
        <v>0</v>
      </c>
      <c r="AN70" s="8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11"/>
      <c r="BH70" s="1">
        <f t="shared" ref="BH70" si="1987">SUM(BI70:CB70)*R70</f>
        <v>0</v>
      </c>
      <c r="BI70" s="8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11"/>
      <c r="CC70" s="1">
        <f t="shared" ref="CC70" si="1988">SUM(CD70:CW70)*R70</f>
        <v>0</v>
      </c>
      <c r="CD70" s="8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11"/>
      <c r="CX70" s="10">
        <f t="shared" ref="CX70" si="1989">SUM(CY70:DR70)*R70</f>
        <v>0</v>
      </c>
      <c r="CY70" s="8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11"/>
      <c r="DS70" s="10">
        <f t="shared" ref="DS70" si="1990">SUM(DT70:EM70)*R70</f>
        <v>0</v>
      </c>
      <c r="DT70" s="8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11"/>
      <c r="EN70" s="10">
        <f t="shared" ref="EN70" si="1991">SUM(EO70:FH70)*R70</f>
        <v>0</v>
      </c>
      <c r="EO70" s="8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11"/>
      <c r="FI70" s="10">
        <f t="shared" ref="FI70" si="1992">SUM(FJ70:GC70)*R70</f>
        <v>0</v>
      </c>
      <c r="FJ70" s="8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11"/>
      <c r="GD70" s="10">
        <f t="shared" ref="GD70" si="1993">SUM(GE70:GX70)*R70</f>
        <v>0</v>
      </c>
      <c r="GE70" s="8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11"/>
      <c r="GY70" s="10">
        <f t="shared" ref="GY70" si="1994">SUM(GZ70:IZ70)*R70</f>
        <v>0</v>
      </c>
      <c r="GZ70" s="8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11"/>
    </row>
    <row r="71" spans="1:260" ht="14.25" customHeight="1" x14ac:dyDescent="0.3">
      <c r="A71" s="63"/>
      <c r="B71" s="61"/>
      <c r="C71" s="62"/>
      <c r="D71" s="62"/>
      <c r="E71" s="5"/>
      <c r="F71" s="5"/>
      <c r="G71" s="5"/>
      <c r="H71" s="5"/>
      <c r="I71" s="5"/>
      <c r="J71" s="5"/>
      <c r="K71" s="5"/>
      <c r="L71" s="5"/>
      <c r="M71" s="5"/>
      <c r="N71" s="5"/>
      <c r="O71" s="3">
        <f t="shared" ref="O71" si="1995">SUM(AN71:BG71,BI71:CB71,CD71:CW71,CY71:DR71,DT71:EM71,EO71:FH71,FJ71:GC71,GE71:GX71,GZ71:IZ71)</f>
        <v>0</v>
      </c>
      <c r="P71" s="7"/>
      <c r="Q71" s="7"/>
      <c r="R71" s="2">
        <f t="shared" ref="R71" si="1996">P71*Q71/1000000</f>
        <v>0</v>
      </c>
      <c r="S71" s="27">
        <f t="shared" ref="S71" si="1997">AM71</f>
        <v>0</v>
      </c>
      <c r="T71" s="27">
        <f t="shared" ref="T71" si="1998">BH71</f>
        <v>0</v>
      </c>
      <c r="U71" s="27">
        <f t="shared" ref="U71" si="1999">CC71</f>
        <v>0</v>
      </c>
      <c r="V71" s="27">
        <f t="shared" ref="V71" si="2000">CX71</f>
        <v>0</v>
      </c>
      <c r="W71" s="27">
        <f t="shared" ref="W71" si="2001">DS71</f>
        <v>0</v>
      </c>
      <c r="X71" s="27">
        <f t="shared" ref="X71" si="2002">EN71</f>
        <v>0</v>
      </c>
      <c r="Y71" s="27">
        <f t="shared" ref="Y71" si="2003">FI71</f>
        <v>0</v>
      </c>
      <c r="Z71" s="27">
        <f t="shared" ref="Z71" si="2004">GD71</f>
        <v>0</v>
      </c>
      <c r="AA71" s="27">
        <f t="shared" ref="AA71" si="2005">GY71</f>
        <v>0</v>
      </c>
      <c r="AB71" s="4">
        <f t="shared" ref="AB71" si="2006">P71*Q71*O71/1000000</f>
        <v>0</v>
      </c>
      <c r="AC71" s="2" t="str">
        <f t="shared" ref="AC71" si="2007">IF(E71=1,E71*$O71*$Q71/1000,IF(E71=2,E71*$O71*$Q71/1000," "))</f>
        <v xml:space="preserve"> </v>
      </c>
      <c r="AD71" s="2" t="str">
        <f t="shared" ref="AD71" si="2008">IF(F71=1,F71*$O71*$P71/1000,IF(F71=2,F71*$O71*$P71/1000," "))</f>
        <v xml:space="preserve"> </v>
      </c>
      <c r="AE71" s="2" t="str">
        <f t="shared" ref="AE71" si="2009">IF(G71=1,G71*$O71*$P71/1000,IF(G71=2,G71*$O71*$P71/1000," "))</f>
        <v xml:space="preserve"> </v>
      </c>
      <c r="AF71" s="2" t="str">
        <f t="shared" ref="AF71" si="2010">IF(H71=1,H71*$O71*$Q71/1000,IF(H71=2,H71*$O71*$Q71/1000," "))</f>
        <v xml:space="preserve"> </v>
      </c>
      <c r="AG71" s="2" t="str">
        <f t="shared" ref="AG71" si="2011">IF(I71=1,I71*$O71*$P71/1000,IF(I71=2,I71*$O71*$P71/1000," "))</f>
        <v xml:space="preserve"> </v>
      </c>
      <c r="AH71" s="2" t="str">
        <f t="shared" ref="AH71" si="2012">IF(J71=1,J71*$O71*$P71/1000,IF(J71=2,J71*$O71*$P71/1000," "))</f>
        <v xml:space="preserve"> </v>
      </c>
      <c r="AI71" s="2" t="str">
        <f t="shared" ref="AI71" si="2013">IF(K71=1,K71*$O71*$Q71/1000,IF(K71=2,K71*$O71*$Q71/1000," "))</f>
        <v xml:space="preserve"> </v>
      </c>
      <c r="AJ71" s="2" t="str">
        <f t="shared" ref="AJ71" si="2014">IF(L71=1,L71*$O71*$P71/1000,IF(L71=2,L71*$O71*$P71/1000," "))</f>
        <v xml:space="preserve"> </v>
      </c>
      <c r="AK71" s="2" t="str">
        <f t="shared" ref="AK71" si="2015">IF(M71=1,M71*$O71*$P71/1000,IF(M71=2,M71*$O71*$P71/1000," "))</f>
        <v xml:space="preserve"> </v>
      </c>
      <c r="AL71" s="2" t="str">
        <f t="shared" ref="AL71" si="2016">IF(N71=1,N71*$O71*$Q71/1000,IF(N71=2,N71*$O71*$Q71/1000," "))</f>
        <v xml:space="preserve"> </v>
      </c>
      <c r="AM71" s="23">
        <f t="shared" ref="AM71" si="2017">SUM(AN71:BG71)*R71</f>
        <v>0</v>
      </c>
      <c r="AN71" s="8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11"/>
      <c r="BH71" s="1">
        <f t="shared" ref="BH71" si="2018">SUM(BI71:CB71)*R71</f>
        <v>0</v>
      </c>
      <c r="BI71" s="8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11"/>
      <c r="CC71" s="1">
        <f t="shared" ref="CC71" si="2019">SUM(CD71:CW71)*R71</f>
        <v>0</v>
      </c>
      <c r="CD71" s="8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11"/>
      <c r="CX71" s="10">
        <f t="shared" ref="CX71" si="2020">SUM(CY71:DR71)*R71</f>
        <v>0</v>
      </c>
      <c r="CY71" s="8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11"/>
      <c r="DS71" s="10">
        <f t="shared" ref="DS71" si="2021">SUM(DT71:EM71)*R71</f>
        <v>0</v>
      </c>
      <c r="DT71" s="8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11"/>
      <c r="EN71" s="10">
        <f t="shared" ref="EN71" si="2022">SUM(EO71:FH71)*R71</f>
        <v>0</v>
      </c>
      <c r="EO71" s="8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11"/>
      <c r="FI71" s="10">
        <f t="shared" ref="FI71" si="2023">SUM(FJ71:GC71)*R71</f>
        <v>0</v>
      </c>
      <c r="FJ71" s="8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11"/>
      <c r="GD71" s="10">
        <f t="shared" ref="GD71" si="2024">SUM(GE71:GX71)*R71</f>
        <v>0</v>
      </c>
      <c r="GE71" s="8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11"/>
      <c r="GY71" s="10">
        <f t="shared" ref="GY71" si="2025">SUM(GZ71:IZ71)*R71</f>
        <v>0</v>
      </c>
      <c r="GZ71" s="8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11"/>
    </row>
    <row r="72" spans="1:260" ht="14.25" customHeight="1" x14ac:dyDescent="0.3">
      <c r="A72" s="63"/>
      <c r="B72" s="61"/>
      <c r="C72" s="62"/>
      <c r="D72" s="62"/>
      <c r="E72" s="5"/>
      <c r="F72" s="5"/>
      <c r="G72" s="5"/>
      <c r="H72" s="5"/>
      <c r="I72" s="5"/>
      <c r="J72" s="5"/>
      <c r="K72" s="5"/>
      <c r="L72" s="5"/>
      <c r="M72" s="5"/>
      <c r="N72" s="5"/>
      <c r="O72" s="3">
        <f t="shared" ref="O72" si="2026">SUM(AN72:BG72,BI72:CB72,CD72:CW72,CY72:DR72,DT72:EM72,EO72:FH72,FJ72:GC72,GE72:GX72,GZ72:IZ72)</f>
        <v>0</v>
      </c>
      <c r="P72" s="7"/>
      <c r="Q72" s="7"/>
      <c r="R72" s="2">
        <f t="shared" ref="R72" si="2027">P72*Q72/1000000</f>
        <v>0</v>
      </c>
      <c r="S72" s="27">
        <f t="shared" ref="S72" si="2028">AM72</f>
        <v>0</v>
      </c>
      <c r="T72" s="27">
        <f t="shared" ref="T72" si="2029">BH72</f>
        <v>0</v>
      </c>
      <c r="U72" s="27">
        <f t="shared" ref="U72" si="2030">CC72</f>
        <v>0</v>
      </c>
      <c r="V72" s="27">
        <f t="shared" ref="V72" si="2031">CX72</f>
        <v>0</v>
      </c>
      <c r="W72" s="27">
        <f t="shared" ref="W72" si="2032">DS72</f>
        <v>0</v>
      </c>
      <c r="X72" s="27">
        <f t="shared" ref="X72" si="2033">EN72</f>
        <v>0</v>
      </c>
      <c r="Y72" s="27">
        <f t="shared" ref="Y72" si="2034">FI72</f>
        <v>0</v>
      </c>
      <c r="Z72" s="27">
        <f t="shared" ref="Z72" si="2035">GD72</f>
        <v>0</v>
      </c>
      <c r="AA72" s="27">
        <f t="shared" ref="AA72" si="2036">GY72</f>
        <v>0</v>
      </c>
      <c r="AB72" s="4">
        <f t="shared" ref="AB72" si="2037">P72*Q72*O72/1000000</f>
        <v>0</v>
      </c>
      <c r="AC72" s="2" t="str">
        <f t="shared" ref="AC72" si="2038">IF(E72=1,E72*$O72*$Q72/1000,IF(E72=2,E72*$O72*$Q72/1000," "))</f>
        <v xml:space="preserve"> </v>
      </c>
      <c r="AD72" s="2" t="str">
        <f t="shared" ref="AD72" si="2039">IF(F72=1,F72*$O72*$P72/1000,IF(F72=2,F72*$O72*$P72/1000," "))</f>
        <v xml:space="preserve"> </v>
      </c>
      <c r="AE72" s="2" t="str">
        <f t="shared" ref="AE72" si="2040">IF(G72=1,G72*$O72*$P72/1000,IF(G72=2,G72*$O72*$P72/1000," "))</f>
        <v xml:space="preserve"> </v>
      </c>
      <c r="AF72" s="2" t="str">
        <f t="shared" ref="AF72" si="2041">IF(H72=1,H72*$O72*$Q72/1000,IF(H72=2,H72*$O72*$Q72/1000," "))</f>
        <v xml:space="preserve"> </v>
      </c>
      <c r="AG72" s="2" t="str">
        <f t="shared" ref="AG72" si="2042">IF(I72=1,I72*$O72*$P72/1000,IF(I72=2,I72*$O72*$P72/1000," "))</f>
        <v xml:space="preserve"> </v>
      </c>
      <c r="AH72" s="2" t="str">
        <f t="shared" ref="AH72" si="2043">IF(J72=1,J72*$O72*$P72/1000,IF(J72=2,J72*$O72*$P72/1000," "))</f>
        <v xml:space="preserve"> </v>
      </c>
      <c r="AI72" s="2" t="str">
        <f t="shared" ref="AI72" si="2044">IF(K72=1,K72*$O72*$Q72/1000,IF(K72=2,K72*$O72*$Q72/1000," "))</f>
        <v xml:space="preserve"> </v>
      </c>
      <c r="AJ72" s="2" t="str">
        <f t="shared" ref="AJ72" si="2045">IF(L72=1,L72*$O72*$P72/1000,IF(L72=2,L72*$O72*$P72/1000," "))</f>
        <v xml:space="preserve"> </v>
      </c>
      <c r="AK72" s="2" t="str">
        <f t="shared" ref="AK72" si="2046">IF(M72=1,M72*$O72*$P72/1000,IF(M72=2,M72*$O72*$P72/1000," "))</f>
        <v xml:space="preserve"> </v>
      </c>
      <c r="AL72" s="2" t="str">
        <f t="shared" ref="AL72" si="2047">IF(N72=1,N72*$O72*$Q72/1000,IF(N72=2,N72*$O72*$Q72/1000," "))</f>
        <v xml:space="preserve"> </v>
      </c>
      <c r="AM72" s="23">
        <f t="shared" ref="AM72" si="2048">SUM(AN72:BG72)*R72</f>
        <v>0</v>
      </c>
      <c r="AN72" s="8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11"/>
      <c r="BH72" s="1">
        <f t="shared" ref="BH72" si="2049">SUM(BI72:CB72)*R72</f>
        <v>0</v>
      </c>
      <c r="BI72" s="8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11"/>
      <c r="CC72" s="1">
        <f t="shared" ref="CC72" si="2050">SUM(CD72:CW72)*R72</f>
        <v>0</v>
      </c>
      <c r="CD72" s="8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11"/>
      <c r="CX72" s="10">
        <f t="shared" ref="CX72" si="2051">SUM(CY72:DR72)*R72</f>
        <v>0</v>
      </c>
      <c r="CY72" s="8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11"/>
      <c r="DS72" s="10">
        <f t="shared" ref="DS72" si="2052">SUM(DT72:EM72)*R72</f>
        <v>0</v>
      </c>
      <c r="DT72" s="8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11"/>
      <c r="EN72" s="10">
        <f t="shared" ref="EN72" si="2053">SUM(EO72:FH72)*R72</f>
        <v>0</v>
      </c>
      <c r="EO72" s="8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11"/>
      <c r="FI72" s="10">
        <f t="shared" ref="FI72" si="2054">SUM(FJ72:GC72)*R72</f>
        <v>0</v>
      </c>
      <c r="FJ72" s="8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11"/>
      <c r="GD72" s="10">
        <f t="shared" ref="GD72" si="2055">SUM(GE72:GX72)*R72</f>
        <v>0</v>
      </c>
      <c r="GE72" s="8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11"/>
      <c r="GY72" s="10">
        <f t="shared" ref="GY72" si="2056">SUM(GZ72:IZ72)*R72</f>
        <v>0</v>
      </c>
      <c r="GZ72" s="8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11"/>
    </row>
    <row r="73" spans="1:260" ht="14.25" customHeight="1" x14ac:dyDescent="0.3">
      <c r="A73" s="63"/>
      <c r="B73" s="61"/>
      <c r="C73" s="62"/>
      <c r="D73" s="62"/>
      <c r="E73" s="5"/>
      <c r="F73" s="5"/>
      <c r="G73" s="5"/>
      <c r="H73" s="5"/>
      <c r="I73" s="5"/>
      <c r="J73" s="5"/>
      <c r="K73" s="5"/>
      <c r="L73" s="5"/>
      <c r="M73" s="5"/>
      <c r="N73" s="5"/>
      <c r="O73" s="3">
        <f t="shared" ref="O73" si="2057">SUM(AN73:BG73,BI73:CB73,CD73:CW73,CY73:DR73,DT73:EM73,EO73:FH73,FJ73:GC73,GE73:GX73,GZ73:IZ73)</f>
        <v>0</v>
      </c>
      <c r="P73" s="7"/>
      <c r="Q73" s="7"/>
      <c r="R73" s="2">
        <f t="shared" ref="R73" si="2058">P73*Q73/1000000</f>
        <v>0</v>
      </c>
      <c r="S73" s="27">
        <f t="shared" ref="S73" si="2059">AM73</f>
        <v>0</v>
      </c>
      <c r="T73" s="27">
        <f t="shared" ref="T73" si="2060">BH73</f>
        <v>0</v>
      </c>
      <c r="U73" s="27">
        <f t="shared" ref="U73" si="2061">CC73</f>
        <v>0</v>
      </c>
      <c r="V73" s="27">
        <f t="shared" ref="V73" si="2062">CX73</f>
        <v>0</v>
      </c>
      <c r="W73" s="27">
        <f t="shared" ref="W73" si="2063">DS73</f>
        <v>0</v>
      </c>
      <c r="X73" s="27">
        <f t="shared" ref="X73" si="2064">EN73</f>
        <v>0</v>
      </c>
      <c r="Y73" s="27">
        <f t="shared" ref="Y73" si="2065">FI73</f>
        <v>0</v>
      </c>
      <c r="Z73" s="27">
        <f t="shared" ref="Z73" si="2066">GD73</f>
        <v>0</v>
      </c>
      <c r="AA73" s="27">
        <f t="shared" ref="AA73" si="2067">GY73</f>
        <v>0</v>
      </c>
      <c r="AB73" s="4">
        <f t="shared" ref="AB73" si="2068">P73*Q73*O73/1000000</f>
        <v>0</v>
      </c>
      <c r="AC73" s="2" t="str">
        <f t="shared" ref="AC73" si="2069">IF(E73=1,E73*$O73*$Q73/1000,IF(E73=2,E73*$O73*$Q73/1000," "))</f>
        <v xml:space="preserve"> </v>
      </c>
      <c r="AD73" s="2" t="str">
        <f t="shared" ref="AD73" si="2070">IF(F73=1,F73*$O73*$P73/1000,IF(F73=2,F73*$O73*$P73/1000," "))</f>
        <v xml:space="preserve"> </v>
      </c>
      <c r="AE73" s="2" t="str">
        <f t="shared" ref="AE73" si="2071">IF(G73=1,G73*$O73*$P73/1000,IF(G73=2,G73*$O73*$P73/1000," "))</f>
        <v xml:space="preserve"> </v>
      </c>
      <c r="AF73" s="2" t="str">
        <f t="shared" ref="AF73" si="2072">IF(H73=1,H73*$O73*$Q73/1000,IF(H73=2,H73*$O73*$Q73/1000," "))</f>
        <v xml:space="preserve"> </v>
      </c>
      <c r="AG73" s="2" t="str">
        <f t="shared" ref="AG73" si="2073">IF(I73=1,I73*$O73*$P73/1000,IF(I73=2,I73*$O73*$P73/1000," "))</f>
        <v xml:space="preserve"> </v>
      </c>
      <c r="AH73" s="2" t="str">
        <f t="shared" ref="AH73" si="2074">IF(J73=1,J73*$O73*$P73/1000,IF(J73=2,J73*$O73*$P73/1000," "))</f>
        <v xml:space="preserve"> </v>
      </c>
      <c r="AI73" s="2" t="str">
        <f t="shared" ref="AI73" si="2075">IF(K73=1,K73*$O73*$Q73/1000,IF(K73=2,K73*$O73*$Q73/1000," "))</f>
        <v xml:space="preserve"> </v>
      </c>
      <c r="AJ73" s="2" t="str">
        <f t="shared" ref="AJ73" si="2076">IF(L73=1,L73*$O73*$P73/1000,IF(L73=2,L73*$O73*$P73/1000," "))</f>
        <v xml:space="preserve"> </v>
      </c>
      <c r="AK73" s="2" t="str">
        <f t="shared" ref="AK73" si="2077">IF(M73=1,M73*$O73*$P73/1000,IF(M73=2,M73*$O73*$P73/1000," "))</f>
        <v xml:space="preserve"> </v>
      </c>
      <c r="AL73" s="2" t="str">
        <f t="shared" ref="AL73" si="2078">IF(N73=1,N73*$O73*$Q73/1000,IF(N73=2,N73*$O73*$Q73/1000," "))</f>
        <v xml:space="preserve"> </v>
      </c>
      <c r="AM73" s="23">
        <f t="shared" ref="AM73" si="2079">SUM(AN73:BG73)*R73</f>
        <v>0</v>
      </c>
      <c r="AN73" s="8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11"/>
      <c r="BH73" s="1">
        <f t="shared" ref="BH73" si="2080">SUM(BI73:CB73)*R73</f>
        <v>0</v>
      </c>
      <c r="BI73" s="8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11"/>
      <c r="CC73" s="1">
        <f t="shared" ref="CC73" si="2081">SUM(CD73:CW73)*R73</f>
        <v>0</v>
      </c>
      <c r="CD73" s="8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11"/>
      <c r="CX73" s="10">
        <f t="shared" ref="CX73" si="2082">SUM(CY73:DR73)*R73</f>
        <v>0</v>
      </c>
      <c r="CY73" s="8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11"/>
      <c r="DS73" s="10">
        <f t="shared" ref="DS73" si="2083">SUM(DT73:EM73)*R73</f>
        <v>0</v>
      </c>
      <c r="DT73" s="8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11"/>
      <c r="EN73" s="10">
        <f t="shared" ref="EN73" si="2084">SUM(EO73:FH73)*R73</f>
        <v>0</v>
      </c>
      <c r="EO73" s="8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11"/>
      <c r="FI73" s="10">
        <f t="shared" ref="FI73" si="2085">SUM(FJ73:GC73)*R73</f>
        <v>0</v>
      </c>
      <c r="FJ73" s="8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11"/>
      <c r="GD73" s="10">
        <f t="shared" ref="GD73" si="2086">SUM(GE73:GX73)*R73</f>
        <v>0</v>
      </c>
      <c r="GE73" s="8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11"/>
      <c r="GY73" s="10">
        <f t="shared" ref="GY73" si="2087">SUM(GZ73:IZ73)*R73</f>
        <v>0</v>
      </c>
      <c r="GZ73" s="8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11"/>
    </row>
    <row r="74" spans="1:260" ht="14.25" customHeight="1" x14ac:dyDescent="0.3">
      <c r="A74" s="63"/>
      <c r="B74" s="61"/>
      <c r="C74" s="62"/>
      <c r="D74" s="62"/>
      <c r="E74" s="5"/>
      <c r="F74" s="5"/>
      <c r="G74" s="5"/>
      <c r="H74" s="5"/>
      <c r="I74" s="5"/>
      <c r="J74" s="5"/>
      <c r="K74" s="5"/>
      <c r="L74" s="5"/>
      <c r="M74" s="5"/>
      <c r="N74" s="5"/>
      <c r="O74" s="3">
        <f t="shared" ref="O74" si="2088">SUM(AN74:BG74,BI74:CB74,CD74:CW74,CY74:DR74,DT74:EM74,EO74:FH74,FJ74:GC74,GE74:GX74,GZ74:IZ74)</f>
        <v>0</v>
      </c>
      <c r="P74" s="7"/>
      <c r="Q74" s="7"/>
      <c r="R74" s="2">
        <f t="shared" ref="R74" si="2089">P74*Q74/1000000</f>
        <v>0</v>
      </c>
      <c r="S74" s="27">
        <f t="shared" ref="S74" si="2090">AM74</f>
        <v>0</v>
      </c>
      <c r="T74" s="27">
        <f t="shared" ref="T74" si="2091">BH74</f>
        <v>0</v>
      </c>
      <c r="U74" s="27">
        <f t="shared" ref="U74" si="2092">CC74</f>
        <v>0</v>
      </c>
      <c r="V74" s="27">
        <f t="shared" ref="V74" si="2093">CX74</f>
        <v>0</v>
      </c>
      <c r="W74" s="27">
        <f t="shared" ref="W74" si="2094">DS74</f>
        <v>0</v>
      </c>
      <c r="X74" s="27">
        <f t="shared" ref="X74" si="2095">EN74</f>
        <v>0</v>
      </c>
      <c r="Y74" s="27">
        <f t="shared" ref="Y74" si="2096">FI74</f>
        <v>0</v>
      </c>
      <c r="Z74" s="27">
        <f t="shared" ref="Z74" si="2097">GD74</f>
        <v>0</v>
      </c>
      <c r="AA74" s="27">
        <f t="shared" ref="AA74" si="2098">GY74</f>
        <v>0</v>
      </c>
      <c r="AB74" s="4">
        <f t="shared" ref="AB74" si="2099">P74*Q74*O74/1000000</f>
        <v>0</v>
      </c>
      <c r="AC74" s="2" t="str">
        <f t="shared" ref="AC74" si="2100">IF(E74=1,E74*$O74*$Q74/1000,IF(E74=2,E74*$O74*$Q74/1000," "))</f>
        <v xml:space="preserve"> </v>
      </c>
      <c r="AD74" s="2" t="str">
        <f t="shared" ref="AD74" si="2101">IF(F74=1,F74*$O74*$P74/1000,IF(F74=2,F74*$O74*$P74/1000," "))</f>
        <v xml:space="preserve"> </v>
      </c>
      <c r="AE74" s="2" t="str">
        <f t="shared" ref="AE74" si="2102">IF(G74=1,G74*$O74*$P74/1000,IF(G74=2,G74*$O74*$P74/1000," "))</f>
        <v xml:space="preserve"> </v>
      </c>
      <c r="AF74" s="2" t="str">
        <f t="shared" ref="AF74" si="2103">IF(H74=1,H74*$O74*$Q74/1000,IF(H74=2,H74*$O74*$Q74/1000," "))</f>
        <v xml:space="preserve"> </v>
      </c>
      <c r="AG74" s="2" t="str">
        <f t="shared" ref="AG74" si="2104">IF(I74=1,I74*$O74*$P74/1000,IF(I74=2,I74*$O74*$P74/1000," "))</f>
        <v xml:space="preserve"> </v>
      </c>
      <c r="AH74" s="2" t="str">
        <f t="shared" ref="AH74" si="2105">IF(J74=1,J74*$O74*$P74/1000,IF(J74=2,J74*$O74*$P74/1000," "))</f>
        <v xml:space="preserve"> </v>
      </c>
      <c r="AI74" s="2" t="str">
        <f t="shared" ref="AI74" si="2106">IF(K74=1,K74*$O74*$Q74/1000,IF(K74=2,K74*$O74*$Q74/1000," "))</f>
        <v xml:space="preserve"> </v>
      </c>
      <c r="AJ74" s="2" t="str">
        <f t="shared" ref="AJ74" si="2107">IF(L74=1,L74*$O74*$P74/1000,IF(L74=2,L74*$O74*$P74/1000," "))</f>
        <v xml:space="preserve"> </v>
      </c>
      <c r="AK74" s="2" t="str">
        <f t="shared" ref="AK74" si="2108">IF(M74=1,M74*$O74*$P74/1000,IF(M74=2,M74*$O74*$P74/1000," "))</f>
        <v xml:space="preserve"> </v>
      </c>
      <c r="AL74" s="2" t="str">
        <f t="shared" ref="AL74" si="2109">IF(N74=1,N74*$O74*$Q74/1000,IF(N74=2,N74*$O74*$Q74/1000," "))</f>
        <v xml:space="preserve"> </v>
      </c>
      <c r="AM74" s="23">
        <f t="shared" ref="AM74" si="2110">SUM(AN74:BG74)*R74</f>
        <v>0</v>
      </c>
      <c r="AN74" s="8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11"/>
      <c r="BH74" s="1">
        <f t="shared" ref="BH74" si="2111">SUM(BI74:CB74)*R74</f>
        <v>0</v>
      </c>
      <c r="BI74" s="8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11"/>
      <c r="CC74" s="1">
        <f t="shared" ref="CC74" si="2112">SUM(CD74:CW74)*R74</f>
        <v>0</v>
      </c>
      <c r="CD74" s="8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11"/>
      <c r="CX74" s="10">
        <f t="shared" ref="CX74" si="2113">SUM(CY74:DR74)*R74</f>
        <v>0</v>
      </c>
      <c r="CY74" s="8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11"/>
      <c r="DS74" s="10">
        <f t="shared" ref="DS74" si="2114">SUM(DT74:EM74)*R74</f>
        <v>0</v>
      </c>
      <c r="DT74" s="8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11"/>
      <c r="EN74" s="10">
        <f t="shared" ref="EN74" si="2115">SUM(EO74:FH74)*R74</f>
        <v>0</v>
      </c>
      <c r="EO74" s="8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11"/>
      <c r="FI74" s="10">
        <f t="shared" ref="FI74" si="2116">SUM(FJ74:GC74)*R74</f>
        <v>0</v>
      </c>
      <c r="FJ74" s="8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11"/>
      <c r="GD74" s="10">
        <f t="shared" ref="GD74" si="2117">SUM(GE74:GX74)*R74</f>
        <v>0</v>
      </c>
      <c r="GE74" s="8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11"/>
      <c r="GY74" s="10">
        <f t="shared" ref="GY74" si="2118">SUM(GZ74:IZ74)*R74</f>
        <v>0</v>
      </c>
      <c r="GZ74" s="8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11"/>
    </row>
    <row r="75" spans="1:260" ht="14.25" customHeight="1" x14ac:dyDescent="0.3">
      <c r="A75" s="63"/>
      <c r="B75" s="61"/>
      <c r="C75" s="62"/>
      <c r="D75" s="62"/>
      <c r="E75" s="5"/>
      <c r="F75" s="5"/>
      <c r="G75" s="5"/>
      <c r="H75" s="5"/>
      <c r="I75" s="5"/>
      <c r="J75" s="5"/>
      <c r="K75" s="5"/>
      <c r="L75" s="5"/>
      <c r="M75" s="5"/>
      <c r="N75" s="5"/>
      <c r="O75" s="3">
        <f t="shared" ref="O75" si="2119">SUM(AN75:BG75,BI75:CB75,CD75:CW75,CY75:DR75,DT75:EM75,EO75:FH75,FJ75:GC75,GE75:GX75,GZ75:IZ75)</f>
        <v>0</v>
      </c>
      <c r="P75" s="7"/>
      <c r="Q75" s="7"/>
      <c r="R75" s="2">
        <f t="shared" ref="R75" si="2120">P75*Q75/1000000</f>
        <v>0</v>
      </c>
      <c r="S75" s="27">
        <f t="shared" ref="S75" si="2121">AM75</f>
        <v>0</v>
      </c>
      <c r="T75" s="27">
        <f t="shared" ref="T75" si="2122">BH75</f>
        <v>0</v>
      </c>
      <c r="U75" s="27">
        <f t="shared" ref="U75" si="2123">CC75</f>
        <v>0</v>
      </c>
      <c r="V75" s="27">
        <f t="shared" ref="V75" si="2124">CX75</f>
        <v>0</v>
      </c>
      <c r="W75" s="27">
        <f t="shared" ref="W75" si="2125">DS75</f>
        <v>0</v>
      </c>
      <c r="X75" s="27">
        <f t="shared" ref="X75" si="2126">EN75</f>
        <v>0</v>
      </c>
      <c r="Y75" s="27">
        <f t="shared" ref="Y75" si="2127">FI75</f>
        <v>0</v>
      </c>
      <c r="Z75" s="27">
        <f t="shared" ref="Z75" si="2128">GD75</f>
        <v>0</v>
      </c>
      <c r="AA75" s="27">
        <f t="shared" ref="AA75" si="2129">GY75</f>
        <v>0</v>
      </c>
      <c r="AB75" s="4">
        <f t="shared" ref="AB75" si="2130">P75*Q75*O75/1000000</f>
        <v>0</v>
      </c>
      <c r="AC75" s="2" t="str">
        <f t="shared" ref="AC75" si="2131">IF(E75=1,E75*$O75*$Q75/1000,IF(E75=2,E75*$O75*$Q75/1000," "))</f>
        <v xml:space="preserve"> </v>
      </c>
      <c r="AD75" s="2" t="str">
        <f t="shared" ref="AD75" si="2132">IF(F75=1,F75*$O75*$P75/1000,IF(F75=2,F75*$O75*$P75/1000," "))</f>
        <v xml:space="preserve"> </v>
      </c>
      <c r="AE75" s="2" t="str">
        <f t="shared" ref="AE75" si="2133">IF(G75=1,G75*$O75*$P75/1000,IF(G75=2,G75*$O75*$P75/1000," "))</f>
        <v xml:space="preserve"> </v>
      </c>
      <c r="AF75" s="2" t="str">
        <f t="shared" ref="AF75" si="2134">IF(H75=1,H75*$O75*$Q75/1000,IF(H75=2,H75*$O75*$Q75/1000," "))</f>
        <v xml:space="preserve"> </v>
      </c>
      <c r="AG75" s="2" t="str">
        <f t="shared" ref="AG75" si="2135">IF(I75=1,I75*$O75*$P75/1000,IF(I75=2,I75*$O75*$P75/1000," "))</f>
        <v xml:space="preserve"> </v>
      </c>
      <c r="AH75" s="2" t="str">
        <f t="shared" ref="AH75" si="2136">IF(J75=1,J75*$O75*$P75/1000,IF(J75=2,J75*$O75*$P75/1000," "))</f>
        <v xml:space="preserve"> </v>
      </c>
      <c r="AI75" s="2" t="str">
        <f t="shared" ref="AI75" si="2137">IF(K75=1,K75*$O75*$Q75/1000,IF(K75=2,K75*$O75*$Q75/1000," "))</f>
        <v xml:space="preserve"> </v>
      </c>
      <c r="AJ75" s="2" t="str">
        <f t="shared" ref="AJ75" si="2138">IF(L75=1,L75*$O75*$P75/1000,IF(L75=2,L75*$O75*$P75/1000," "))</f>
        <v xml:space="preserve"> </v>
      </c>
      <c r="AK75" s="2" t="str">
        <f t="shared" ref="AK75" si="2139">IF(M75=1,M75*$O75*$P75/1000,IF(M75=2,M75*$O75*$P75/1000," "))</f>
        <v xml:space="preserve"> </v>
      </c>
      <c r="AL75" s="2" t="str">
        <f t="shared" ref="AL75" si="2140">IF(N75=1,N75*$O75*$Q75/1000,IF(N75=2,N75*$O75*$Q75/1000," "))</f>
        <v xml:space="preserve"> </v>
      </c>
      <c r="AM75" s="23">
        <f t="shared" ref="AM75" si="2141">SUM(AN75:BG75)*R75</f>
        <v>0</v>
      </c>
      <c r="AN75" s="8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11"/>
      <c r="BH75" s="1">
        <f t="shared" ref="BH75" si="2142">SUM(BI75:CB75)*R75</f>
        <v>0</v>
      </c>
      <c r="BI75" s="8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11"/>
      <c r="CC75" s="1">
        <f t="shared" ref="CC75" si="2143">SUM(CD75:CW75)*R75</f>
        <v>0</v>
      </c>
      <c r="CD75" s="8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11"/>
      <c r="CX75" s="10">
        <f t="shared" ref="CX75" si="2144">SUM(CY75:DR75)*R75</f>
        <v>0</v>
      </c>
      <c r="CY75" s="8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11"/>
      <c r="DS75" s="10">
        <f t="shared" ref="DS75" si="2145">SUM(DT75:EM75)*R75</f>
        <v>0</v>
      </c>
      <c r="DT75" s="8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11"/>
      <c r="EN75" s="10">
        <f t="shared" ref="EN75" si="2146">SUM(EO75:FH75)*R75</f>
        <v>0</v>
      </c>
      <c r="EO75" s="8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11"/>
      <c r="FI75" s="10">
        <f t="shared" ref="FI75" si="2147">SUM(FJ75:GC75)*R75</f>
        <v>0</v>
      </c>
      <c r="FJ75" s="8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11"/>
      <c r="GD75" s="10">
        <f t="shared" ref="GD75" si="2148">SUM(GE75:GX75)*R75</f>
        <v>0</v>
      </c>
      <c r="GE75" s="8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11"/>
      <c r="GY75" s="10">
        <f t="shared" ref="GY75" si="2149">SUM(GZ75:IZ75)*R75</f>
        <v>0</v>
      </c>
      <c r="GZ75" s="8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11"/>
    </row>
    <row r="76" spans="1:260" ht="14.25" customHeight="1" x14ac:dyDescent="0.3">
      <c r="A76" s="63"/>
      <c r="B76" s="61"/>
      <c r="C76" s="62"/>
      <c r="D76" s="62"/>
      <c r="E76" s="5"/>
      <c r="F76" s="5"/>
      <c r="G76" s="5"/>
      <c r="H76" s="5"/>
      <c r="I76" s="5"/>
      <c r="J76" s="5"/>
      <c r="K76" s="5"/>
      <c r="L76" s="5"/>
      <c r="M76" s="5"/>
      <c r="N76" s="5"/>
      <c r="O76" s="3">
        <f t="shared" ref="O76" si="2150">SUM(AN76:BG76,BI76:CB76,CD76:CW76,CY76:DR76,DT76:EM76,EO76:FH76,FJ76:GC76,GE76:GX76,GZ76:IZ76)</f>
        <v>0</v>
      </c>
      <c r="P76" s="7"/>
      <c r="Q76" s="7"/>
      <c r="R76" s="2">
        <f t="shared" ref="R76" si="2151">P76*Q76/1000000</f>
        <v>0</v>
      </c>
      <c r="S76" s="27">
        <f t="shared" ref="S76" si="2152">AM76</f>
        <v>0</v>
      </c>
      <c r="T76" s="27">
        <f t="shared" ref="T76" si="2153">BH76</f>
        <v>0</v>
      </c>
      <c r="U76" s="27">
        <f t="shared" ref="U76" si="2154">CC76</f>
        <v>0</v>
      </c>
      <c r="V76" s="27">
        <f t="shared" ref="V76" si="2155">CX76</f>
        <v>0</v>
      </c>
      <c r="W76" s="27">
        <f t="shared" ref="W76" si="2156">DS76</f>
        <v>0</v>
      </c>
      <c r="X76" s="27">
        <f t="shared" ref="X76" si="2157">EN76</f>
        <v>0</v>
      </c>
      <c r="Y76" s="27">
        <f t="shared" ref="Y76" si="2158">FI76</f>
        <v>0</v>
      </c>
      <c r="Z76" s="27">
        <f t="shared" ref="Z76" si="2159">GD76</f>
        <v>0</v>
      </c>
      <c r="AA76" s="27">
        <f t="shared" ref="AA76" si="2160">GY76</f>
        <v>0</v>
      </c>
      <c r="AB76" s="4">
        <f t="shared" ref="AB76" si="2161">P76*Q76*O76/1000000</f>
        <v>0</v>
      </c>
      <c r="AC76" s="2" t="str">
        <f t="shared" ref="AC76" si="2162">IF(E76=1,E76*$O76*$Q76/1000,IF(E76=2,E76*$O76*$Q76/1000," "))</f>
        <v xml:space="preserve"> </v>
      </c>
      <c r="AD76" s="2" t="str">
        <f t="shared" ref="AD76" si="2163">IF(F76=1,F76*$O76*$P76/1000,IF(F76=2,F76*$O76*$P76/1000," "))</f>
        <v xml:space="preserve"> </v>
      </c>
      <c r="AE76" s="2" t="str">
        <f t="shared" ref="AE76" si="2164">IF(G76=1,G76*$O76*$P76/1000,IF(G76=2,G76*$O76*$P76/1000," "))</f>
        <v xml:space="preserve"> </v>
      </c>
      <c r="AF76" s="2" t="str">
        <f t="shared" ref="AF76" si="2165">IF(H76=1,H76*$O76*$Q76/1000,IF(H76=2,H76*$O76*$Q76/1000," "))</f>
        <v xml:space="preserve"> </v>
      </c>
      <c r="AG76" s="2" t="str">
        <f t="shared" ref="AG76" si="2166">IF(I76=1,I76*$O76*$P76/1000,IF(I76=2,I76*$O76*$P76/1000," "))</f>
        <v xml:space="preserve"> </v>
      </c>
      <c r="AH76" s="2" t="str">
        <f t="shared" ref="AH76" si="2167">IF(J76=1,J76*$O76*$P76/1000,IF(J76=2,J76*$O76*$P76/1000," "))</f>
        <v xml:space="preserve"> </v>
      </c>
      <c r="AI76" s="2" t="str">
        <f t="shared" ref="AI76" si="2168">IF(K76=1,K76*$O76*$Q76/1000,IF(K76=2,K76*$O76*$Q76/1000," "))</f>
        <v xml:space="preserve"> </v>
      </c>
      <c r="AJ76" s="2" t="str">
        <f t="shared" ref="AJ76" si="2169">IF(L76=1,L76*$O76*$P76/1000,IF(L76=2,L76*$O76*$P76/1000," "))</f>
        <v xml:space="preserve"> </v>
      </c>
      <c r="AK76" s="2" t="str">
        <f t="shared" ref="AK76" si="2170">IF(M76=1,M76*$O76*$P76/1000,IF(M76=2,M76*$O76*$P76/1000," "))</f>
        <v xml:space="preserve"> </v>
      </c>
      <c r="AL76" s="2" t="str">
        <f t="shared" ref="AL76" si="2171">IF(N76=1,N76*$O76*$Q76/1000,IF(N76=2,N76*$O76*$Q76/1000," "))</f>
        <v xml:space="preserve"> </v>
      </c>
      <c r="AM76" s="23">
        <f t="shared" ref="AM76" si="2172">SUM(AN76:BG76)*R76</f>
        <v>0</v>
      </c>
      <c r="AN76" s="8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11"/>
      <c r="BH76" s="1">
        <f t="shared" ref="BH76" si="2173">SUM(BI76:CB76)*R76</f>
        <v>0</v>
      </c>
      <c r="BI76" s="8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11"/>
      <c r="CC76" s="1">
        <f t="shared" ref="CC76" si="2174">SUM(CD76:CW76)*R76</f>
        <v>0</v>
      </c>
      <c r="CD76" s="8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11"/>
      <c r="CX76" s="10">
        <f t="shared" ref="CX76" si="2175">SUM(CY76:DR76)*R76</f>
        <v>0</v>
      </c>
      <c r="CY76" s="8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11"/>
      <c r="DS76" s="10">
        <f t="shared" ref="DS76" si="2176">SUM(DT76:EM76)*R76</f>
        <v>0</v>
      </c>
      <c r="DT76" s="8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11"/>
      <c r="EN76" s="10">
        <f t="shared" ref="EN76" si="2177">SUM(EO76:FH76)*R76</f>
        <v>0</v>
      </c>
      <c r="EO76" s="8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11"/>
      <c r="FI76" s="10">
        <f t="shared" ref="FI76" si="2178">SUM(FJ76:GC76)*R76</f>
        <v>0</v>
      </c>
      <c r="FJ76" s="8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11"/>
      <c r="GD76" s="10">
        <f t="shared" ref="GD76" si="2179">SUM(GE76:GX76)*R76</f>
        <v>0</v>
      </c>
      <c r="GE76" s="8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11"/>
      <c r="GY76" s="10">
        <f t="shared" ref="GY76" si="2180">SUM(GZ76:IZ76)*R76</f>
        <v>0</v>
      </c>
      <c r="GZ76" s="8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11"/>
    </row>
    <row r="77" spans="1:260" ht="14.25" customHeight="1" x14ac:dyDescent="0.3">
      <c r="A77" s="63"/>
      <c r="B77" s="61"/>
      <c r="C77" s="62"/>
      <c r="D77" s="62"/>
      <c r="E77" s="5"/>
      <c r="F77" s="5"/>
      <c r="G77" s="5"/>
      <c r="H77" s="5"/>
      <c r="I77" s="5"/>
      <c r="J77" s="5"/>
      <c r="K77" s="5"/>
      <c r="L77" s="5"/>
      <c r="M77" s="5"/>
      <c r="N77" s="5"/>
      <c r="O77" s="3">
        <f t="shared" ref="O77" si="2181">SUM(AN77:BG77,BI77:CB77,CD77:CW77,CY77:DR77,DT77:EM77,EO77:FH77,FJ77:GC77,GE77:GX77,GZ77:IZ77)</f>
        <v>0</v>
      </c>
      <c r="P77" s="7"/>
      <c r="Q77" s="7"/>
      <c r="R77" s="2">
        <f t="shared" ref="R77" si="2182">P77*Q77/1000000</f>
        <v>0</v>
      </c>
      <c r="S77" s="27">
        <f t="shared" ref="S77" si="2183">AM77</f>
        <v>0</v>
      </c>
      <c r="T77" s="27">
        <f t="shared" ref="T77" si="2184">BH77</f>
        <v>0</v>
      </c>
      <c r="U77" s="27">
        <f t="shared" ref="U77" si="2185">CC77</f>
        <v>0</v>
      </c>
      <c r="V77" s="27">
        <f t="shared" ref="V77" si="2186">CX77</f>
        <v>0</v>
      </c>
      <c r="W77" s="27">
        <f t="shared" ref="W77" si="2187">DS77</f>
        <v>0</v>
      </c>
      <c r="X77" s="27">
        <f t="shared" ref="X77" si="2188">EN77</f>
        <v>0</v>
      </c>
      <c r="Y77" s="27">
        <f t="shared" ref="Y77" si="2189">FI77</f>
        <v>0</v>
      </c>
      <c r="Z77" s="27">
        <f t="shared" ref="Z77" si="2190">GD77</f>
        <v>0</v>
      </c>
      <c r="AA77" s="27">
        <f t="shared" ref="AA77" si="2191">GY77</f>
        <v>0</v>
      </c>
      <c r="AB77" s="4">
        <f t="shared" ref="AB77" si="2192">P77*Q77*O77/1000000</f>
        <v>0</v>
      </c>
      <c r="AC77" s="2" t="str">
        <f t="shared" ref="AC77" si="2193">IF(E77=1,E77*$O77*$Q77/1000,IF(E77=2,E77*$O77*$Q77/1000," "))</f>
        <v xml:space="preserve"> </v>
      </c>
      <c r="AD77" s="2" t="str">
        <f t="shared" ref="AD77" si="2194">IF(F77=1,F77*$O77*$P77/1000,IF(F77=2,F77*$O77*$P77/1000," "))</f>
        <v xml:space="preserve"> </v>
      </c>
      <c r="AE77" s="2" t="str">
        <f t="shared" ref="AE77" si="2195">IF(G77=1,G77*$O77*$P77/1000,IF(G77=2,G77*$O77*$P77/1000," "))</f>
        <v xml:space="preserve"> </v>
      </c>
      <c r="AF77" s="2" t="str">
        <f t="shared" ref="AF77" si="2196">IF(H77=1,H77*$O77*$Q77/1000,IF(H77=2,H77*$O77*$Q77/1000," "))</f>
        <v xml:space="preserve"> </v>
      </c>
      <c r="AG77" s="2" t="str">
        <f t="shared" ref="AG77" si="2197">IF(I77=1,I77*$O77*$P77/1000,IF(I77=2,I77*$O77*$P77/1000," "))</f>
        <v xml:space="preserve"> </v>
      </c>
      <c r="AH77" s="2" t="str">
        <f t="shared" ref="AH77" si="2198">IF(J77=1,J77*$O77*$P77/1000,IF(J77=2,J77*$O77*$P77/1000," "))</f>
        <v xml:space="preserve"> </v>
      </c>
      <c r="AI77" s="2" t="str">
        <f t="shared" ref="AI77" si="2199">IF(K77=1,K77*$O77*$Q77/1000,IF(K77=2,K77*$O77*$Q77/1000," "))</f>
        <v xml:space="preserve"> </v>
      </c>
      <c r="AJ77" s="2" t="str">
        <f t="shared" ref="AJ77" si="2200">IF(L77=1,L77*$O77*$P77/1000,IF(L77=2,L77*$O77*$P77/1000," "))</f>
        <v xml:space="preserve"> </v>
      </c>
      <c r="AK77" s="2" t="str">
        <f t="shared" ref="AK77" si="2201">IF(M77=1,M77*$O77*$P77/1000,IF(M77=2,M77*$O77*$P77/1000," "))</f>
        <v xml:space="preserve"> </v>
      </c>
      <c r="AL77" s="2" t="str">
        <f t="shared" ref="AL77" si="2202">IF(N77=1,N77*$O77*$Q77/1000,IF(N77=2,N77*$O77*$Q77/1000," "))</f>
        <v xml:space="preserve"> </v>
      </c>
      <c r="AM77" s="23">
        <f t="shared" ref="AM77" si="2203">SUM(AN77:BG77)*R77</f>
        <v>0</v>
      </c>
      <c r="AN77" s="8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11"/>
      <c r="BH77" s="1">
        <f t="shared" ref="BH77" si="2204">SUM(BI77:CB77)*R77</f>
        <v>0</v>
      </c>
      <c r="BI77" s="8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11"/>
      <c r="CC77" s="1">
        <f t="shared" ref="CC77" si="2205">SUM(CD77:CW77)*R77</f>
        <v>0</v>
      </c>
      <c r="CD77" s="8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11"/>
      <c r="CX77" s="10">
        <f t="shared" ref="CX77" si="2206">SUM(CY77:DR77)*R77</f>
        <v>0</v>
      </c>
      <c r="CY77" s="8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11"/>
      <c r="DS77" s="10">
        <f t="shared" ref="DS77" si="2207">SUM(DT77:EM77)*R77</f>
        <v>0</v>
      </c>
      <c r="DT77" s="8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11"/>
      <c r="EN77" s="10">
        <f t="shared" ref="EN77" si="2208">SUM(EO77:FH77)*R77</f>
        <v>0</v>
      </c>
      <c r="EO77" s="8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11"/>
      <c r="FI77" s="10">
        <f t="shared" ref="FI77" si="2209">SUM(FJ77:GC77)*R77</f>
        <v>0</v>
      </c>
      <c r="FJ77" s="8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11"/>
      <c r="GD77" s="10">
        <f t="shared" ref="GD77" si="2210">SUM(GE77:GX77)*R77</f>
        <v>0</v>
      </c>
      <c r="GE77" s="8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11"/>
      <c r="GY77" s="10">
        <f t="shared" ref="GY77" si="2211">SUM(GZ77:IZ77)*R77</f>
        <v>0</v>
      </c>
      <c r="GZ77" s="8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11"/>
    </row>
    <row r="78" spans="1:260" ht="14.25" customHeight="1" x14ac:dyDescent="0.3">
      <c r="A78" s="63"/>
      <c r="B78" s="61"/>
      <c r="C78" s="62"/>
      <c r="D78" s="62"/>
      <c r="E78" s="5"/>
      <c r="F78" s="5"/>
      <c r="G78" s="5"/>
      <c r="H78" s="5"/>
      <c r="I78" s="5"/>
      <c r="J78" s="5"/>
      <c r="K78" s="5"/>
      <c r="L78" s="5"/>
      <c r="M78" s="5"/>
      <c r="N78" s="5"/>
      <c r="O78" s="3">
        <f t="shared" ref="O78" si="2212">SUM(AN78:BG78,BI78:CB78,CD78:CW78,CY78:DR78,DT78:EM78,EO78:FH78,FJ78:GC78,GE78:GX78,GZ78:IZ78)</f>
        <v>0</v>
      </c>
      <c r="P78" s="7"/>
      <c r="Q78" s="7"/>
      <c r="R78" s="2">
        <f t="shared" ref="R78" si="2213">P78*Q78/1000000</f>
        <v>0</v>
      </c>
      <c r="S78" s="27">
        <f t="shared" ref="S78" si="2214">AM78</f>
        <v>0</v>
      </c>
      <c r="T78" s="27">
        <f t="shared" ref="T78" si="2215">BH78</f>
        <v>0</v>
      </c>
      <c r="U78" s="27">
        <f t="shared" ref="U78" si="2216">CC78</f>
        <v>0</v>
      </c>
      <c r="V78" s="27">
        <f t="shared" ref="V78" si="2217">CX78</f>
        <v>0</v>
      </c>
      <c r="W78" s="27">
        <f t="shared" ref="W78" si="2218">DS78</f>
        <v>0</v>
      </c>
      <c r="X78" s="27">
        <f t="shared" ref="X78" si="2219">EN78</f>
        <v>0</v>
      </c>
      <c r="Y78" s="27">
        <f t="shared" ref="Y78" si="2220">FI78</f>
        <v>0</v>
      </c>
      <c r="Z78" s="27">
        <f t="shared" ref="Z78" si="2221">GD78</f>
        <v>0</v>
      </c>
      <c r="AA78" s="27">
        <f t="shared" ref="AA78" si="2222">GY78</f>
        <v>0</v>
      </c>
      <c r="AB78" s="4">
        <f t="shared" ref="AB78" si="2223">P78*Q78*O78/1000000</f>
        <v>0</v>
      </c>
      <c r="AC78" s="2" t="str">
        <f t="shared" ref="AC78" si="2224">IF(E78=1,E78*$O78*$Q78/1000,IF(E78=2,E78*$O78*$Q78/1000," "))</f>
        <v xml:space="preserve"> </v>
      </c>
      <c r="AD78" s="2" t="str">
        <f t="shared" ref="AD78" si="2225">IF(F78=1,F78*$O78*$P78/1000,IF(F78=2,F78*$O78*$P78/1000," "))</f>
        <v xml:space="preserve"> </v>
      </c>
      <c r="AE78" s="2" t="str">
        <f t="shared" ref="AE78" si="2226">IF(G78=1,G78*$O78*$P78/1000,IF(G78=2,G78*$O78*$P78/1000," "))</f>
        <v xml:space="preserve"> </v>
      </c>
      <c r="AF78" s="2" t="str">
        <f t="shared" ref="AF78" si="2227">IF(H78=1,H78*$O78*$Q78/1000,IF(H78=2,H78*$O78*$Q78/1000," "))</f>
        <v xml:space="preserve"> </v>
      </c>
      <c r="AG78" s="2" t="str">
        <f t="shared" ref="AG78" si="2228">IF(I78=1,I78*$O78*$P78/1000,IF(I78=2,I78*$O78*$P78/1000," "))</f>
        <v xml:space="preserve"> </v>
      </c>
      <c r="AH78" s="2" t="str">
        <f t="shared" ref="AH78" si="2229">IF(J78=1,J78*$O78*$P78/1000,IF(J78=2,J78*$O78*$P78/1000," "))</f>
        <v xml:space="preserve"> </v>
      </c>
      <c r="AI78" s="2" t="str">
        <f t="shared" ref="AI78" si="2230">IF(K78=1,K78*$O78*$Q78/1000,IF(K78=2,K78*$O78*$Q78/1000," "))</f>
        <v xml:space="preserve"> </v>
      </c>
      <c r="AJ78" s="2" t="str">
        <f t="shared" ref="AJ78" si="2231">IF(L78=1,L78*$O78*$P78/1000,IF(L78=2,L78*$O78*$P78/1000," "))</f>
        <v xml:space="preserve"> </v>
      </c>
      <c r="AK78" s="2" t="str">
        <f t="shared" ref="AK78" si="2232">IF(M78=1,M78*$O78*$P78/1000,IF(M78=2,M78*$O78*$P78/1000," "))</f>
        <v xml:space="preserve"> </v>
      </c>
      <c r="AL78" s="2" t="str">
        <f t="shared" ref="AL78" si="2233">IF(N78=1,N78*$O78*$Q78/1000,IF(N78=2,N78*$O78*$Q78/1000," "))</f>
        <v xml:space="preserve"> </v>
      </c>
      <c r="AM78" s="23">
        <f t="shared" ref="AM78" si="2234">SUM(AN78:BG78)*R78</f>
        <v>0</v>
      </c>
      <c r="AN78" s="8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11"/>
      <c r="BH78" s="1">
        <f t="shared" ref="BH78" si="2235">SUM(BI78:CB78)*R78</f>
        <v>0</v>
      </c>
      <c r="BI78" s="8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11"/>
      <c r="CC78" s="1">
        <f t="shared" ref="CC78" si="2236">SUM(CD78:CW78)*R78</f>
        <v>0</v>
      </c>
      <c r="CD78" s="8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11"/>
      <c r="CX78" s="10">
        <f t="shared" ref="CX78" si="2237">SUM(CY78:DR78)*R78</f>
        <v>0</v>
      </c>
      <c r="CY78" s="8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11"/>
      <c r="DS78" s="10">
        <f t="shared" ref="DS78" si="2238">SUM(DT78:EM78)*R78</f>
        <v>0</v>
      </c>
      <c r="DT78" s="8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11"/>
      <c r="EN78" s="10">
        <f t="shared" ref="EN78" si="2239">SUM(EO78:FH78)*R78</f>
        <v>0</v>
      </c>
      <c r="EO78" s="8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11"/>
      <c r="FI78" s="10">
        <f t="shared" ref="FI78" si="2240">SUM(FJ78:GC78)*R78</f>
        <v>0</v>
      </c>
      <c r="FJ78" s="8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11"/>
      <c r="GD78" s="10">
        <f t="shared" ref="GD78" si="2241">SUM(GE78:GX78)*R78</f>
        <v>0</v>
      </c>
      <c r="GE78" s="8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11"/>
      <c r="GY78" s="10">
        <f t="shared" ref="GY78" si="2242">SUM(GZ78:IZ78)*R78</f>
        <v>0</v>
      </c>
      <c r="GZ78" s="8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11"/>
    </row>
    <row r="79" spans="1:260" ht="14.25" customHeight="1" x14ac:dyDescent="0.3">
      <c r="A79" s="63"/>
      <c r="B79" s="61"/>
      <c r="C79" s="62"/>
      <c r="D79" s="62"/>
      <c r="E79" s="5"/>
      <c r="F79" s="5"/>
      <c r="G79" s="5"/>
      <c r="H79" s="5"/>
      <c r="I79" s="5"/>
      <c r="J79" s="5"/>
      <c r="K79" s="5"/>
      <c r="L79" s="5"/>
      <c r="M79" s="5"/>
      <c r="N79" s="5"/>
      <c r="O79" s="3">
        <f t="shared" ref="O79" si="2243">SUM(AN79:BG79,BI79:CB79,CD79:CW79,CY79:DR79,DT79:EM79,EO79:FH79,FJ79:GC79,GE79:GX79,GZ79:IZ79)</f>
        <v>0</v>
      </c>
      <c r="P79" s="7"/>
      <c r="Q79" s="7"/>
      <c r="R79" s="2">
        <f t="shared" ref="R79" si="2244">P79*Q79/1000000</f>
        <v>0</v>
      </c>
      <c r="S79" s="27">
        <f t="shared" ref="S79" si="2245">AM79</f>
        <v>0</v>
      </c>
      <c r="T79" s="27">
        <f t="shared" ref="T79" si="2246">BH79</f>
        <v>0</v>
      </c>
      <c r="U79" s="27">
        <f t="shared" ref="U79" si="2247">CC79</f>
        <v>0</v>
      </c>
      <c r="V79" s="27">
        <f t="shared" ref="V79" si="2248">CX79</f>
        <v>0</v>
      </c>
      <c r="W79" s="27">
        <f t="shared" ref="W79" si="2249">DS79</f>
        <v>0</v>
      </c>
      <c r="X79" s="27">
        <f t="shared" ref="X79" si="2250">EN79</f>
        <v>0</v>
      </c>
      <c r="Y79" s="27">
        <f t="shared" ref="Y79" si="2251">FI79</f>
        <v>0</v>
      </c>
      <c r="Z79" s="27">
        <f t="shared" ref="Z79" si="2252">GD79</f>
        <v>0</v>
      </c>
      <c r="AA79" s="27">
        <f t="shared" ref="AA79" si="2253">GY79</f>
        <v>0</v>
      </c>
      <c r="AB79" s="4">
        <f t="shared" ref="AB79" si="2254">P79*Q79*O79/1000000</f>
        <v>0</v>
      </c>
      <c r="AC79" s="2" t="str">
        <f t="shared" ref="AC79" si="2255">IF(E79=1,E79*$O79*$Q79/1000,IF(E79=2,E79*$O79*$Q79/1000," "))</f>
        <v xml:space="preserve"> </v>
      </c>
      <c r="AD79" s="2" t="str">
        <f t="shared" ref="AD79" si="2256">IF(F79=1,F79*$O79*$P79/1000,IF(F79=2,F79*$O79*$P79/1000," "))</f>
        <v xml:space="preserve"> </v>
      </c>
      <c r="AE79" s="2" t="str">
        <f t="shared" ref="AE79" si="2257">IF(G79=1,G79*$O79*$P79/1000,IF(G79=2,G79*$O79*$P79/1000," "))</f>
        <v xml:space="preserve"> </v>
      </c>
      <c r="AF79" s="2" t="str">
        <f t="shared" ref="AF79" si="2258">IF(H79=1,H79*$O79*$Q79/1000,IF(H79=2,H79*$O79*$Q79/1000," "))</f>
        <v xml:space="preserve"> </v>
      </c>
      <c r="AG79" s="2" t="str">
        <f t="shared" ref="AG79" si="2259">IF(I79=1,I79*$O79*$P79/1000,IF(I79=2,I79*$O79*$P79/1000," "))</f>
        <v xml:space="preserve"> </v>
      </c>
      <c r="AH79" s="2" t="str">
        <f t="shared" ref="AH79" si="2260">IF(J79=1,J79*$O79*$P79/1000,IF(J79=2,J79*$O79*$P79/1000," "))</f>
        <v xml:space="preserve"> </v>
      </c>
      <c r="AI79" s="2" t="str">
        <f t="shared" ref="AI79" si="2261">IF(K79=1,K79*$O79*$Q79/1000,IF(K79=2,K79*$O79*$Q79/1000," "))</f>
        <v xml:space="preserve"> </v>
      </c>
      <c r="AJ79" s="2" t="str">
        <f t="shared" ref="AJ79" si="2262">IF(L79=1,L79*$O79*$P79/1000,IF(L79=2,L79*$O79*$P79/1000," "))</f>
        <v xml:space="preserve"> </v>
      </c>
      <c r="AK79" s="2" t="str">
        <f t="shared" ref="AK79" si="2263">IF(M79=1,M79*$O79*$P79/1000,IF(M79=2,M79*$O79*$P79/1000," "))</f>
        <v xml:space="preserve"> </v>
      </c>
      <c r="AL79" s="2" t="str">
        <f t="shared" ref="AL79" si="2264">IF(N79=1,N79*$O79*$Q79/1000,IF(N79=2,N79*$O79*$Q79/1000," "))</f>
        <v xml:space="preserve"> </v>
      </c>
      <c r="AM79" s="23">
        <f t="shared" ref="AM79" si="2265">SUM(AN79:BG79)*R79</f>
        <v>0</v>
      </c>
      <c r="AN79" s="8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11"/>
      <c r="BH79" s="1">
        <f t="shared" ref="BH79" si="2266">SUM(BI79:CB79)*R79</f>
        <v>0</v>
      </c>
      <c r="BI79" s="8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11"/>
      <c r="CC79" s="1">
        <f t="shared" ref="CC79" si="2267">SUM(CD79:CW79)*R79</f>
        <v>0</v>
      </c>
      <c r="CD79" s="8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11"/>
      <c r="CX79" s="10">
        <f t="shared" ref="CX79" si="2268">SUM(CY79:DR79)*R79</f>
        <v>0</v>
      </c>
      <c r="CY79" s="8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11"/>
      <c r="DS79" s="10">
        <f t="shared" ref="DS79" si="2269">SUM(DT79:EM79)*R79</f>
        <v>0</v>
      </c>
      <c r="DT79" s="8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11"/>
      <c r="EN79" s="10">
        <f t="shared" ref="EN79" si="2270">SUM(EO79:FH79)*R79</f>
        <v>0</v>
      </c>
      <c r="EO79" s="8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11"/>
      <c r="FI79" s="10">
        <f t="shared" ref="FI79" si="2271">SUM(FJ79:GC79)*R79</f>
        <v>0</v>
      </c>
      <c r="FJ79" s="8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11"/>
      <c r="GD79" s="10">
        <f t="shared" ref="GD79" si="2272">SUM(GE79:GX79)*R79</f>
        <v>0</v>
      </c>
      <c r="GE79" s="8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11"/>
      <c r="GY79" s="10">
        <f t="shared" ref="GY79" si="2273">SUM(GZ79:IZ79)*R79</f>
        <v>0</v>
      </c>
      <c r="GZ79" s="8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11"/>
    </row>
    <row r="80" spans="1:260" ht="14.25" customHeight="1" x14ac:dyDescent="0.3">
      <c r="A80" s="63"/>
      <c r="B80" s="61"/>
      <c r="C80" s="62"/>
      <c r="D80" s="62"/>
      <c r="E80" s="5"/>
      <c r="F80" s="5"/>
      <c r="G80" s="5"/>
      <c r="H80" s="5"/>
      <c r="I80" s="5"/>
      <c r="J80" s="5"/>
      <c r="K80" s="5"/>
      <c r="L80" s="5"/>
      <c r="M80" s="5"/>
      <c r="N80" s="5"/>
      <c r="O80" s="3">
        <f t="shared" ref="O80" si="2274">SUM(AN80:BG80,BI80:CB80,CD80:CW80,CY80:DR80,DT80:EM80,EO80:FH80,FJ80:GC80,GE80:GX80,GZ80:IZ80)</f>
        <v>0</v>
      </c>
      <c r="P80" s="7"/>
      <c r="Q80" s="7"/>
      <c r="R80" s="2">
        <f t="shared" ref="R80" si="2275">P80*Q80/1000000</f>
        <v>0</v>
      </c>
      <c r="S80" s="27">
        <f t="shared" ref="S80" si="2276">AM80</f>
        <v>0</v>
      </c>
      <c r="T80" s="27">
        <f t="shared" ref="T80" si="2277">BH80</f>
        <v>0</v>
      </c>
      <c r="U80" s="27">
        <f t="shared" ref="U80" si="2278">CC80</f>
        <v>0</v>
      </c>
      <c r="V80" s="27">
        <f t="shared" ref="V80" si="2279">CX80</f>
        <v>0</v>
      </c>
      <c r="W80" s="27">
        <f t="shared" ref="W80" si="2280">DS80</f>
        <v>0</v>
      </c>
      <c r="X80" s="27">
        <f t="shared" ref="X80" si="2281">EN80</f>
        <v>0</v>
      </c>
      <c r="Y80" s="27">
        <f t="shared" ref="Y80" si="2282">FI80</f>
        <v>0</v>
      </c>
      <c r="Z80" s="27">
        <f t="shared" ref="Z80" si="2283">GD80</f>
        <v>0</v>
      </c>
      <c r="AA80" s="27">
        <f t="shared" ref="AA80" si="2284">GY80</f>
        <v>0</v>
      </c>
      <c r="AB80" s="4">
        <f t="shared" ref="AB80" si="2285">P80*Q80*O80/1000000</f>
        <v>0</v>
      </c>
      <c r="AC80" s="2" t="str">
        <f t="shared" ref="AC80" si="2286">IF(E80=1,E80*$O80*$Q80/1000,IF(E80=2,E80*$O80*$Q80/1000," "))</f>
        <v xml:space="preserve"> </v>
      </c>
      <c r="AD80" s="2" t="str">
        <f t="shared" ref="AD80" si="2287">IF(F80=1,F80*$O80*$P80/1000,IF(F80=2,F80*$O80*$P80/1000," "))</f>
        <v xml:space="preserve"> </v>
      </c>
      <c r="AE80" s="2" t="str">
        <f t="shared" ref="AE80" si="2288">IF(G80=1,G80*$O80*$P80/1000,IF(G80=2,G80*$O80*$P80/1000," "))</f>
        <v xml:space="preserve"> </v>
      </c>
      <c r="AF80" s="2" t="str">
        <f t="shared" ref="AF80" si="2289">IF(H80=1,H80*$O80*$Q80/1000,IF(H80=2,H80*$O80*$Q80/1000," "))</f>
        <v xml:space="preserve"> </v>
      </c>
      <c r="AG80" s="2" t="str">
        <f t="shared" ref="AG80" si="2290">IF(I80=1,I80*$O80*$P80/1000,IF(I80=2,I80*$O80*$P80/1000," "))</f>
        <v xml:space="preserve"> </v>
      </c>
      <c r="AH80" s="2" t="str">
        <f t="shared" ref="AH80" si="2291">IF(J80=1,J80*$O80*$P80/1000,IF(J80=2,J80*$O80*$P80/1000," "))</f>
        <v xml:space="preserve"> </v>
      </c>
      <c r="AI80" s="2" t="str">
        <f t="shared" ref="AI80" si="2292">IF(K80=1,K80*$O80*$Q80/1000,IF(K80=2,K80*$O80*$Q80/1000," "))</f>
        <v xml:space="preserve"> </v>
      </c>
      <c r="AJ80" s="2" t="str">
        <f t="shared" ref="AJ80" si="2293">IF(L80=1,L80*$O80*$P80/1000,IF(L80=2,L80*$O80*$P80/1000," "))</f>
        <v xml:space="preserve"> </v>
      </c>
      <c r="AK80" s="2" t="str">
        <f t="shared" ref="AK80" si="2294">IF(M80=1,M80*$O80*$P80/1000,IF(M80=2,M80*$O80*$P80/1000," "))</f>
        <v xml:space="preserve"> </v>
      </c>
      <c r="AL80" s="2" t="str">
        <f t="shared" ref="AL80" si="2295">IF(N80=1,N80*$O80*$Q80/1000,IF(N80=2,N80*$O80*$Q80/1000," "))</f>
        <v xml:space="preserve"> </v>
      </c>
      <c r="AM80" s="23">
        <f t="shared" ref="AM80" si="2296">SUM(AN80:BG80)*R80</f>
        <v>0</v>
      </c>
      <c r="AN80" s="8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11"/>
      <c r="BH80" s="1">
        <f t="shared" ref="BH80" si="2297">SUM(BI80:CB80)*R80</f>
        <v>0</v>
      </c>
      <c r="BI80" s="8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11"/>
      <c r="CC80" s="1">
        <f t="shared" ref="CC80" si="2298">SUM(CD80:CW80)*R80</f>
        <v>0</v>
      </c>
      <c r="CD80" s="8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11"/>
      <c r="CX80" s="10">
        <f t="shared" ref="CX80" si="2299">SUM(CY80:DR80)*R80</f>
        <v>0</v>
      </c>
      <c r="CY80" s="8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11"/>
      <c r="DS80" s="10">
        <f t="shared" ref="DS80" si="2300">SUM(DT80:EM80)*R80</f>
        <v>0</v>
      </c>
      <c r="DT80" s="8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11"/>
      <c r="EN80" s="10">
        <f t="shared" ref="EN80" si="2301">SUM(EO80:FH80)*R80</f>
        <v>0</v>
      </c>
      <c r="EO80" s="8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11"/>
      <c r="FI80" s="10">
        <f t="shared" ref="FI80" si="2302">SUM(FJ80:GC80)*R80</f>
        <v>0</v>
      </c>
      <c r="FJ80" s="8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11"/>
      <c r="GD80" s="10">
        <f t="shared" ref="GD80" si="2303">SUM(GE80:GX80)*R80</f>
        <v>0</v>
      </c>
      <c r="GE80" s="8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11"/>
      <c r="GY80" s="10">
        <f t="shared" ref="GY80" si="2304">SUM(GZ80:IZ80)*R80</f>
        <v>0</v>
      </c>
      <c r="GZ80" s="8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11"/>
    </row>
    <row r="81" spans="1:260" ht="14.25" customHeight="1" x14ac:dyDescent="0.3">
      <c r="A81" s="63"/>
      <c r="B81" s="61"/>
      <c r="C81" s="62"/>
      <c r="D81" s="62"/>
      <c r="E81" s="5"/>
      <c r="F81" s="5"/>
      <c r="G81" s="5"/>
      <c r="H81" s="5"/>
      <c r="I81" s="5"/>
      <c r="J81" s="5"/>
      <c r="K81" s="5"/>
      <c r="L81" s="5"/>
      <c r="M81" s="5"/>
      <c r="N81" s="5"/>
      <c r="O81" s="3">
        <f t="shared" ref="O81" si="2305">SUM(AN81:BG81,BI81:CB81,CD81:CW81,CY81:DR81,DT81:EM81,EO81:FH81,FJ81:GC81,GE81:GX81,GZ81:IZ81)</f>
        <v>0</v>
      </c>
      <c r="P81" s="7"/>
      <c r="Q81" s="7"/>
      <c r="R81" s="2">
        <f t="shared" ref="R81" si="2306">P81*Q81/1000000</f>
        <v>0</v>
      </c>
      <c r="S81" s="27">
        <f t="shared" ref="S81" si="2307">AM81</f>
        <v>0</v>
      </c>
      <c r="T81" s="27">
        <f t="shared" ref="T81" si="2308">BH81</f>
        <v>0</v>
      </c>
      <c r="U81" s="27">
        <f t="shared" ref="U81" si="2309">CC81</f>
        <v>0</v>
      </c>
      <c r="V81" s="27">
        <f t="shared" ref="V81" si="2310">CX81</f>
        <v>0</v>
      </c>
      <c r="W81" s="27">
        <f t="shared" ref="W81" si="2311">DS81</f>
        <v>0</v>
      </c>
      <c r="X81" s="27">
        <f t="shared" ref="X81" si="2312">EN81</f>
        <v>0</v>
      </c>
      <c r="Y81" s="27">
        <f t="shared" ref="Y81" si="2313">FI81</f>
        <v>0</v>
      </c>
      <c r="Z81" s="27">
        <f t="shared" ref="Z81" si="2314">GD81</f>
        <v>0</v>
      </c>
      <c r="AA81" s="27">
        <f t="shared" ref="AA81" si="2315">GY81</f>
        <v>0</v>
      </c>
      <c r="AB81" s="4">
        <f t="shared" ref="AB81" si="2316">P81*Q81*O81/1000000</f>
        <v>0</v>
      </c>
      <c r="AC81" s="2" t="str">
        <f t="shared" ref="AC81" si="2317">IF(E81=1,E81*$O81*$Q81/1000,IF(E81=2,E81*$O81*$Q81/1000," "))</f>
        <v xml:space="preserve"> </v>
      </c>
      <c r="AD81" s="2" t="str">
        <f t="shared" ref="AD81" si="2318">IF(F81=1,F81*$O81*$P81/1000,IF(F81=2,F81*$O81*$P81/1000," "))</f>
        <v xml:space="preserve"> </v>
      </c>
      <c r="AE81" s="2" t="str">
        <f t="shared" ref="AE81" si="2319">IF(G81=1,G81*$O81*$P81/1000,IF(G81=2,G81*$O81*$P81/1000," "))</f>
        <v xml:space="preserve"> </v>
      </c>
      <c r="AF81" s="2" t="str">
        <f t="shared" ref="AF81" si="2320">IF(H81=1,H81*$O81*$Q81/1000,IF(H81=2,H81*$O81*$Q81/1000," "))</f>
        <v xml:space="preserve"> </v>
      </c>
      <c r="AG81" s="2" t="str">
        <f t="shared" ref="AG81" si="2321">IF(I81=1,I81*$O81*$P81/1000,IF(I81=2,I81*$O81*$P81/1000," "))</f>
        <v xml:space="preserve"> </v>
      </c>
      <c r="AH81" s="2" t="str">
        <f t="shared" ref="AH81" si="2322">IF(J81=1,J81*$O81*$P81/1000,IF(J81=2,J81*$O81*$P81/1000," "))</f>
        <v xml:space="preserve"> </v>
      </c>
      <c r="AI81" s="2" t="str">
        <f t="shared" ref="AI81" si="2323">IF(K81=1,K81*$O81*$Q81/1000,IF(K81=2,K81*$O81*$Q81/1000," "))</f>
        <v xml:space="preserve"> </v>
      </c>
      <c r="AJ81" s="2" t="str">
        <f t="shared" ref="AJ81" si="2324">IF(L81=1,L81*$O81*$P81/1000,IF(L81=2,L81*$O81*$P81/1000," "))</f>
        <v xml:space="preserve"> </v>
      </c>
      <c r="AK81" s="2" t="str">
        <f t="shared" ref="AK81" si="2325">IF(M81=1,M81*$O81*$P81/1000,IF(M81=2,M81*$O81*$P81/1000," "))</f>
        <v xml:space="preserve"> </v>
      </c>
      <c r="AL81" s="2" t="str">
        <f t="shared" ref="AL81" si="2326">IF(N81=1,N81*$O81*$Q81/1000,IF(N81=2,N81*$O81*$Q81/1000," "))</f>
        <v xml:space="preserve"> </v>
      </c>
      <c r="AM81" s="23">
        <f t="shared" ref="AM81" si="2327">SUM(AN81:BG81)*R81</f>
        <v>0</v>
      </c>
      <c r="AN81" s="8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11"/>
      <c r="BH81" s="1">
        <f t="shared" ref="BH81" si="2328">SUM(BI81:CB81)*R81</f>
        <v>0</v>
      </c>
      <c r="BI81" s="8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11"/>
      <c r="CC81" s="1">
        <f t="shared" ref="CC81" si="2329">SUM(CD81:CW81)*R81</f>
        <v>0</v>
      </c>
      <c r="CD81" s="8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11"/>
      <c r="CX81" s="10">
        <f t="shared" ref="CX81" si="2330">SUM(CY81:DR81)*R81</f>
        <v>0</v>
      </c>
      <c r="CY81" s="8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11"/>
      <c r="DS81" s="10">
        <f t="shared" ref="DS81" si="2331">SUM(DT81:EM81)*R81</f>
        <v>0</v>
      </c>
      <c r="DT81" s="8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11"/>
      <c r="EN81" s="10">
        <f t="shared" ref="EN81" si="2332">SUM(EO81:FH81)*R81</f>
        <v>0</v>
      </c>
      <c r="EO81" s="8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11"/>
      <c r="FI81" s="10">
        <f t="shared" ref="FI81" si="2333">SUM(FJ81:GC81)*R81</f>
        <v>0</v>
      </c>
      <c r="FJ81" s="8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11"/>
      <c r="GD81" s="10">
        <f t="shared" ref="GD81" si="2334">SUM(GE81:GX81)*R81</f>
        <v>0</v>
      </c>
      <c r="GE81" s="8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11"/>
      <c r="GY81" s="10">
        <f t="shared" ref="GY81" si="2335">SUM(GZ81:IZ81)*R81</f>
        <v>0</v>
      </c>
      <c r="GZ81" s="8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11"/>
    </row>
    <row r="82" spans="1:260" ht="14.25" customHeight="1" x14ac:dyDescent="0.3">
      <c r="A82" s="63"/>
      <c r="B82" s="61"/>
      <c r="C82" s="62"/>
      <c r="D82" s="62"/>
      <c r="E82" s="5"/>
      <c r="F82" s="5"/>
      <c r="G82" s="5"/>
      <c r="H82" s="5"/>
      <c r="I82" s="5"/>
      <c r="J82" s="5"/>
      <c r="K82" s="5"/>
      <c r="L82" s="5"/>
      <c r="M82" s="5"/>
      <c r="N82" s="5"/>
      <c r="O82" s="3">
        <f t="shared" ref="O82" si="2336">SUM(AN82:BG82,BI82:CB82,CD82:CW82,CY82:DR82,DT82:EM82,EO82:FH82,FJ82:GC82,GE82:GX82,GZ82:IZ82)</f>
        <v>0</v>
      </c>
      <c r="P82" s="7"/>
      <c r="Q82" s="7"/>
      <c r="R82" s="2">
        <f t="shared" ref="R82" si="2337">P82*Q82/1000000</f>
        <v>0</v>
      </c>
      <c r="S82" s="27">
        <f t="shared" ref="S82" si="2338">AM82</f>
        <v>0</v>
      </c>
      <c r="T82" s="27">
        <f t="shared" ref="T82" si="2339">BH82</f>
        <v>0</v>
      </c>
      <c r="U82" s="27">
        <f t="shared" ref="U82" si="2340">CC82</f>
        <v>0</v>
      </c>
      <c r="V82" s="27">
        <f t="shared" ref="V82" si="2341">CX82</f>
        <v>0</v>
      </c>
      <c r="W82" s="27">
        <f t="shared" ref="W82" si="2342">DS82</f>
        <v>0</v>
      </c>
      <c r="X82" s="27">
        <f t="shared" ref="X82" si="2343">EN82</f>
        <v>0</v>
      </c>
      <c r="Y82" s="27">
        <f t="shared" ref="Y82" si="2344">FI82</f>
        <v>0</v>
      </c>
      <c r="Z82" s="27">
        <f t="shared" ref="Z82" si="2345">GD82</f>
        <v>0</v>
      </c>
      <c r="AA82" s="27">
        <f t="shared" ref="AA82" si="2346">GY82</f>
        <v>0</v>
      </c>
      <c r="AB82" s="4">
        <f t="shared" ref="AB82" si="2347">P82*Q82*O82/1000000</f>
        <v>0</v>
      </c>
      <c r="AC82" s="2" t="str">
        <f t="shared" ref="AC82" si="2348">IF(E82=1,E82*$O82*$Q82/1000,IF(E82=2,E82*$O82*$Q82/1000," "))</f>
        <v xml:space="preserve"> </v>
      </c>
      <c r="AD82" s="2" t="str">
        <f t="shared" ref="AD82" si="2349">IF(F82=1,F82*$O82*$P82/1000,IF(F82=2,F82*$O82*$P82/1000," "))</f>
        <v xml:space="preserve"> </v>
      </c>
      <c r="AE82" s="2" t="str">
        <f t="shared" ref="AE82" si="2350">IF(G82=1,G82*$O82*$P82/1000,IF(G82=2,G82*$O82*$P82/1000," "))</f>
        <v xml:space="preserve"> </v>
      </c>
      <c r="AF82" s="2" t="str">
        <f t="shared" ref="AF82" si="2351">IF(H82=1,H82*$O82*$Q82/1000,IF(H82=2,H82*$O82*$Q82/1000," "))</f>
        <v xml:space="preserve"> </v>
      </c>
      <c r="AG82" s="2" t="str">
        <f t="shared" ref="AG82" si="2352">IF(I82=1,I82*$O82*$P82/1000,IF(I82=2,I82*$O82*$P82/1000," "))</f>
        <v xml:space="preserve"> </v>
      </c>
      <c r="AH82" s="2" t="str">
        <f t="shared" ref="AH82" si="2353">IF(J82=1,J82*$O82*$P82/1000,IF(J82=2,J82*$O82*$P82/1000," "))</f>
        <v xml:space="preserve"> </v>
      </c>
      <c r="AI82" s="2" t="str">
        <f t="shared" ref="AI82" si="2354">IF(K82=1,K82*$O82*$Q82/1000,IF(K82=2,K82*$O82*$Q82/1000," "))</f>
        <v xml:space="preserve"> </v>
      </c>
      <c r="AJ82" s="2" t="str">
        <f t="shared" ref="AJ82" si="2355">IF(L82=1,L82*$O82*$P82/1000,IF(L82=2,L82*$O82*$P82/1000," "))</f>
        <v xml:space="preserve"> </v>
      </c>
      <c r="AK82" s="2" t="str">
        <f t="shared" ref="AK82" si="2356">IF(M82=1,M82*$O82*$P82/1000,IF(M82=2,M82*$O82*$P82/1000," "))</f>
        <v xml:space="preserve"> </v>
      </c>
      <c r="AL82" s="2" t="str">
        <f t="shared" ref="AL82" si="2357">IF(N82=1,N82*$O82*$Q82/1000,IF(N82=2,N82*$O82*$Q82/1000," "))</f>
        <v xml:space="preserve"> </v>
      </c>
      <c r="AM82" s="23">
        <f t="shared" ref="AM82" si="2358">SUM(AN82:BG82)*R82</f>
        <v>0</v>
      </c>
      <c r="AN82" s="8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11"/>
      <c r="BH82" s="1">
        <f t="shared" ref="BH82" si="2359">SUM(BI82:CB82)*R82</f>
        <v>0</v>
      </c>
      <c r="BI82" s="8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11"/>
      <c r="CC82" s="1">
        <f t="shared" ref="CC82" si="2360">SUM(CD82:CW82)*R82</f>
        <v>0</v>
      </c>
      <c r="CD82" s="8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11"/>
      <c r="CX82" s="10">
        <f t="shared" ref="CX82" si="2361">SUM(CY82:DR82)*R82</f>
        <v>0</v>
      </c>
      <c r="CY82" s="8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11"/>
      <c r="DS82" s="10">
        <f t="shared" ref="DS82" si="2362">SUM(DT82:EM82)*R82</f>
        <v>0</v>
      </c>
      <c r="DT82" s="8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11"/>
      <c r="EN82" s="10">
        <f t="shared" ref="EN82" si="2363">SUM(EO82:FH82)*R82</f>
        <v>0</v>
      </c>
      <c r="EO82" s="8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11"/>
      <c r="FI82" s="10">
        <f t="shared" ref="FI82" si="2364">SUM(FJ82:GC82)*R82</f>
        <v>0</v>
      </c>
      <c r="FJ82" s="8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11"/>
      <c r="GD82" s="10">
        <f t="shared" ref="GD82" si="2365">SUM(GE82:GX82)*R82</f>
        <v>0</v>
      </c>
      <c r="GE82" s="8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11"/>
      <c r="GY82" s="10">
        <f t="shared" ref="GY82" si="2366">SUM(GZ82:IZ82)*R82</f>
        <v>0</v>
      </c>
      <c r="GZ82" s="8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11"/>
    </row>
    <row r="83" spans="1:260" ht="14.25" customHeight="1" x14ac:dyDescent="0.3">
      <c r="A83" s="63"/>
      <c r="B83" s="61"/>
      <c r="C83" s="62"/>
      <c r="D83" s="62"/>
      <c r="E83" s="5"/>
      <c r="F83" s="5"/>
      <c r="G83" s="5"/>
      <c r="H83" s="5"/>
      <c r="I83" s="5"/>
      <c r="J83" s="5"/>
      <c r="K83" s="5"/>
      <c r="L83" s="5"/>
      <c r="M83" s="5"/>
      <c r="N83" s="5"/>
      <c r="O83" s="3">
        <f t="shared" ref="O83" si="2367">SUM(AN83:BG83,BI83:CB83,CD83:CW83,CY83:DR83,DT83:EM83,EO83:FH83,FJ83:GC83,GE83:GX83,GZ83:IZ83)</f>
        <v>0</v>
      </c>
      <c r="P83" s="7"/>
      <c r="Q83" s="7"/>
      <c r="R83" s="2">
        <f t="shared" ref="R83" si="2368">P83*Q83/1000000</f>
        <v>0</v>
      </c>
      <c r="S83" s="27">
        <f t="shared" ref="S83" si="2369">AM83</f>
        <v>0</v>
      </c>
      <c r="T83" s="27">
        <f t="shared" ref="T83" si="2370">BH83</f>
        <v>0</v>
      </c>
      <c r="U83" s="27">
        <f t="shared" ref="U83" si="2371">CC83</f>
        <v>0</v>
      </c>
      <c r="V83" s="27">
        <f t="shared" ref="V83" si="2372">CX83</f>
        <v>0</v>
      </c>
      <c r="W83" s="27">
        <f t="shared" ref="W83" si="2373">DS83</f>
        <v>0</v>
      </c>
      <c r="X83" s="27">
        <f t="shared" ref="X83" si="2374">EN83</f>
        <v>0</v>
      </c>
      <c r="Y83" s="27">
        <f t="shared" ref="Y83" si="2375">FI83</f>
        <v>0</v>
      </c>
      <c r="Z83" s="27">
        <f t="shared" ref="Z83" si="2376">GD83</f>
        <v>0</v>
      </c>
      <c r="AA83" s="27">
        <f t="shared" ref="AA83" si="2377">GY83</f>
        <v>0</v>
      </c>
      <c r="AB83" s="4">
        <f t="shared" ref="AB83" si="2378">P83*Q83*O83/1000000</f>
        <v>0</v>
      </c>
      <c r="AC83" s="2" t="str">
        <f t="shared" ref="AC83" si="2379">IF(E83=1,E83*$O83*$Q83/1000,IF(E83=2,E83*$O83*$Q83/1000," "))</f>
        <v xml:space="preserve"> </v>
      </c>
      <c r="AD83" s="2" t="str">
        <f t="shared" ref="AD83" si="2380">IF(F83=1,F83*$O83*$P83/1000,IF(F83=2,F83*$O83*$P83/1000," "))</f>
        <v xml:space="preserve"> </v>
      </c>
      <c r="AE83" s="2" t="str">
        <f t="shared" ref="AE83" si="2381">IF(G83=1,G83*$O83*$P83/1000,IF(G83=2,G83*$O83*$P83/1000," "))</f>
        <v xml:space="preserve"> </v>
      </c>
      <c r="AF83" s="2" t="str">
        <f t="shared" ref="AF83" si="2382">IF(H83=1,H83*$O83*$Q83/1000,IF(H83=2,H83*$O83*$Q83/1000," "))</f>
        <v xml:space="preserve"> </v>
      </c>
      <c r="AG83" s="2" t="str">
        <f t="shared" ref="AG83" si="2383">IF(I83=1,I83*$O83*$P83/1000,IF(I83=2,I83*$O83*$P83/1000," "))</f>
        <v xml:space="preserve"> </v>
      </c>
      <c r="AH83" s="2" t="str">
        <f t="shared" ref="AH83" si="2384">IF(J83=1,J83*$O83*$P83/1000,IF(J83=2,J83*$O83*$P83/1000," "))</f>
        <v xml:space="preserve"> </v>
      </c>
      <c r="AI83" s="2" t="str">
        <f t="shared" ref="AI83" si="2385">IF(K83=1,K83*$O83*$Q83/1000,IF(K83=2,K83*$O83*$Q83/1000," "))</f>
        <v xml:space="preserve"> </v>
      </c>
      <c r="AJ83" s="2" t="str">
        <f t="shared" ref="AJ83" si="2386">IF(L83=1,L83*$O83*$P83/1000,IF(L83=2,L83*$O83*$P83/1000," "))</f>
        <v xml:space="preserve"> </v>
      </c>
      <c r="AK83" s="2" t="str">
        <f t="shared" ref="AK83" si="2387">IF(M83=1,M83*$O83*$P83/1000,IF(M83=2,M83*$O83*$P83/1000," "))</f>
        <v xml:space="preserve"> </v>
      </c>
      <c r="AL83" s="2" t="str">
        <f t="shared" ref="AL83" si="2388">IF(N83=1,N83*$O83*$Q83/1000,IF(N83=2,N83*$O83*$Q83/1000," "))</f>
        <v xml:space="preserve"> </v>
      </c>
      <c r="AM83" s="23">
        <f t="shared" ref="AM83" si="2389">SUM(AN83:BG83)*R83</f>
        <v>0</v>
      </c>
      <c r="AN83" s="8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11"/>
      <c r="BH83" s="1">
        <f t="shared" ref="BH83" si="2390">SUM(BI83:CB83)*R83</f>
        <v>0</v>
      </c>
      <c r="BI83" s="8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11"/>
      <c r="CC83" s="1">
        <f t="shared" ref="CC83" si="2391">SUM(CD83:CW83)*R83</f>
        <v>0</v>
      </c>
      <c r="CD83" s="8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11"/>
      <c r="CX83" s="10">
        <f t="shared" ref="CX83" si="2392">SUM(CY83:DR83)*R83</f>
        <v>0</v>
      </c>
      <c r="CY83" s="8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11"/>
      <c r="DS83" s="10">
        <f t="shared" ref="DS83" si="2393">SUM(DT83:EM83)*R83</f>
        <v>0</v>
      </c>
      <c r="DT83" s="8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11"/>
      <c r="EN83" s="10">
        <f t="shared" ref="EN83" si="2394">SUM(EO83:FH83)*R83</f>
        <v>0</v>
      </c>
      <c r="EO83" s="8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11"/>
      <c r="FI83" s="10">
        <f t="shared" ref="FI83" si="2395">SUM(FJ83:GC83)*R83</f>
        <v>0</v>
      </c>
      <c r="FJ83" s="8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11"/>
      <c r="GD83" s="10">
        <f t="shared" ref="GD83" si="2396">SUM(GE83:GX83)*R83</f>
        <v>0</v>
      </c>
      <c r="GE83" s="8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11"/>
      <c r="GY83" s="10">
        <f t="shared" ref="GY83" si="2397">SUM(GZ83:IZ83)*R83</f>
        <v>0</v>
      </c>
      <c r="GZ83" s="8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11"/>
    </row>
    <row r="84" spans="1:260" ht="14.25" customHeight="1" x14ac:dyDescent="0.3">
      <c r="A84" s="63"/>
      <c r="B84" s="61"/>
      <c r="C84" s="62"/>
      <c r="D84" s="62"/>
      <c r="E84" s="5"/>
      <c r="F84" s="5"/>
      <c r="G84" s="5"/>
      <c r="H84" s="5"/>
      <c r="I84" s="5"/>
      <c r="J84" s="5"/>
      <c r="K84" s="5"/>
      <c r="L84" s="5"/>
      <c r="M84" s="5"/>
      <c r="N84" s="5"/>
      <c r="O84" s="3">
        <f t="shared" ref="O84" si="2398">SUM(AN84:BG84,BI84:CB84,CD84:CW84,CY84:DR84,DT84:EM84,EO84:FH84,FJ84:GC84,GE84:GX84,GZ84:IZ84)</f>
        <v>0</v>
      </c>
      <c r="P84" s="7"/>
      <c r="Q84" s="7"/>
      <c r="R84" s="2">
        <f t="shared" ref="R84" si="2399">P84*Q84/1000000</f>
        <v>0</v>
      </c>
      <c r="S84" s="27">
        <f t="shared" ref="S84" si="2400">AM84</f>
        <v>0</v>
      </c>
      <c r="T84" s="27">
        <f t="shared" ref="T84" si="2401">BH84</f>
        <v>0</v>
      </c>
      <c r="U84" s="27">
        <f t="shared" ref="U84" si="2402">CC84</f>
        <v>0</v>
      </c>
      <c r="V84" s="27">
        <f t="shared" ref="V84" si="2403">CX84</f>
        <v>0</v>
      </c>
      <c r="W84" s="27">
        <f t="shared" ref="W84" si="2404">DS84</f>
        <v>0</v>
      </c>
      <c r="X84" s="27">
        <f t="shared" ref="X84" si="2405">EN84</f>
        <v>0</v>
      </c>
      <c r="Y84" s="27">
        <f t="shared" ref="Y84" si="2406">FI84</f>
        <v>0</v>
      </c>
      <c r="Z84" s="27">
        <f t="shared" ref="Z84" si="2407">GD84</f>
        <v>0</v>
      </c>
      <c r="AA84" s="27">
        <f t="shared" ref="AA84" si="2408">GY84</f>
        <v>0</v>
      </c>
      <c r="AB84" s="4">
        <f t="shared" ref="AB84" si="2409">P84*Q84*O84/1000000</f>
        <v>0</v>
      </c>
      <c r="AC84" s="2" t="str">
        <f t="shared" ref="AC84" si="2410">IF(E84=1,E84*$O84*$Q84/1000,IF(E84=2,E84*$O84*$Q84/1000," "))</f>
        <v xml:space="preserve"> </v>
      </c>
      <c r="AD84" s="2" t="str">
        <f t="shared" ref="AD84" si="2411">IF(F84=1,F84*$O84*$P84/1000,IF(F84=2,F84*$O84*$P84/1000," "))</f>
        <v xml:space="preserve"> </v>
      </c>
      <c r="AE84" s="2" t="str">
        <f t="shared" ref="AE84" si="2412">IF(G84=1,G84*$O84*$P84/1000,IF(G84=2,G84*$O84*$P84/1000," "))</f>
        <v xml:space="preserve"> </v>
      </c>
      <c r="AF84" s="2" t="str">
        <f t="shared" ref="AF84" si="2413">IF(H84=1,H84*$O84*$Q84/1000,IF(H84=2,H84*$O84*$Q84/1000," "))</f>
        <v xml:space="preserve"> </v>
      </c>
      <c r="AG84" s="2" t="str">
        <f t="shared" ref="AG84" si="2414">IF(I84=1,I84*$O84*$P84/1000,IF(I84=2,I84*$O84*$P84/1000," "))</f>
        <v xml:space="preserve"> </v>
      </c>
      <c r="AH84" s="2" t="str">
        <f t="shared" ref="AH84" si="2415">IF(J84=1,J84*$O84*$P84/1000,IF(J84=2,J84*$O84*$P84/1000," "))</f>
        <v xml:space="preserve"> </v>
      </c>
      <c r="AI84" s="2" t="str">
        <f t="shared" ref="AI84" si="2416">IF(K84=1,K84*$O84*$Q84/1000,IF(K84=2,K84*$O84*$Q84/1000," "))</f>
        <v xml:space="preserve"> </v>
      </c>
      <c r="AJ84" s="2" t="str">
        <f t="shared" ref="AJ84" si="2417">IF(L84=1,L84*$O84*$P84/1000,IF(L84=2,L84*$O84*$P84/1000," "))</f>
        <v xml:space="preserve"> </v>
      </c>
      <c r="AK84" s="2" t="str">
        <f t="shared" ref="AK84" si="2418">IF(M84=1,M84*$O84*$P84/1000,IF(M84=2,M84*$O84*$P84/1000," "))</f>
        <v xml:space="preserve"> </v>
      </c>
      <c r="AL84" s="2" t="str">
        <f t="shared" ref="AL84" si="2419">IF(N84=1,N84*$O84*$Q84/1000,IF(N84=2,N84*$O84*$Q84/1000," "))</f>
        <v xml:space="preserve"> </v>
      </c>
      <c r="AM84" s="23">
        <f t="shared" ref="AM84" si="2420">SUM(AN84:BG84)*R84</f>
        <v>0</v>
      </c>
      <c r="AN84" s="8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11"/>
      <c r="BH84" s="1">
        <f t="shared" ref="BH84" si="2421">SUM(BI84:CB84)*R84</f>
        <v>0</v>
      </c>
      <c r="BI84" s="8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11"/>
      <c r="CC84" s="1">
        <f t="shared" ref="CC84" si="2422">SUM(CD84:CW84)*R84</f>
        <v>0</v>
      </c>
      <c r="CD84" s="8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11"/>
      <c r="CX84" s="10">
        <f t="shared" ref="CX84" si="2423">SUM(CY84:DR84)*R84</f>
        <v>0</v>
      </c>
      <c r="CY84" s="8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11"/>
      <c r="DS84" s="10">
        <f t="shared" ref="DS84" si="2424">SUM(DT84:EM84)*R84</f>
        <v>0</v>
      </c>
      <c r="DT84" s="8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11"/>
      <c r="EN84" s="10">
        <f t="shared" ref="EN84" si="2425">SUM(EO84:FH84)*R84</f>
        <v>0</v>
      </c>
      <c r="EO84" s="8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11"/>
      <c r="FI84" s="10">
        <f t="shared" ref="FI84" si="2426">SUM(FJ84:GC84)*R84</f>
        <v>0</v>
      </c>
      <c r="FJ84" s="8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11"/>
      <c r="GD84" s="10">
        <f t="shared" ref="GD84" si="2427">SUM(GE84:GX84)*R84</f>
        <v>0</v>
      </c>
      <c r="GE84" s="8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11"/>
      <c r="GY84" s="10">
        <f t="shared" ref="GY84" si="2428">SUM(GZ84:IZ84)*R84</f>
        <v>0</v>
      </c>
      <c r="GZ84" s="8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11"/>
    </row>
    <row r="85" spans="1:260" ht="14.25" customHeight="1" x14ac:dyDescent="0.3">
      <c r="A85" s="63"/>
      <c r="B85" s="61"/>
      <c r="C85" s="62"/>
      <c r="D85" s="62"/>
      <c r="E85" s="5"/>
      <c r="F85" s="5"/>
      <c r="G85" s="5"/>
      <c r="H85" s="5"/>
      <c r="I85" s="5"/>
      <c r="J85" s="5"/>
      <c r="K85" s="5"/>
      <c r="L85" s="5"/>
      <c r="M85" s="5"/>
      <c r="N85" s="5"/>
      <c r="O85" s="3">
        <f t="shared" ref="O85" si="2429">SUM(AN85:BG85,BI85:CB85,CD85:CW85,CY85:DR85,DT85:EM85,EO85:FH85,FJ85:GC85,GE85:GX85,GZ85:IZ85)</f>
        <v>0</v>
      </c>
      <c r="P85" s="7"/>
      <c r="Q85" s="7"/>
      <c r="R85" s="2">
        <f t="shared" ref="R85" si="2430">P85*Q85/1000000</f>
        <v>0</v>
      </c>
      <c r="S85" s="27">
        <f t="shared" ref="S85" si="2431">AM85</f>
        <v>0</v>
      </c>
      <c r="T85" s="27">
        <f t="shared" ref="T85" si="2432">BH85</f>
        <v>0</v>
      </c>
      <c r="U85" s="27">
        <f t="shared" ref="U85" si="2433">CC85</f>
        <v>0</v>
      </c>
      <c r="V85" s="27">
        <f t="shared" ref="V85" si="2434">CX85</f>
        <v>0</v>
      </c>
      <c r="W85" s="27">
        <f t="shared" ref="W85" si="2435">DS85</f>
        <v>0</v>
      </c>
      <c r="X85" s="27">
        <f t="shared" ref="X85" si="2436">EN85</f>
        <v>0</v>
      </c>
      <c r="Y85" s="27">
        <f t="shared" ref="Y85" si="2437">FI85</f>
        <v>0</v>
      </c>
      <c r="Z85" s="27">
        <f t="shared" ref="Z85" si="2438">GD85</f>
        <v>0</v>
      </c>
      <c r="AA85" s="27">
        <f t="shared" ref="AA85" si="2439">GY85</f>
        <v>0</v>
      </c>
      <c r="AB85" s="4">
        <f t="shared" ref="AB85" si="2440">P85*Q85*O85/1000000</f>
        <v>0</v>
      </c>
      <c r="AC85" s="2" t="str">
        <f t="shared" ref="AC85" si="2441">IF(E85=1,E85*$O85*$Q85/1000,IF(E85=2,E85*$O85*$Q85/1000," "))</f>
        <v xml:space="preserve"> </v>
      </c>
      <c r="AD85" s="2" t="str">
        <f t="shared" ref="AD85" si="2442">IF(F85=1,F85*$O85*$P85/1000,IF(F85=2,F85*$O85*$P85/1000," "))</f>
        <v xml:space="preserve"> </v>
      </c>
      <c r="AE85" s="2" t="str">
        <f t="shared" ref="AE85" si="2443">IF(G85=1,G85*$O85*$P85/1000,IF(G85=2,G85*$O85*$P85/1000," "))</f>
        <v xml:space="preserve"> </v>
      </c>
      <c r="AF85" s="2" t="str">
        <f t="shared" ref="AF85" si="2444">IF(H85=1,H85*$O85*$Q85/1000,IF(H85=2,H85*$O85*$Q85/1000," "))</f>
        <v xml:space="preserve"> </v>
      </c>
      <c r="AG85" s="2" t="str">
        <f t="shared" ref="AG85" si="2445">IF(I85=1,I85*$O85*$P85/1000,IF(I85=2,I85*$O85*$P85/1000," "))</f>
        <v xml:space="preserve"> </v>
      </c>
      <c r="AH85" s="2" t="str">
        <f t="shared" ref="AH85" si="2446">IF(J85=1,J85*$O85*$P85/1000,IF(J85=2,J85*$O85*$P85/1000," "))</f>
        <v xml:space="preserve"> </v>
      </c>
      <c r="AI85" s="2" t="str">
        <f t="shared" ref="AI85" si="2447">IF(K85=1,K85*$O85*$Q85/1000,IF(K85=2,K85*$O85*$Q85/1000," "))</f>
        <v xml:space="preserve"> </v>
      </c>
      <c r="AJ85" s="2" t="str">
        <f t="shared" ref="AJ85" si="2448">IF(L85=1,L85*$O85*$P85/1000,IF(L85=2,L85*$O85*$P85/1000," "))</f>
        <v xml:space="preserve"> </v>
      </c>
      <c r="AK85" s="2" t="str">
        <f t="shared" ref="AK85" si="2449">IF(M85=1,M85*$O85*$P85/1000,IF(M85=2,M85*$O85*$P85/1000," "))</f>
        <v xml:space="preserve"> </v>
      </c>
      <c r="AL85" s="2" t="str">
        <f t="shared" ref="AL85" si="2450">IF(N85=1,N85*$O85*$Q85/1000,IF(N85=2,N85*$O85*$Q85/1000," "))</f>
        <v xml:space="preserve"> </v>
      </c>
      <c r="AM85" s="23">
        <f t="shared" ref="AM85" si="2451">SUM(AN85:BG85)*R85</f>
        <v>0</v>
      </c>
      <c r="AN85" s="8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11"/>
      <c r="BH85" s="1">
        <f t="shared" ref="BH85" si="2452">SUM(BI85:CB85)*R85</f>
        <v>0</v>
      </c>
      <c r="BI85" s="8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11"/>
      <c r="CC85" s="1">
        <f t="shared" ref="CC85" si="2453">SUM(CD85:CW85)*R85</f>
        <v>0</v>
      </c>
      <c r="CD85" s="8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11"/>
      <c r="CX85" s="10">
        <f t="shared" ref="CX85" si="2454">SUM(CY85:DR85)*R85</f>
        <v>0</v>
      </c>
      <c r="CY85" s="8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11"/>
      <c r="DS85" s="10">
        <f t="shared" ref="DS85" si="2455">SUM(DT85:EM85)*R85</f>
        <v>0</v>
      </c>
      <c r="DT85" s="8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11"/>
      <c r="EN85" s="10">
        <f t="shared" ref="EN85" si="2456">SUM(EO85:FH85)*R85</f>
        <v>0</v>
      </c>
      <c r="EO85" s="8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11"/>
      <c r="FI85" s="10">
        <f t="shared" ref="FI85" si="2457">SUM(FJ85:GC85)*R85</f>
        <v>0</v>
      </c>
      <c r="FJ85" s="8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11"/>
      <c r="GD85" s="10">
        <f t="shared" ref="GD85" si="2458">SUM(GE85:GX85)*R85</f>
        <v>0</v>
      </c>
      <c r="GE85" s="8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11"/>
      <c r="GY85" s="10">
        <f t="shared" ref="GY85" si="2459">SUM(GZ85:IZ85)*R85</f>
        <v>0</v>
      </c>
      <c r="GZ85" s="8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11"/>
    </row>
    <row r="86" spans="1:260" ht="14.25" customHeight="1" x14ac:dyDescent="0.3">
      <c r="A86" s="63"/>
      <c r="B86" s="61"/>
      <c r="C86" s="62"/>
      <c r="D86" s="62"/>
      <c r="E86" s="5"/>
      <c r="F86" s="5"/>
      <c r="G86" s="5"/>
      <c r="H86" s="5"/>
      <c r="I86" s="5"/>
      <c r="J86" s="5"/>
      <c r="K86" s="5"/>
      <c r="L86" s="5"/>
      <c r="M86" s="5"/>
      <c r="N86" s="5"/>
      <c r="O86" s="3">
        <f t="shared" ref="O86" si="2460">SUM(AN86:BG86,BI86:CB86,CD86:CW86,CY86:DR86,DT86:EM86,EO86:FH86,FJ86:GC86,GE86:GX86,GZ86:IZ86)</f>
        <v>0</v>
      </c>
      <c r="P86" s="7"/>
      <c r="Q86" s="7"/>
      <c r="R86" s="2">
        <f t="shared" ref="R86" si="2461">P86*Q86/1000000</f>
        <v>0</v>
      </c>
      <c r="S86" s="27">
        <f t="shared" ref="S86" si="2462">AM86</f>
        <v>0</v>
      </c>
      <c r="T86" s="27">
        <f t="shared" ref="T86" si="2463">BH86</f>
        <v>0</v>
      </c>
      <c r="U86" s="27">
        <f t="shared" ref="U86" si="2464">CC86</f>
        <v>0</v>
      </c>
      <c r="V86" s="27">
        <f t="shared" ref="V86" si="2465">CX86</f>
        <v>0</v>
      </c>
      <c r="W86" s="27">
        <f t="shared" ref="W86" si="2466">DS86</f>
        <v>0</v>
      </c>
      <c r="X86" s="27">
        <f t="shared" ref="X86" si="2467">EN86</f>
        <v>0</v>
      </c>
      <c r="Y86" s="27">
        <f t="shared" ref="Y86" si="2468">FI86</f>
        <v>0</v>
      </c>
      <c r="Z86" s="27">
        <f t="shared" ref="Z86" si="2469">GD86</f>
        <v>0</v>
      </c>
      <c r="AA86" s="27">
        <f t="shared" ref="AA86" si="2470">GY86</f>
        <v>0</v>
      </c>
      <c r="AB86" s="4">
        <f t="shared" ref="AB86" si="2471">P86*Q86*O86/1000000</f>
        <v>0</v>
      </c>
      <c r="AC86" s="2" t="str">
        <f t="shared" ref="AC86" si="2472">IF(E86=1,E86*$O86*$Q86/1000,IF(E86=2,E86*$O86*$Q86/1000," "))</f>
        <v xml:space="preserve"> </v>
      </c>
      <c r="AD86" s="2" t="str">
        <f t="shared" ref="AD86" si="2473">IF(F86=1,F86*$O86*$P86/1000,IF(F86=2,F86*$O86*$P86/1000," "))</f>
        <v xml:space="preserve"> </v>
      </c>
      <c r="AE86" s="2" t="str">
        <f t="shared" ref="AE86" si="2474">IF(G86=1,G86*$O86*$P86/1000,IF(G86=2,G86*$O86*$P86/1000," "))</f>
        <v xml:space="preserve"> </v>
      </c>
      <c r="AF86" s="2" t="str">
        <f t="shared" ref="AF86" si="2475">IF(H86=1,H86*$O86*$Q86/1000,IF(H86=2,H86*$O86*$Q86/1000," "))</f>
        <v xml:space="preserve"> </v>
      </c>
      <c r="AG86" s="2" t="str">
        <f t="shared" ref="AG86" si="2476">IF(I86=1,I86*$O86*$P86/1000,IF(I86=2,I86*$O86*$P86/1000," "))</f>
        <v xml:space="preserve"> </v>
      </c>
      <c r="AH86" s="2" t="str">
        <f t="shared" ref="AH86" si="2477">IF(J86=1,J86*$O86*$P86/1000,IF(J86=2,J86*$O86*$P86/1000," "))</f>
        <v xml:space="preserve"> </v>
      </c>
      <c r="AI86" s="2" t="str">
        <f t="shared" ref="AI86" si="2478">IF(K86=1,K86*$O86*$Q86/1000,IF(K86=2,K86*$O86*$Q86/1000," "))</f>
        <v xml:space="preserve"> </v>
      </c>
      <c r="AJ86" s="2" t="str">
        <f t="shared" ref="AJ86" si="2479">IF(L86=1,L86*$O86*$P86/1000,IF(L86=2,L86*$O86*$P86/1000," "))</f>
        <v xml:space="preserve"> </v>
      </c>
      <c r="AK86" s="2" t="str">
        <f t="shared" ref="AK86" si="2480">IF(M86=1,M86*$O86*$P86/1000,IF(M86=2,M86*$O86*$P86/1000," "))</f>
        <v xml:space="preserve"> </v>
      </c>
      <c r="AL86" s="2" t="str">
        <f t="shared" ref="AL86" si="2481">IF(N86=1,N86*$O86*$Q86/1000,IF(N86=2,N86*$O86*$Q86/1000," "))</f>
        <v xml:space="preserve"> </v>
      </c>
      <c r="AM86" s="23">
        <f t="shared" ref="AM86" si="2482">SUM(AN86:BG86)*R86</f>
        <v>0</v>
      </c>
      <c r="AN86" s="8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11"/>
      <c r="BH86" s="1">
        <f t="shared" ref="BH86" si="2483">SUM(BI86:CB86)*R86</f>
        <v>0</v>
      </c>
      <c r="BI86" s="8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11"/>
      <c r="CC86" s="1">
        <f t="shared" ref="CC86" si="2484">SUM(CD86:CW86)*R86</f>
        <v>0</v>
      </c>
      <c r="CD86" s="8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11"/>
      <c r="CX86" s="10">
        <f t="shared" ref="CX86" si="2485">SUM(CY86:DR86)*R86</f>
        <v>0</v>
      </c>
      <c r="CY86" s="8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11"/>
      <c r="DS86" s="10">
        <f t="shared" ref="DS86" si="2486">SUM(DT86:EM86)*R86</f>
        <v>0</v>
      </c>
      <c r="DT86" s="8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11"/>
      <c r="EN86" s="10">
        <f t="shared" ref="EN86" si="2487">SUM(EO86:FH86)*R86</f>
        <v>0</v>
      </c>
      <c r="EO86" s="8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11"/>
      <c r="FI86" s="10">
        <f t="shared" ref="FI86" si="2488">SUM(FJ86:GC86)*R86</f>
        <v>0</v>
      </c>
      <c r="FJ86" s="8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11"/>
      <c r="GD86" s="10">
        <f t="shared" ref="GD86" si="2489">SUM(GE86:GX86)*R86</f>
        <v>0</v>
      </c>
      <c r="GE86" s="8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11"/>
      <c r="GY86" s="10">
        <f t="shared" ref="GY86" si="2490">SUM(GZ86:IZ86)*R86</f>
        <v>0</v>
      </c>
      <c r="GZ86" s="8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11"/>
    </row>
    <row r="87" spans="1:260" ht="14.25" customHeight="1" x14ac:dyDescent="0.3">
      <c r="A87" s="63"/>
      <c r="B87" s="61"/>
      <c r="C87" s="62"/>
      <c r="D87" s="62"/>
      <c r="E87" s="5"/>
      <c r="F87" s="5"/>
      <c r="G87" s="5"/>
      <c r="H87" s="5"/>
      <c r="I87" s="5"/>
      <c r="J87" s="5"/>
      <c r="K87" s="5"/>
      <c r="L87" s="5"/>
      <c r="M87" s="5"/>
      <c r="N87" s="5"/>
      <c r="O87" s="3">
        <f t="shared" ref="O87" si="2491">SUM(AN87:BG87,BI87:CB87,CD87:CW87,CY87:DR87,DT87:EM87,EO87:FH87,FJ87:GC87,GE87:GX87,GZ87:IZ87)</f>
        <v>0</v>
      </c>
      <c r="P87" s="7"/>
      <c r="Q87" s="7"/>
      <c r="R87" s="2">
        <f t="shared" ref="R87" si="2492">P87*Q87/1000000</f>
        <v>0</v>
      </c>
      <c r="S87" s="27">
        <f t="shared" ref="S87" si="2493">AM87</f>
        <v>0</v>
      </c>
      <c r="T87" s="27">
        <f t="shared" ref="T87" si="2494">BH87</f>
        <v>0</v>
      </c>
      <c r="U87" s="27">
        <f t="shared" ref="U87" si="2495">CC87</f>
        <v>0</v>
      </c>
      <c r="V87" s="27">
        <f t="shared" ref="V87" si="2496">CX87</f>
        <v>0</v>
      </c>
      <c r="W87" s="27">
        <f t="shared" ref="W87" si="2497">DS87</f>
        <v>0</v>
      </c>
      <c r="X87" s="27">
        <f t="shared" ref="X87" si="2498">EN87</f>
        <v>0</v>
      </c>
      <c r="Y87" s="27">
        <f t="shared" ref="Y87" si="2499">FI87</f>
        <v>0</v>
      </c>
      <c r="Z87" s="27">
        <f t="shared" ref="Z87" si="2500">GD87</f>
        <v>0</v>
      </c>
      <c r="AA87" s="27">
        <f t="shared" ref="AA87" si="2501">GY87</f>
        <v>0</v>
      </c>
      <c r="AB87" s="4">
        <f t="shared" ref="AB87" si="2502">P87*Q87*O87/1000000</f>
        <v>0</v>
      </c>
      <c r="AC87" s="2" t="str">
        <f t="shared" ref="AC87" si="2503">IF(E87=1,E87*$O87*$Q87/1000,IF(E87=2,E87*$O87*$Q87/1000," "))</f>
        <v xml:space="preserve"> </v>
      </c>
      <c r="AD87" s="2" t="str">
        <f t="shared" ref="AD87" si="2504">IF(F87=1,F87*$O87*$P87/1000,IF(F87=2,F87*$O87*$P87/1000," "))</f>
        <v xml:space="preserve"> </v>
      </c>
      <c r="AE87" s="2" t="str">
        <f t="shared" ref="AE87" si="2505">IF(G87=1,G87*$O87*$P87/1000,IF(G87=2,G87*$O87*$P87/1000," "))</f>
        <v xml:space="preserve"> </v>
      </c>
      <c r="AF87" s="2" t="str">
        <f t="shared" ref="AF87" si="2506">IF(H87=1,H87*$O87*$Q87/1000,IF(H87=2,H87*$O87*$Q87/1000," "))</f>
        <v xml:space="preserve"> </v>
      </c>
      <c r="AG87" s="2" t="str">
        <f t="shared" ref="AG87" si="2507">IF(I87=1,I87*$O87*$P87/1000,IF(I87=2,I87*$O87*$P87/1000," "))</f>
        <v xml:space="preserve"> </v>
      </c>
      <c r="AH87" s="2" t="str">
        <f t="shared" ref="AH87" si="2508">IF(J87=1,J87*$O87*$P87/1000,IF(J87=2,J87*$O87*$P87/1000," "))</f>
        <v xml:space="preserve"> </v>
      </c>
      <c r="AI87" s="2" t="str">
        <f t="shared" ref="AI87" si="2509">IF(K87=1,K87*$O87*$Q87/1000,IF(K87=2,K87*$O87*$Q87/1000," "))</f>
        <v xml:space="preserve"> </v>
      </c>
      <c r="AJ87" s="2" t="str">
        <f t="shared" ref="AJ87" si="2510">IF(L87=1,L87*$O87*$P87/1000,IF(L87=2,L87*$O87*$P87/1000," "))</f>
        <v xml:space="preserve"> </v>
      </c>
      <c r="AK87" s="2" t="str">
        <f t="shared" ref="AK87" si="2511">IF(M87=1,M87*$O87*$P87/1000,IF(M87=2,M87*$O87*$P87/1000," "))</f>
        <v xml:space="preserve"> </v>
      </c>
      <c r="AL87" s="2" t="str">
        <f t="shared" ref="AL87" si="2512">IF(N87=1,N87*$O87*$Q87/1000,IF(N87=2,N87*$O87*$Q87/1000," "))</f>
        <v xml:space="preserve"> </v>
      </c>
      <c r="AM87" s="23">
        <f t="shared" ref="AM87" si="2513">SUM(AN87:BG87)*R87</f>
        <v>0</v>
      </c>
      <c r="AN87" s="8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11"/>
      <c r="BH87" s="1">
        <f t="shared" ref="BH87" si="2514">SUM(BI87:CB87)*R87</f>
        <v>0</v>
      </c>
      <c r="BI87" s="8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11"/>
      <c r="CC87" s="1">
        <f t="shared" ref="CC87" si="2515">SUM(CD87:CW87)*R87</f>
        <v>0</v>
      </c>
      <c r="CD87" s="8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11"/>
      <c r="CX87" s="10">
        <f t="shared" ref="CX87" si="2516">SUM(CY87:DR87)*R87</f>
        <v>0</v>
      </c>
      <c r="CY87" s="8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11"/>
      <c r="DS87" s="10">
        <f t="shared" ref="DS87" si="2517">SUM(DT87:EM87)*R87</f>
        <v>0</v>
      </c>
      <c r="DT87" s="8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11"/>
      <c r="EN87" s="10">
        <f t="shared" ref="EN87" si="2518">SUM(EO87:FH87)*R87</f>
        <v>0</v>
      </c>
      <c r="EO87" s="8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11"/>
      <c r="FI87" s="10">
        <f t="shared" ref="FI87" si="2519">SUM(FJ87:GC87)*R87</f>
        <v>0</v>
      </c>
      <c r="FJ87" s="8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11"/>
      <c r="GD87" s="10">
        <f t="shared" ref="GD87" si="2520">SUM(GE87:GX87)*R87</f>
        <v>0</v>
      </c>
      <c r="GE87" s="8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11"/>
      <c r="GY87" s="10">
        <f t="shared" ref="GY87" si="2521">SUM(GZ87:IZ87)*R87</f>
        <v>0</v>
      </c>
      <c r="GZ87" s="8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11"/>
    </row>
    <row r="88" spans="1:260" ht="14.25" customHeight="1" x14ac:dyDescent="0.3">
      <c r="A88" s="63"/>
      <c r="B88" s="61"/>
      <c r="C88" s="62"/>
      <c r="D88" s="62"/>
      <c r="E88" s="5"/>
      <c r="F88" s="5"/>
      <c r="G88" s="5"/>
      <c r="H88" s="5"/>
      <c r="I88" s="5"/>
      <c r="J88" s="5"/>
      <c r="K88" s="5"/>
      <c r="L88" s="5"/>
      <c r="M88" s="5"/>
      <c r="N88" s="5"/>
      <c r="O88" s="3">
        <f t="shared" ref="O88" si="2522">SUM(AN88:BG88,BI88:CB88,CD88:CW88,CY88:DR88,DT88:EM88,EO88:FH88,FJ88:GC88,GE88:GX88,GZ88:IZ88)</f>
        <v>0</v>
      </c>
      <c r="P88" s="7"/>
      <c r="Q88" s="7"/>
      <c r="R88" s="2">
        <f t="shared" ref="R88" si="2523">P88*Q88/1000000</f>
        <v>0</v>
      </c>
      <c r="S88" s="27">
        <f t="shared" ref="S88" si="2524">AM88</f>
        <v>0</v>
      </c>
      <c r="T88" s="27">
        <f t="shared" ref="T88" si="2525">BH88</f>
        <v>0</v>
      </c>
      <c r="U88" s="27">
        <f t="shared" ref="U88" si="2526">CC88</f>
        <v>0</v>
      </c>
      <c r="V88" s="27">
        <f t="shared" ref="V88" si="2527">CX88</f>
        <v>0</v>
      </c>
      <c r="W88" s="27">
        <f t="shared" ref="W88" si="2528">DS88</f>
        <v>0</v>
      </c>
      <c r="X88" s="27">
        <f t="shared" ref="X88" si="2529">EN88</f>
        <v>0</v>
      </c>
      <c r="Y88" s="27">
        <f t="shared" ref="Y88" si="2530">FI88</f>
        <v>0</v>
      </c>
      <c r="Z88" s="27">
        <f t="shared" ref="Z88" si="2531">GD88</f>
        <v>0</v>
      </c>
      <c r="AA88" s="27">
        <f t="shared" ref="AA88" si="2532">GY88</f>
        <v>0</v>
      </c>
      <c r="AB88" s="4">
        <f t="shared" ref="AB88" si="2533">P88*Q88*O88/1000000</f>
        <v>0</v>
      </c>
      <c r="AC88" s="2" t="str">
        <f t="shared" ref="AC88" si="2534">IF(E88=1,E88*$O88*$Q88/1000,IF(E88=2,E88*$O88*$Q88/1000," "))</f>
        <v xml:space="preserve"> </v>
      </c>
      <c r="AD88" s="2" t="str">
        <f t="shared" ref="AD88" si="2535">IF(F88=1,F88*$O88*$P88/1000,IF(F88=2,F88*$O88*$P88/1000," "))</f>
        <v xml:space="preserve"> </v>
      </c>
      <c r="AE88" s="2" t="str">
        <f t="shared" ref="AE88" si="2536">IF(G88=1,G88*$O88*$P88/1000,IF(G88=2,G88*$O88*$P88/1000," "))</f>
        <v xml:space="preserve"> </v>
      </c>
      <c r="AF88" s="2" t="str">
        <f t="shared" ref="AF88" si="2537">IF(H88=1,H88*$O88*$Q88/1000,IF(H88=2,H88*$O88*$Q88/1000," "))</f>
        <v xml:space="preserve"> </v>
      </c>
      <c r="AG88" s="2" t="str">
        <f t="shared" ref="AG88" si="2538">IF(I88=1,I88*$O88*$P88/1000,IF(I88=2,I88*$O88*$P88/1000," "))</f>
        <v xml:space="preserve"> </v>
      </c>
      <c r="AH88" s="2" t="str">
        <f t="shared" ref="AH88" si="2539">IF(J88=1,J88*$O88*$P88/1000,IF(J88=2,J88*$O88*$P88/1000," "))</f>
        <v xml:space="preserve"> </v>
      </c>
      <c r="AI88" s="2" t="str">
        <f t="shared" ref="AI88" si="2540">IF(K88=1,K88*$O88*$Q88/1000,IF(K88=2,K88*$O88*$Q88/1000," "))</f>
        <v xml:space="preserve"> </v>
      </c>
      <c r="AJ88" s="2" t="str">
        <f t="shared" ref="AJ88" si="2541">IF(L88=1,L88*$O88*$P88/1000,IF(L88=2,L88*$O88*$P88/1000," "))</f>
        <v xml:space="preserve"> </v>
      </c>
      <c r="AK88" s="2" t="str">
        <f t="shared" ref="AK88" si="2542">IF(M88=1,M88*$O88*$P88/1000,IF(M88=2,M88*$O88*$P88/1000," "))</f>
        <v xml:space="preserve"> </v>
      </c>
      <c r="AL88" s="2" t="str">
        <f t="shared" ref="AL88" si="2543">IF(N88=1,N88*$O88*$Q88/1000,IF(N88=2,N88*$O88*$Q88/1000," "))</f>
        <v xml:space="preserve"> </v>
      </c>
      <c r="AM88" s="23">
        <f t="shared" ref="AM88" si="2544">SUM(AN88:BG88)*R88</f>
        <v>0</v>
      </c>
      <c r="AN88" s="8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11"/>
      <c r="BH88" s="1">
        <f t="shared" ref="BH88" si="2545">SUM(BI88:CB88)*R88</f>
        <v>0</v>
      </c>
      <c r="BI88" s="8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11"/>
      <c r="CC88" s="1">
        <f t="shared" ref="CC88" si="2546">SUM(CD88:CW88)*R88</f>
        <v>0</v>
      </c>
      <c r="CD88" s="8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11"/>
      <c r="CX88" s="10">
        <f t="shared" ref="CX88" si="2547">SUM(CY88:DR88)*R88</f>
        <v>0</v>
      </c>
      <c r="CY88" s="8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11"/>
      <c r="DS88" s="10">
        <f t="shared" ref="DS88" si="2548">SUM(DT88:EM88)*R88</f>
        <v>0</v>
      </c>
      <c r="DT88" s="8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11"/>
      <c r="EN88" s="10">
        <f t="shared" ref="EN88" si="2549">SUM(EO88:FH88)*R88</f>
        <v>0</v>
      </c>
      <c r="EO88" s="8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11"/>
      <c r="FI88" s="10">
        <f t="shared" ref="FI88" si="2550">SUM(FJ88:GC88)*R88</f>
        <v>0</v>
      </c>
      <c r="FJ88" s="8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11"/>
      <c r="GD88" s="10">
        <f t="shared" ref="GD88" si="2551">SUM(GE88:GX88)*R88</f>
        <v>0</v>
      </c>
      <c r="GE88" s="8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11"/>
      <c r="GY88" s="10">
        <f t="shared" ref="GY88" si="2552">SUM(GZ88:IZ88)*R88</f>
        <v>0</v>
      </c>
      <c r="GZ88" s="8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11"/>
    </row>
    <row r="89" spans="1:260" ht="14.25" customHeight="1" x14ac:dyDescent="0.3">
      <c r="A89" s="63"/>
      <c r="B89" s="61"/>
      <c r="C89" s="62"/>
      <c r="D89" s="62"/>
      <c r="E89" s="5"/>
      <c r="F89" s="5"/>
      <c r="G89" s="5"/>
      <c r="H89" s="5"/>
      <c r="I89" s="5"/>
      <c r="J89" s="5"/>
      <c r="K89" s="5"/>
      <c r="L89" s="5"/>
      <c r="M89" s="5"/>
      <c r="N89" s="5"/>
      <c r="O89" s="3">
        <f t="shared" ref="O89" si="2553">SUM(AN89:BG89,BI89:CB89,CD89:CW89,CY89:DR89,DT89:EM89,EO89:FH89,FJ89:GC89,GE89:GX89,GZ89:IZ89)</f>
        <v>0</v>
      </c>
      <c r="P89" s="7"/>
      <c r="Q89" s="7"/>
      <c r="R89" s="2">
        <f t="shared" ref="R89" si="2554">P89*Q89/1000000</f>
        <v>0</v>
      </c>
      <c r="S89" s="27">
        <f t="shared" ref="S89" si="2555">AM89</f>
        <v>0</v>
      </c>
      <c r="T89" s="27">
        <f t="shared" ref="T89" si="2556">BH89</f>
        <v>0</v>
      </c>
      <c r="U89" s="27">
        <f t="shared" ref="U89" si="2557">CC89</f>
        <v>0</v>
      </c>
      <c r="V89" s="27">
        <f t="shared" ref="V89" si="2558">CX89</f>
        <v>0</v>
      </c>
      <c r="W89" s="27">
        <f t="shared" ref="W89" si="2559">DS89</f>
        <v>0</v>
      </c>
      <c r="X89" s="27">
        <f t="shared" ref="X89" si="2560">EN89</f>
        <v>0</v>
      </c>
      <c r="Y89" s="27">
        <f t="shared" ref="Y89" si="2561">FI89</f>
        <v>0</v>
      </c>
      <c r="Z89" s="27">
        <f t="shared" ref="Z89" si="2562">GD89</f>
        <v>0</v>
      </c>
      <c r="AA89" s="27">
        <f t="shared" ref="AA89" si="2563">GY89</f>
        <v>0</v>
      </c>
      <c r="AB89" s="4">
        <f t="shared" ref="AB89" si="2564">P89*Q89*O89/1000000</f>
        <v>0</v>
      </c>
      <c r="AC89" s="2" t="str">
        <f t="shared" ref="AC89" si="2565">IF(E89=1,E89*$O89*$Q89/1000,IF(E89=2,E89*$O89*$Q89/1000," "))</f>
        <v xml:space="preserve"> </v>
      </c>
      <c r="AD89" s="2" t="str">
        <f t="shared" ref="AD89" si="2566">IF(F89=1,F89*$O89*$P89/1000,IF(F89=2,F89*$O89*$P89/1000," "))</f>
        <v xml:space="preserve"> </v>
      </c>
      <c r="AE89" s="2" t="str">
        <f t="shared" ref="AE89" si="2567">IF(G89=1,G89*$O89*$P89/1000,IF(G89=2,G89*$O89*$P89/1000," "))</f>
        <v xml:space="preserve"> </v>
      </c>
      <c r="AF89" s="2" t="str">
        <f t="shared" ref="AF89" si="2568">IF(H89=1,H89*$O89*$Q89/1000,IF(H89=2,H89*$O89*$Q89/1000," "))</f>
        <v xml:space="preserve"> </v>
      </c>
      <c r="AG89" s="2" t="str">
        <f t="shared" ref="AG89" si="2569">IF(I89=1,I89*$O89*$P89/1000,IF(I89=2,I89*$O89*$P89/1000," "))</f>
        <v xml:space="preserve"> </v>
      </c>
      <c r="AH89" s="2" t="str">
        <f t="shared" ref="AH89" si="2570">IF(J89=1,J89*$O89*$P89/1000,IF(J89=2,J89*$O89*$P89/1000," "))</f>
        <v xml:space="preserve"> </v>
      </c>
      <c r="AI89" s="2" t="str">
        <f t="shared" ref="AI89" si="2571">IF(K89=1,K89*$O89*$Q89/1000,IF(K89=2,K89*$O89*$Q89/1000," "))</f>
        <v xml:space="preserve"> </v>
      </c>
      <c r="AJ89" s="2" t="str">
        <f t="shared" ref="AJ89" si="2572">IF(L89=1,L89*$O89*$P89/1000,IF(L89=2,L89*$O89*$P89/1000," "))</f>
        <v xml:space="preserve"> </v>
      </c>
      <c r="AK89" s="2" t="str">
        <f t="shared" ref="AK89" si="2573">IF(M89=1,M89*$O89*$P89/1000,IF(M89=2,M89*$O89*$P89/1000," "))</f>
        <v xml:space="preserve"> </v>
      </c>
      <c r="AL89" s="2" t="str">
        <f t="shared" ref="AL89" si="2574">IF(N89=1,N89*$O89*$Q89/1000,IF(N89=2,N89*$O89*$Q89/1000," "))</f>
        <v xml:space="preserve"> </v>
      </c>
      <c r="AM89" s="23">
        <f t="shared" ref="AM89" si="2575">SUM(AN89:BG89)*R89</f>
        <v>0</v>
      </c>
      <c r="AN89" s="8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11"/>
      <c r="BH89" s="1">
        <f t="shared" ref="BH89" si="2576">SUM(BI89:CB89)*R89</f>
        <v>0</v>
      </c>
      <c r="BI89" s="8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11"/>
      <c r="CC89" s="1">
        <f t="shared" ref="CC89" si="2577">SUM(CD89:CW89)*R89</f>
        <v>0</v>
      </c>
      <c r="CD89" s="8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11"/>
      <c r="CX89" s="10">
        <f t="shared" ref="CX89" si="2578">SUM(CY89:DR89)*R89</f>
        <v>0</v>
      </c>
      <c r="CY89" s="8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11"/>
      <c r="DS89" s="10">
        <f t="shared" ref="DS89" si="2579">SUM(DT89:EM89)*R89</f>
        <v>0</v>
      </c>
      <c r="DT89" s="8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11"/>
      <c r="EN89" s="10">
        <f t="shared" ref="EN89" si="2580">SUM(EO89:FH89)*R89</f>
        <v>0</v>
      </c>
      <c r="EO89" s="8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11"/>
      <c r="FI89" s="10">
        <f t="shared" ref="FI89" si="2581">SUM(FJ89:GC89)*R89</f>
        <v>0</v>
      </c>
      <c r="FJ89" s="8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11"/>
      <c r="GD89" s="10">
        <f t="shared" ref="GD89" si="2582">SUM(GE89:GX89)*R89</f>
        <v>0</v>
      </c>
      <c r="GE89" s="8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11"/>
      <c r="GY89" s="10">
        <f t="shared" ref="GY89" si="2583">SUM(GZ89:IZ89)*R89</f>
        <v>0</v>
      </c>
      <c r="GZ89" s="8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11"/>
    </row>
    <row r="90" spans="1:260" ht="14.25" customHeight="1" x14ac:dyDescent="0.3">
      <c r="A90" s="63"/>
      <c r="B90" s="61"/>
      <c r="C90" s="62"/>
      <c r="D90" s="62"/>
      <c r="E90" s="5"/>
      <c r="F90" s="5"/>
      <c r="G90" s="5"/>
      <c r="H90" s="5"/>
      <c r="I90" s="5"/>
      <c r="J90" s="5"/>
      <c r="K90" s="5"/>
      <c r="L90" s="5"/>
      <c r="M90" s="5"/>
      <c r="N90" s="5"/>
      <c r="O90" s="3">
        <f t="shared" ref="O90" si="2584">SUM(AN90:BG90,BI90:CB90,CD90:CW90,CY90:DR90,DT90:EM90,EO90:FH90,FJ90:GC90,GE90:GX90,GZ90:IZ90)</f>
        <v>0</v>
      </c>
      <c r="P90" s="7"/>
      <c r="Q90" s="7"/>
      <c r="R90" s="2">
        <f t="shared" ref="R90" si="2585">P90*Q90/1000000</f>
        <v>0</v>
      </c>
      <c r="S90" s="27">
        <f t="shared" ref="S90" si="2586">AM90</f>
        <v>0</v>
      </c>
      <c r="T90" s="27">
        <f t="shared" ref="T90" si="2587">BH90</f>
        <v>0</v>
      </c>
      <c r="U90" s="27">
        <f t="shared" ref="U90" si="2588">CC90</f>
        <v>0</v>
      </c>
      <c r="V90" s="27">
        <f t="shared" ref="V90" si="2589">CX90</f>
        <v>0</v>
      </c>
      <c r="W90" s="27">
        <f t="shared" ref="W90" si="2590">DS90</f>
        <v>0</v>
      </c>
      <c r="X90" s="27">
        <f t="shared" ref="X90" si="2591">EN90</f>
        <v>0</v>
      </c>
      <c r="Y90" s="27">
        <f t="shared" ref="Y90" si="2592">FI90</f>
        <v>0</v>
      </c>
      <c r="Z90" s="27">
        <f t="shared" ref="Z90" si="2593">GD90</f>
        <v>0</v>
      </c>
      <c r="AA90" s="27">
        <f t="shared" ref="AA90" si="2594">GY90</f>
        <v>0</v>
      </c>
      <c r="AB90" s="4">
        <f t="shared" ref="AB90" si="2595">P90*Q90*O90/1000000</f>
        <v>0</v>
      </c>
      <c r="AC90" s="2" t="str">
        <f t="shared" ref="AC90" si="2596">IF(E90=1,E90*$O90*$Q90/1000,IF(E90=2,E90*$O90*$Q90/1000," "))</f>
        <v xml:space="preserve"> </v>
      </c>
      <c r="AD90" s="2" t="str">
        <f t="shared" ref="AD90" si="2597">IF(F90=1,F90*$O90*$P90/1000,IF(F90=2,F90*$O90*$P90/1000," "))</f>
        <v xml:space="preserve"> </v>
      </c>
      <c r="AE90" s="2" t="str">
        <f t="shared" ref="AE90" si="2598">IF(G90=1,G90*$O90*$P90/1000,IF(G90=2,G90*$O90*$P90/1000," "))</f>
        <v xml:space="preserve"> </v>
      </c>
      <c r="AF90" s="2" t="str">
        <f t="shared" ref="AF90" si="2599">IF(H90=1,H90*$O90*$Q90/1000,IF(H90=2,H90*$O90*$Q90/1000," "))</f>
        <v xml:space="preserve"> </v>
      </c>
      <c r="AG90" s="2" t="str">
        <f t="shared" ref="AG90" si="2600">IF(I90=1,I90*$O90*$P90/1000,IF(I90=2,I90*$O90*$P90/1000," "))</f>
        <v xml:space="preserve"> </v>
      </c>
      <c r="AH90" s="2" t="str">
        <f t="shared" ref="AH90" si="2601">IF(J90=1,J90*$O90*$P90/1000,IF(J90=2,J90*$O90*$P90/1000," "))</f>
        <v xml:space="preserve"> </v>
      </c>
      <c r="AI90" s="2" t="str">
        <f t="shared" ref="AI90" si="2602">IF(K90=1,K90*$O90*$Q90/1000,IF(K90=2,K90*$O90*$Q90/1000," "))</f>
        <v xml:space="preserve"> </v>
      </c>
      <c r="AJ90" s="2" t="str">
        <f t="shared" ref="AJ90" si="2603">IF(L90=1,L90*$O90*$P90/1000,IF(L90=2,L90*$O90*$P90/1000," "))</f>
        <v xml:space="preserve"> </v>
      </c>
      <c r="AK90" s="2" t="str">
        <f t="shared" ref="AK90" si="2604">IF(M90=1,M90*$O90*$P90/1000,IF(M90=2,M90*$O90*$P90/1000," "))</f>
        <v xml:space="preserve"> </v>
      </c>
      <c r="AL90" s="2" t="str">
        <f t="shared" ref="AL90" si="2605">IF(N90=1,N90*$O90*$Q90/1000,IF(N90=2,N90*$O90*$Q90/1000," "))</f>
        <v xml:space="preserve"> </v>
      </c>
      <c r="AM90" s="23">
        <f t="shared" ref="AM90" si="2606">SUM(AN90:BG90)*R90</f>
        <v>0</v>
      </c>
      <c r="AN90" s="8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11"/>
      <c r="BH90" s="1">
        <f t="shared" ref="BH90" si="2607">SUM(BI90:CB90)*R90</f>
        <v>0</v>
      </c>
      <c r="BI90" s="8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11"/>
      <c r="CC90" s="1">
        <f t="shared" ref="CC90" si="2608">SUM(CD90:CW90)*R90</f>
        <v>0</v>
      </c>
      <c r="CD90" s="8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11"/>
      <c r="CX90" s="10">
        <f t="shared" ref="CX90" si="2609">SUM(CY90:DR90)*R90</f>
        <v>0</v>
      </c>
      <c r="CY90" s="8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11"/>
      <c r="DS90" s="10">
        <f t="shared" ref="DS90" si="2610">SUM(DT90:EM90)*R90</f>
        <v>0</v>
      </c>
      <c r="DT90" s="8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11"/>
      <c r="EN90" s="10">
        <f t="shared" ref="EN90" si="2611">SUM(EO90:FH90)*R90</f>
        <v>0</v>
      </c>
      <c r="EO90" s="8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11"/>
      <c r="FI90" s="10">
        <f t="shared" ref="FI90" si="2612">SUM(FJ90:GC90)*R90</f>
        <v>0</v>
      </c>
      <c r="FJ90" s="8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11"/>
      <c r="GD90" s="10">
        <f t="shared" ref="GD90" si="2613">SUM(GE90:GX90)*R90</f>
        <v>0</v>
      </c>
      <c r="GE90" s="8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11"/>
      <c r="GY90" s="10">
        <f t="shared" ref="GY90" si="2614">SUM(GZ90:IZ90)*R90</f>
        <v>0</v>
      </c>
      <c r="GZ90" s="8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11"/>
    </row>
    <row r="91" spans="1:260" ht="14.25" customHeight="1" x14ac:dyDescent="0.3">
      <c r="A91" s="63"/>
      <c r="B91" s="61"/>
      <c r="C91" s="62"/>
      <c r="D91" s="62"/>
      <c r="E91" s="5"/>
      <c r="F91" s="5"/>
      <c r="G91" s="5"/>
      <c r="H91" s="5"/>
      <c r="I91" s="5"/>
      <c r="J91" s="5"/>
      <c r="K91" s="5"/>
      <c r="L91" s="5"/>
      <c r="M91" s="5"/>
      <c r="N91" s="5"/>
      <c r="O91" s="3">
        <f t="shared" ref="O91" si="2615">SUM(AN91:BG91,BI91:CB91,CD91:CW91,CY91:DR91,DT91:EM91,EO91:FH91,FJ91:GC91,GE91:GX91,GZ91:IZ91)</f>
        <v>0</v>
      </c>
      <c r="P91" s="7"/>
      <c r="Q91" s="7"/>
      <c r="R91" s="2">
        <f t="shared" ref="R91" si="2616">P91*Q91/1000000</f>
        <v>0</v>
      </c>
      <c r="S91" s="27">
        <f t="shared" ref="S91" si="2617">AM91</f>
        <v>0</v>
      </c>
      <c r="T91" s="27">
        <f t="shared" ref="T91" si="2618">BH91</f>
        <v>0</v>
      </c>
      <c r="U91" s="27">
        <f t="shared" ref="U91" si="2619">CC91</f>
        <v>0</v>
      </c>
      <c r="V91" s="27">
        <f t="shared" ref="V91" si="2620">CX91</f>
        <v>0</v>
      </c>
      <c r="W91" s="27">
        <f t="shared" ref="W91" si="2621">DS91</f>
        <v>0</v>
      </c>
      <c r="X91" s="27">
        <f t="shared" ref="X91" si="2622">EN91</f>
        <v>0</v>
      </c>
      <c r="Y91" s="27">
        <f t="shared" ref="Y91" si="2623">FI91</f>
        <v>0</v>
      </c>
      <c r="Z91" s="27">
        <f t="shared" ref="Z91" si="2624">GD91</f>
        <v>0</v>
      </c>
      <c r="AA91" s="27">
        <f t="shared" ref="AA91" si="2625">GY91</f>
        <v>0</v>
      </c>
      <c r="AB91" s="4">
        <f t="shared" ref="AB91" si="2626">P91*Q91*O91/1000000</f>
        <v>0</v>
      </c>
      <c r="AC91" s="2" t="str">
        <f t="shared" ref="AC91" si="2627">IF(E91=1,E91*$O91*$Q91/1000,IF(E91=2,E91*$O91*$Q91/1000," "))</f>
        <v xml:space="preserve"> </v>
      </c>
      <c r="AD91" s="2" t="str">
        <f t="shared" ref="AD91" si="2628">IF(F91=1,F91*$O91*$P91/1000,IF(F91=2,F91*$O91*$P91/1000," "))</f>
        <v xml:space="preserve"> </v>
      </c>
      <c r="AE91" s="2" t="str">
        <f t="shared" ref="AE91" si="2629">IF(G91=1,G91*$O91*$P91/1000,IF(G91=2,G91*$O91*$P91/1000," "))</f>
        <v xml:space="preserve"> </v>
      </c>
      <c r="AF91" s="2" t="str">
        <f t="shared" ref="AF91" si="2630">IF(H91=1,H91*$O91*$Q91/1000,IF(H91=2,H91*$O91*$Q91/1000," "))</f>
        <v xml:space="preserve"> </v>
      </c>
      <c r="AG91" s="2" t="str">
        <f t="shared" ref="AG91" si="2631">IF(I91=1,I91*$O91*$P91/1000,IF(I91=2,I91*$O91*$P91/1000," "))</f>
        <v xml:space="preserve"> </v>
      </c>
      <c r="AH91" s="2" t="str">
        <f t="shared" ref="AH91" si="2632">IF(J91=1,J91*$O91*$P91/1000,IF(J91=2,J91*$O91*$P91/1000," "))</f>
        <v xml:space="preserve"> </v>
      </c>
      <c r="AI91" s="2" t="str">
        <f t="shared" ref="AI91" si="2633">IF(K91=1,K91*$O91*$Q91/1000,IF(K91=2,K91*$O91*$Q91/1000," "))</f>
        <v xml:space="preserve"> </v>
      </c>
      <c r="AJ91" s="2" t="str">
        <f t="shared" ref="AJ91" si="2634">IF(L91=1,L91*$O91*$P91/1000,IF(L91=2,L91*$O91*$P91/1000," "))</f>
        <v xml:space="preserve"> </v>
      </c>
      <c r="AK91" s="2" t="str">
        <f t="shared" ref="AK91" si="2635">IF(M91=1,M91*$O91*$P91/1000,IF(M91=2,M91*$O91*$P91/1000," "))</f>
        <v xml:space="preserve"> </v>
      </c>
      <c r="AL91" s="2" t="str">
        <f t="shared" ref="AL91" si="2636">IF(N91=1,N91*$O91*$Q91/1000,IF(N91=2,N91*$O91*$Q91/1000," "))</f>
        <v xml:space="preserve"> </v>
      </c>
      <c r="AM91" s="23">
        <f t="shared" ref="AM91" si="2637">SUM(AN91:BG91)*R91</f>
        <v>0</v>
      </c>
      <c r="AN91" s="8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11"/>
      <c r="BH91" s="1">
        <f t="shared" ref="BH91" si="2638">SUM(BI91:CB91)*R91</f>
        <v>0</v>
      </c>
      <c r="BI91" s="8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11"/>
      <c r="CC91" s="1">
        <f t="shared" ref="CC91" si="2639">SUM(CD91:CW91)*R91</f>
        <v>0</v>
      </c>
      <c r="CD91" s="8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11"/>
      <c r="CX91" s="10">
        <f t="shared" ref="CX91" si="2640">SUM(CY91:DR91)*R91</f>
        <v>0</v>
      </c>
      <c r="CY91" s="8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11"/>
      <c r="DS91" s="10">
        <f t="shared" ref="DS91" si="2641">SUM(DT91:EM91)*R91</f>
        <v>0</v>
      </c>
      <c r="DT91" s="8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11"/>
      <c r="EN91" s="10">
        <f t="shared" ref="EN91" si="2642">SUM(EO91:FH91)*R91</f>
        <v>0</v>
      </c>
      <c r="EO91" s="8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11"/>
      <c r="FI91" s="10">
        <f t="shared" ref="FI91" si="2643">SUM(FJ91:GC91)*R91</f>
        <v>0</v>
      </c>
      <c r="FJ91" s="8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11"/>
      <c r="GD91" s="10">
        <f t="shared" ref="GD91" si="2644">SUM(GE91:GX91)*R91</f>
        <v>0</v>
      </c>
      <c r="GE91" s="8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11"/>
      <c r="GY91" s="10">
        <f t="shared" ref="GY91" si="2645">SUM(GZ91:IZ91)*R91</f>
        <v>0</v>
      </c>
      <c r="GZ91" s="8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11"/>
    </row>
    <row r="92" spans="1:260" ht="14.25" customHeight="1" x14ac:dyDescent="0.3">
      <c r="A92" s="63"/>
      <c r="B92" s="61"/>
      <c r="C92" s="62"/>
      <c r="D92" s="62"/>
      <c r="E92" s="5"/>
      <c r="F92" s="5"/>
      <c r="G92" s="5"/>
      <c r="H92" s="5"/>
      <c r="I92" s="5"/>
      <c r="J92" s="5"/>
      <c r="K92" s="5"/>
      <c r="L92" s="5"/>
      <c r="M92" s="5"/>
      <c r="N92" s="5"/>
      <c r="O92" s="3">
        <f t="shared" ref="O92" si="2646">SUM(AN92:BG92,BI92:CB92,CD92:CW92,CY92:DR92,DT92:EM92,EO92:FH92,FJ92:GC92,GE92:GX92,GZ92:IZ92)</f>
        <v>0</v>
      </c>
      <c r="P92" s="7"/>
      <c r="Q92" s="7"/>
      <c r="R92" s="2">
        <f t="shared" ref="R92" si="2647">P92*Q92/1000000</f>
        <v>0</v>
      </c>
      <c r="S92" s="27">
        <f t="shared" ref="S92" si="2648">AM92</f>
        <v>0</v>
      </c>
      <c r="T92" s="27">
        <f t="shared" ref="T92" si="2649">BH92</f>
        <v>0</v>
      </c>
      <c r="U92" s="27">
        <f t="shared" ref="U92" si="2650">CC92</f>
        <v>0</v>
      </c>
      <c r="V92" s="27">
        <f t="shared" ref="V92" si="2651">CX92</f>
        <v>0</v>
      </c>
      <c r="W92" s="27">
        <f t="shared" ref="W92" si="2652">DS92</f>
        <v>0</v>
      </c>
      <c r="X92" s="27">
        <f t="shared" ref="X92" si="2653">EN92</f>
        <v>0</v>
      </c>
      <c r="Y92" s="27">
        <f t="shared" ref="Y92" si="2654">FI92</f>
        <v>0</v>
      </c>
      <c r="Z92" s="27">
        <f t="shared" ref="Z92" si="2655">GD92</f>
        <v>0</v>
      </c>
      <c r="AA92" s="27">
        <f t="shared" ref="AA92" si="2656">GY92</f>
        <v>0</v>
      </c>
      <c r="AB92" s="4">
        <f t="shared" ref="AB92" si="2657">P92*Q92*O92/1000000</f>
        <v>0</v>
      </c>
      <c r="AC92" s="2" t="str">
        <f t="shared" ref="AC92" si="2658">IF(E92=1,E92*$O92*$Q92/1000,IF(E92=2,E92*$O92*$Q92/1000," "))</f>
        <v xml:space="preserve"> </v>
      </c>
      <c r="AD92" s="2" t="str">
        <f t="shared" ref="AD92" si="2659">IF(F92=1,F92*$O92*$P92/1000,IF(F92=2,F92*$O92*$P92/1000," "))</f>
        <v xml:space="preserve"> </v>
      </c>
      <c r="AE92" s="2" t="str">
        <f t="shared" ref="AE92" si="2660">IF(G92=1,G92*$O92*$P92/1000,IF(G92=2,G92*$O92*$P92/1000," "))</f>
        <v xml:space="preserve"> </v>
      </c>
      <c r="AF92" s="2" t="str">
        <f t="shared" ref="AF92" si="2661">IF(H92=1,H92*$O92*$Q92/1000,IF(H92=2,H92*$O92*$Q92/1000," "))</f>
        <v xml:space="preserve"> </v>
      </c>
      <c r="AG92" s="2" t="str">
        <f t="shared" ref="AG92" si="2662">IF(I92=1,I92*$O92*$P92/1000,IF(I92=2,I92*$O92*$P92/1000," "))</f>
        <v xml:space="preserve"> </v>
      </c>
      <c r="AH92" s="2" t="str">
        <f t="shared" ref="AH92" si="2663">IF(J92=1,J92*$O92*$P92/1000,IF(J92=2,J92*$O92*$P92/1000," "))</f>
        <v xml:space="preserve"> </v>
      </c>
      <c r="AI92" s="2" t="str">
        <f t="shared" ref="AI92" si="2664">IF(K92=1,K92*$O92*$Q92/1000,IF(K92=2,K92*$O92*$Q92/1000," "))</f>
        <v xml:space="preserve"> </v>
      </c>
      <c r="AJ92" s="2" t="str">
        <f t="shared" ref="AJ92" si="2665">IF(L92=1,L92*$O92*$P92/1000,IF(L92=2,L92*$O92*$P92/1000," "))</f>
        <v xml:space="preserve"> </v>
      </c>
      <c r="AK92" s="2" t="str">
        <f t="shared" ref="AK92" si="2666">IF(M92=1,M92*$O92*$P92/1000,IF(M92=2,M92*$O92*$P92/1000," "))</f>
        <v xml:space="preserve"> </v>
      </c>
      <c r="AL92" s="2" t="str">
        <f t="shared" ref="AL92" si="2667">IF(N92=1,N92*$O92*$Q92/1000,IF(N92=2,N92*$O92*$Q92/1000," "))</f>
        <v xml:space="preserve"> </v>
      </c>
      <c r="AM92" s="23">
        <f t="shared" ref="AM92" si="2668">SUM(AN92:BG92)*R92</f>
        <v>0</v>
      </c>
      <c r="AN92" s="8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11"/>
      <c r="BH92" s="1">
        <f t="shared" ref="BH92" si="2669">SUM(BI92:CB92)*R92</f>
        <v>0</v>
      </c>
      <c r="BI92" s="8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11"/>
      <c r="CC92" s="1">
        <f t="shared" ref="CC92" si="2670">SUM(CD92:CW92)*R92</f>
        <v>0</v>
      </c>
      <c r="CD92" s="8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11"/>
      <c r="CX92" s="10">
        <f t="shared" ref="CX92" si="2671">SUM(CY92:DR92)*R92</f>
        <v>0</v>
      </c>
      <c r="CY92" s="8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11"/>
      <c r="DS92" s="10">
        <f t="shared" ref="DS92" si="2672">SUM(DT92:EM92)*R92</f>
        <v>0</v>
      </c>
      <c r="DT92" s="8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11"/>
      <c r="EN92" s="10">
        <f t="shared" ref="EN92" si="2673">SUM(EO92:FH92)*R92</f>
        <v>0</v>
      </c>
      <c r="EO92" s="8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11"/>
      <c r="FI92" s="10">
        <f t="shared" ref="FI92" si="2674">SUM(FJ92:GC92)*R92</f>
        <v>0</v>
      </c>
      <c r="FJ92" s="8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11"/>
      <c r="GD92" s="10">
        <f t="shared" ref="GD92" si="2675">SUM(GE92:GX92)*R92</f>
        <v>0</v>
      </c>
      <c r="GE92" s="8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11"/>
      <c r="GY92" s="10">
        <f t="shared" ref="GY92" si="2676">SUM(GZ92:IZ92)*R92</f>
        <v>0</v>
      </c>
      <c r="GZ92" s="8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11"/>
    </row>
    <row r="93" spans="1:260" ht="14.25" customHeight="1" x14ac:dyDescent="0.3">
      <c r="A93" s="63"/>
      <c r="B93" s="61"/>
      <c r="C93" s="62"/>
      <c r="D93" s="62"/>
      <c r="E93" s="5"/>
      <c r="F93" s="5"/>
      <c r="G93" s="5"/>
      <c r="H93" s="5"/>
      <c r="I93" s="5"/>
      <c r="J93" s="5"/>
      <c r="K93" s="5"/>
      <c r="L93" s="5"/>
      <c r="M93" s="5"/>
      <c r="N93" s="5"/>
      <c r="O93" s="3">
        <f t="shared" ref="O93" si="2677">SUM(AN93:BG93,BI93:CB93,CD93:CW93,CY93:DR93,DT93:EM93,EO93:FH93,FJ93:GC93,GE93:GX93,GZ93:IZ93)</f>
        <v>0</v>
      </c>
      <c r="P93" s="7"/>
      <c r="Q93" s="7"/>
      <c r="R93" s="2">
        <f t="shared" ref="R93" si="2678">P93*Q93/1000000</f>
        <v>0</v>
      </c>
      <c r="S93" s="27">
        <f t="shared" ref="S93" si="2679">AM93</f>
        <v>0</v>
      </c>
      <c r="T93" s="27">
        <f t="shared" ref="T93" si="2680">BH93</f>
        <v>0</v>
      </c>
      <c r="U93" s="27">
        <f t="shared" ref="U93" si="2681">CC93</f>
        <v>0</v>
      </c>
      <c r="V93" s="27">
        <f t="shared" ref="V93" si="2682">CX93</f>
        <v>0</v>
      </c>
      <c r="W93" s="27">
        <f t="shared" ref="W93" si="2683">DS93</f>
        <v>0</v>
      </c>
      <c r="X93" s="27">
        <f t="shared" ref="X93" si="2684">EN93</f>
        <v>0</v>
      </c>
      <c r="Y93" s="27">
        <f t="shared" ref="Y93" si="2685">FI93</f>
        <v>0</v>
      </c>
      <c r="Z93" s="27">
        <f t="shared" ref="Z93" si="2686">GD93</f>
        <v>0</v>
      </c>
      <c r="AA93" s="27">
        <f t="shared" ref="AA93" si="2687">GY93</f>
        <v>0</v>
      </c>
      <c r="AB93" s="4">
        <f t="shared" ref="AB93" si="2688">P93*Q93*O93/1000000</f>
        <v>0</v>
      </c>
      <c r="AC93" s="2" t="str">
        <f t="shared" ref="AC93" si="2689">IF(E93=1,E93*$O93*$Q93/1000,IF(E93=2,E93*$O93*$Q93/1000," "))</f>
        <v xml:space="preserve"> </v>
      </c>
      <c r="AD93" s="2" t="str">
        <f t="shared" ref="AD93" si="2690">IF(F93=1,F93*$O93*$P93/1000,IF(F93=2,F93*$O93*$P93/1000," "))</f>
        <v xml:space="preserve"> </v>
      </c>
      <c r="AE93" s="2" t="str">
        <f t="shared" ref="AE93" si="2691">IF(G93=1,G93*$O93*$P93/1000,IF(G93=2,G93*$O93*$P93/1000," "))</f>
        <v xml:space="preserve"> </v>
      </c>
      <c r="AF93" s="2" t="str">
        <f t="shared" ref="AF93" si="2692">IF(H93=1,H93*$O93*$Q93/1000,IF(H93=2,H93*$O93*$Q93/1000," "))</f>
        <v xml:space="preserve"> </v>
      </c>
      <c r="AG93" s="2" t="str">
        <f t="shared" ref="AG93" si="2693">IF(I93=1,I93*$O93*$P93/1000,IF(I93=2,I93*$O93*$P93/1000," "))</f>
        <v xml:space="preserve"> </v>
      </c>
      <c r="AH93" s="2" t="str">
        <f t="shared" ref="AH93" si="2694">IF(J93=1,J93*$O93*$P93/1000,IF(J93=2,J93*$O93*$P93/1000," "))</f>
        <v xml:space="preserve"> </v>
      </c>
      <c r="AI93" s="2" t="str">
        <f t="shared" ref="AI93" si="2695">IF(K93=1,K93*$O93*$Q93/1000,IF(K93=2,K93*$O93*$Q93/1000," "))</f>
        <v xml:space="preserve"> </v>
      </c>
      <c r="AJ93" s="2" t="str">
        <f t="shared" ref="AJ93" si="2696">IF(L93=1,L93*$O93*$P93/1000,IF(L93=2,L93*$O93*$P93/1000," "))</f>
        <v xml:space="preserve"> </v>
      </c>
      <c r="AK93" s="2" t="str">
        <f t="shared" ref="AK93" si="2697">IF(M93=1,M93*$O93*$P93/1000,IF(M93=2,M93*$O93*$P93/1000," "))</f>
        <v xml:space="preserve"> </v>
      </c>
      <c r="AL93" s="2" t="str">
        <f t="shared" ref="AL93" si="2698">IF(N93=1,N93*$O93*$Q93/1000,IF(N93=2,N93*$O93*$Q93/1000," "))</f>
        <v xml:space="preserve"> </v>
      </c>
      <c r="AM93" s="23">
        <f t="shared" ref="AM93" si="2699">SUM(AN93:BG93)*R93</f>
        <v>0</v>
      </c>
      <c r="AN93" s="8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11"/>
      <c r="BH93" s="1">
        <f t="shared" ref="BH93" si="2700">SUM(BI93:CB93)*R93</f>
        <v>0</v>
      </c>
      <c r="BI93" s="8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11"/>
      <c r="CC93" s="1">
        <f t="shared" ref="CC93" si="2701">SUM(CD93:CW93)*R93</f>
        <v>0</v>
      </c>
      <c r="CD93" s="8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11"/>
      <c r="CX93" s="10">
        <f t="shared" ref="CX93" si="2702">SUM(CY93:DR93)*R93</f>
        <v>0</v>
      </c>
      <c r="CY93" s="8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11"/>
      <c r="DS93" s="10">
        <f t="shared" ref="DS93" si="2703">SUM(DT93:EM93)*R93</f>
        <v>0</v>
      </c>
      <c r="DT93" s="8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11"/>
      <c r="EN93" s="10">
        <f t="shared" ref="EN93" si="2704">SUM(EO93:FH93)*R93</f>
        <v>0</v>
      </c>
      <c r="EO93" s="8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11"/>
      <c r="FI93" s="10">
        <f t="shared" ref="FI93" si="2705">SUM(FJ93:GC93)*R93</f>
        <v>0</v>
      </c>
      <c r="FJ93" s="8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11"/>
      <c r="GD93" s="10">
        <f t="shared" ref="GD93" si="2706">SUM(GE93:GX93)*R93</f>
        <v>0</v>
      </c>
      <c r="GE93" s="8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11"/>
      <c r="GY93" s="10">
        <f t="shared" ref="GY93" si="2707">SUM(GZ93:IZ93)*R93</f>
        <v>0</v>
      </c>
      <c r="GZ93" s="8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11"/>
    </row>
    <row r="94" spans="1:260" ht="14.25" customHeight="1" x14ac:dyDescent="0.3">
      <c r="A94" s="63"/>
      <c r="B94" s="61"/>
      <c r="C94" s="62"/>
      <c r="D94" s="62"/>
      <c r="E94" s="5"/>
      <c r="F94" s="5"/>
      <c r="G94" s="5"/>
      <c r="H94" s="5"/>
      <c r="I94" s="5"/>
      <c r="J94" s="5"/>
      <c r="K94" s="5"/>
      <c r="L94" s="5"/>
      <c r="M94" s="5"/>
      <c r="N94" s="5"/>
      <c r="O94" s="3">
        <f t="shared" ref="O94" si="2708">SUM(AN94:BG94,BI94:CB94,CD94:CW94,CY94:DR94,DT94:EM94,EO94:FH94,FJ94:GC94,GE94:GX94,GZ94:IZ94)</f>
        <v>0</v>
      </c>
      <c r="P94" s="7"/>
      <c r="Q94" s="7"/>
      <c r="R94" s="2">
        <f t="shared" ref="R94" si="2709">P94*Q94/1000000</f>
        <v>0</v>
      </c>
      <c r="S94" s="27">
        <f t="shared" ref="S94" si="2710">AM94</f>
        <v>0</v>
      </c>
      <c r="T94" s="27">
        <f t="shared" ref="T94" si="2711">BH94</f>
        <v>0</v>
      </c>
      <c r="U94" s="27">
        <f t="shared" ref="U94" si="2712">CC94</f>
        <v>0</v>
      </c>
      <c r="V94" s="27">
        <f t="shared" ref="V94" si="2713">CX94</f>
        <v>0</v>
      </c>
      <c r="W94" s="27">
        <f t="shared" ref="W94" si="2714">DS94</f>
        <v>0</v>
      </c>
      <c r="X94" s="27">
        <f t="shared" ref="X94" si="2715">EN94</f>
        <v>0</v>
      </c>
      <c r="Y94" s="27">
        <f t="shared" ref="Y94" si="2716">FI94</f>
        <v>0</v>
      </c>
      <c r="Z94" s="27">
        <f t="shared" ref="Z94" si="2717">GD94</f>
        <v>0</v>
      </c>
      <c r="AA94" s="27">
        <f t="shared" ref="AA94" si="2718">GY94</f>
        <v>0</v>
      </c>
      <c r="AB94" s="4">
        <f t="shared" ref="AB94" si="2719">P94*Q94*O94/1000000</f>
        <v>0</v>
      </c>
      <c r="AC94" s="2" t="str">
        <f t="shared" ref="AC94" si="2720">IF(E94=1,E94*$O94*$Q94/1000,IF(E94=2,E94*$O94*$Q94/1000," "))</f>
        <v xml:space="preserve"> </v>
      </c>
      <c r="AD94" s="2" t="str">
        <f t="shared" ref="AD94" si="2721">IF(F94=1,F94*$O94*$P94/1000,IF(F94=2,F94*$O94*$P94/1000," "))</f>
        <v xml:space="preserve"> </v>
      </c>
      <c r="AE94" s="2" t="str">
        <f t="shared" ref="AE94" si="2722">IF(G94=1,G94*$O94*$P94/1000,IF(G94=2,G94*$O94*$P94/1000," "))</f>
        <v xml:space="preserve"> </v>
      </c>
      <c r="AF94" s="2" t="str">
        <f t="shared" ref="AF94" si="2723">IF(H94=1,H94*$O94*$Q94/1000,IF(H94=2,H94*$O94*$Q94/1000," "))</f>
        <v xml:space="preserve"> </v>
      </c>
      <c r="AG94" s="2" t="str">
        <f t="shared" ref="AG94" si="2724">IF(I94=1,I94*$O94*$P94/1000,IF(I94=2,I94*$O94*$P94/1000," "))</f>
        <v xml:space="preserve"> </v>
      </c>
      <c r="AH94" s="2" t="str">
        <f t="shared" ref="AH94" si="2725">IF(J94=1,J94*$O94*$P94/1000,IF(J94=2,J94*$O94*$P94/1000," "))</f>
        <v xml:space="preserve"> </v>
      </c>
      <c r="AI94" s="2" t="str">
        <f t="shared" ref="AI94" si="2726">IF(K94=1,K94*$O94*$Q94/1000,IF(K94=2,K94*$O94*$Q94/1000," "))</f>
        <v xml:space="preserve"> </v>
      </c>
      <c r="AJ94" s="2" t="str">
        <f t="shared" ref="AJ94" si="2727">IF(L94=1,L94*$O94*$P94/1000,IF(L94=2,L94*$O94*$P94/1000," "))</f>
        <v xml:space="preserve"> </v>
      </c>
      <c r="AK94" s="2" t="str">
        <f t="shared" ref="AK94" si="2728">IF(M94=1,M94*$O94*$P94/1000,IF(M94=2,M94*$O94*$P94/1000," "))</f>
        <v xml:space="preserve"> </v>
      </c>
      <c r="AL94" s="2" t="str">
        <f t="shared" ref="AL94" si="2729">IF(N94=1,N94*$O94*$Q94/1000,IF(N94=2,N94*$O94*$Q94/1000," "))</f>
        <v xml:space="preserve"> </v>
      </c>
      <c r="AM94" s="23">
        <f t="shared" ref="AM94" si="2730">SUM(AN94:BG94)*R94</f>
        <v>0</v>
      </c>
      <c r="AN94" s="8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11"/>
      <c r="BH94" s="1">
        <f t="shared" ref="BH94" si="2731">SUM(BI94:CB94)*R94</f>
        <v>0</v>
      </c>
      <c r="BI94" s="8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11"/>
      <c r="CC94" s="1">
        <f t="shared" ref="CC94" si="2732">SUM(CD94:CW94)*R94</f>
        <v>0</v>
      </c>
      <c r="CD94" s="8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11"/>
      <c r="CX94" s="10">
        <f t="shared" ref="CX94" si="2733">SUM(CY94:DR94)*R94</f>
        <v>0</v>
      </c>
      <c r="CY94" s="8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11"/>
      <c r="DS94" s="10">
        <f t="shared" ref="DS94" si="2734">SUM(DT94:EM94)*R94</f>
        <v>0</v>
      </c>
      <c r="DT94" s="8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11"/>
      <c r="EN94" s="10">
        <f t="shared" ref="EN94" si="2735">SUM(EO94:FH94)*R94</f>
        <v>0</v>
      </c>
      <c r="EO94" s="8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11"/>
      <c r="FI94" s="10">
        <f t="shared" ref="FI94" si="2736">SUM(FJ94:GC94)*R94</f>
        <v>0</v>
      </c>
      <c r="FJ94" s="8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11"/>
      <c r="GD94" s="10">
        <f t="shared" ref="GD94" si="2737">SUM(GE94:GX94)*R94</f>
        <v>0</v>
      </c>
      <c r="GE94" s="8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11"/>
      <c r="GY94" s="10">
        <f t="shared" ref="GY94" si="2738">SUM(GZ94:IZ94)*R94</f>
        <v>0</v>
      </c>
      <c r="GZ94" s="8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11"/>
    </row>
    <row r="95" spans="1:260" ht="14.25" customHeight="1" x14ac:dyDescent="0.3">
      <c r="A95" s="63"/>
      <c r="B95" s="61"/>
      <c r="C95" s="62"/>
      <c r="D95" s="62"/>
      <c r="E95" s="5"/>
      <c r="F95" s="5"/>
      <c r="G95" s="5"/>
      <c r="H95" s="5"/>
      <c r="I95" s="5"/>
      <c r="J95" s="5"/>
      <c r="K95" s="5"/>
      <c r="L95" s="5"/>
      <c r="M95" s="5"/>
      <c r="N95" s="5"/>
      <c r="O95" s="3">
        <f t="shared" ref="O95" si="2739">SUM(AN95:BG95,BI95:CB95,CD95:CW95,CY95:DR95,DT95:EM95,EO95:FH95,FJ95:GC95,GE95:GX95,GZ95:IZ95)</f>
        <v>0</v>
      </c>
      <c r="P95" s="7"/>
      <c r="Q95" s="7"/>
      <c r="R95" s="2">
        <f t="shared" ref="R95" si="2740">P95*Q95/1000000</f>
        <v>0</v>
      </c>
      <c r="S95" s="27">
        <f t="shared" ref="S95" si="2741">AM95</f>
        <v>0</v>
      </c>
      <c r="T95" s="27">
        <f t="shared" ref="T95" si="2742">BH95</f>
        <v>0</v>
      </c>
      <c r="U95" s="27">
        <f t="shared" ref="U95" si="2743">CC95</f>
        <v>0</v>
      </c>
      <c r="V95" s="27">
        <f t="shared" ref="V95" si="2744">CX95</f>
        <v>0</v>
      </c>
      <c r="W95" s="27">
        <f t="shared" ref="W95" si="2745">DS95</f>
        <v>0</v>
      </c>
      <c r="X95" s="27">
        <f t="shared" ref="X95" si="2746">EN95</f>
        <v>0</v>
      </c>
      <c r="Y95" s="27">
        <f t="shared" ref="Y95" si="2747">FI95</f>
        <v>0</v>
      </c>
      <c r="Z95" s="27">
        <f t="shared" ref="Z95" si="2748">GD95</f>
        <v>0</v>
      </c>
      <c r="AA95" s="27">
        <f t="shared" ref="AA95" si="2749">GY95</f>
        <v>0</v>
      </c>
      <c r="AB95" s="4">
        <f t="shared" ref="AB95" si="2750">P95*Q95*O95/1000000</f>
        <v>0</v>
      </c>
      <c r="AC95" s="2" t="str">
        <f t="shared" ref="AC95" si="2751">IF(E95=1,E95*$O95*$Q95/1000,IF(E95=2,E95*$O95*$Q95/1000," "))</f>
        <v xml:space="preserve"> </v>
      </c>
      <c r="AD95" s="2" t="str">
        <f t="shared" ref="AD95" si="2752">IF(F95=1,F95*$O95*$P95/1000,IF(F95=2,F95*$O95*$P95/1000," "))</f>
        <v xml:space="preserve"> </v>
      </c>
      <c r="AE95" s="2" t="str">
        <f t="shared" ref="AE95" si="2753">IF(G95=1,G95*$O95*$P95/1000,IF(G95=2,G95*$O95*$P95/1000," "))</f>
        <v xml:space="preserve"> </v>
      </c>
      <c r="AF95" s="2" t="str">
        <f t="shared" ref="AF95" si="2754">IF(H95=1,H95*$O95*$Q95/1000,IF(H95=2,H95*$O95*$Q95/1000," "))</f>
        <v xml:space="preserve"> </v>
      </c>
      <c r="AG95" s="2" t="str">
        <f t="shared" ref="AG95" si="2755">IF(I95=1,I95*$O95*$P95/1000,IF(I95=2,I95*$O95*$P95/1000," "))</f>
        <v xml:space="preserve"> </v>
      </c>
      <c r="AH95" s="2" t="str">
        <f t="shared" ref="AH95" si="2756">IF(J95=1,J95*$O95*$P95/1000,IF(J95=2,J95*$O95*$P95/1000," "))</f>
        <v xml:space="preserve"> </v>
      </c>
      <c r="AI95" s="2" t="str">
        <f t="shared" ref="AI95" si="2757">IF(K95=1,K95*$O95*$Q95/1000,IF(K95=2,K95*$O95*$Q95/1000," "))</f>
        <v xml:space="preserve"> </v>
      </c>
      <c r="AJ95" s="2" t="str">
        <f t="shared" ref="AJ95" si="2758">IF(L95=1,L95*$O95*$P95/1000,IF(L95=2,L95*$O95*$P95/1000," "))</f>
        <v xml:space="preserve"> </v>
      </c>
      <c r="AK95" s="2" t="str">
        <f t="shared" ref="AK95" si="2759">IF(M95=1,M95*$O95*$P95/1000,IF(M95=2,M95*$O95*$P95/1000," "))</f>
        <v xml:space="preserve"> </v>
      </c>
      <c r="AL95" s="2" t="str">
        <f t="shared" ref="AL95" si="2760">IF(N95=1,N95*$O95*$Q95/1000,IF(N95=2,N95*$O95*$Q95/1000," "))</f>
        <v xml:space="preserve"> </v>
      </c>
      <c r="AM95" s="23">
        <f t="shared" ref="AM95" si="2761">SUM(AN95:BG95)*R95</f>
        <v>0</v>
      </c>
      <c r="AN95" s="8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11"/>
      <c r="BH95" s="1">
        <f t="shared" ref="BH95" si="2762">SUM(BI95:CB95)*R95</f>
        <v>0</v>
      </c>
      <c r="BI95" s="8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11"/>
      <c r="CC95" s="1">
        <f t="shared" ref="CC95" si="2763">SUM(CD95:CW95)*R95</f>
        <v>0</v>
      </c>
      <c r="CD95" s="8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11"/>
      <c r="CX95" s="10">
        <f t="shared" ref="CX95" si="2764">SUM(CY95:DR95)*R95</f>
        <v>0</v>
      </c>
      <c r="CY95" s="8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11"/>
      <c r="DS95" s="10">
        <f t="shared" ref="DS95" si="2765">SUM(DT95:EM95)*R95</f>
        <v>0</v>
      </c>
      <c r="DT95" s="8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11"/>
      <c r="EN95" s="10">
        <f t="shared" ref="EN95" si="2766">SUM(EO95:FH95)*R95</f>
        <v>0</v>
      </c>
      <c r="EO95" s="8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11"/>
      <c r="FI95" s="10">
        <f t="shared" ref="FI95" si="2767">SUM(FJ95:GC95)*R95</f>
        <v>0</v>
      </c>
      <c r="FJ95" s="8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11"/>
      <c r="GD95" s="10">
        <f t="shared" ref="GD95" si="2768">SUM(GE95:GX95)*R95</f>
        <v>0</v>
      </c>
      <c r="GE95" s="8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11"/>
      <c r="GY95" s="10">
        <f t="shared" ref="GY95" si="2769">SUM(GZ95:IZ95)*R95</f>
        <v>0</v>
      </c>
      <c r="GZ95" s="8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11"/>
    </row>
    <row r="96" spans="1:260" ht="13" x14ac:dyDescent="0.3">
      <c r="A96" s="80"/>
      <c r="B96" s="81"/>
      <c r="C96" s="81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3"/>
      <c r="P96" s="84"/>
      <c r="Q96" s="84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3"/>
      <c r="AC96" s="83"/>
      <c r="AD96" s="83"/>
      <c r="AE96" s="83"/>
      <c r="AF96" s="83"/>
      <c r="AG96" s="83"/>
      <c r="AH96" s="83"/>
      <c r="AI96" s="83"/>
      <c r="AJ96" s="83"/>
      <c r="AK96" s="83"/>
      <c r="AL96" s="83"/>
      <c r="AM96" s="83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  <c r="BD96" s="86"/>
      <c r="BE96" s="86"/>
      <c r="BF96" s="86"/>
      <c r="BG96" s="86"/>
      <c r="BH96" s="83"/>
      <c r="BI96" s="86"/>
      <c r="BJ96" s="86"/>
      <c r="BK96" s="86"/>
      <c r="BL96" s="86"/>
      <c r="BM96" s="86"/>
      <c r="BN96" s="86"/>
      <c r="BO96" s="86"/>
      <c r="BP96" s="86"/>
      <c r="BQ96" s="86"/>
      <c r="BR96" s="86"/>
      <c r="BS96" s="86"/>
      <c r="BT96" s="86"/>
      <c r="BU96" s="86"/>
      <c r="BV96" s="86"/>
      <c r="BW96" s="86"/>
      <c r="BX96" s="86"/>
      <c r="BY96" s="86"/>
      <c r="BZ96" s="86"/>
      <c r="CA96" s="86"/>
      <c r="CB96" s="86"/>
      <c r="CC96" s="83"/>
      <c r="CD96" s="87"/>
      <c r="CE96" s="87"/>
      <c r="CF96" s="87"/>
      <c r="CG96" s="87"/>
      <c r="CH96" s="87"/>
      <c r="CI96" s="87"/>
      <c r="CJ96" s="87"/>
      <c r="CK96" s="87"/>
      <c r="CL96" s="87"/>
      <c r="CM96" s="87"/>
      <c r="CN96" s="87"/>
      <c r="CO96" s="87"/>
      <c r="CP96" s="87"/>
      <c r="CQ96" s="87"/>
      <c r="CR96" s="87"/>
      <c r="CS96" s="87"/>
      <c r="CT96" s="87"/>
      <c r="CU96" s="87"/>
      <c r="CV96" s="87"/>
      <c r="CW96" s="87"/>
      <c r="CX96" s="83"/>
      <c r="CY96" s="87"/>
      <c r="CZ96" s="87"/>
      <c r="DA96" s="87"/>
      <c r="DB96" s="87"/>
      <c r="DC96" s="87"/>
      <c r="DD96" s="87"/>
      <c r="DE96" s="87"/>
      <c r="DF96" s="87"/>
      <c r="DG96" s="87"/>
      <c r="DH96" s="87"/>
      <c r="DI96" s="87"/>
      <c r="DJ96" s="87"/>
      <c r="DK96" s="87"/>
      <c r="DL96" s="87"/>
      <c r="DM96" s="87"/>
      <c r="DN96" s="87"/>
      <c r="DO96" s="87"/>
      <c r="DP96" s="87"/>
      <c r="DQ96" s="87"/>
      <c r="DR96" s="87"/>
      <c r="DS96" s="83"/>
      <c r="DT96" s="87"/>
      <c r="DU96" s="87"/>
      <c r="DV96" s="87"/>
      <c r="DW96" s="87"/>
      <c r="DX96" s="87"/>
      <c r="DY96" s="87"/>
      <c r="DZ96" s="87"/>
      <c r="EA96" s="87"/>
      <c r="EB96" s="87"/>
      <c r="EC96" s="87"/>
      <c r="ED96" s="87"/>
      <c r="EE96" s="87"/>
      <c r="EF96" s="87"/>
      <c r="EG96" s="87"/>
      <c r="EH96" s="87"/>
      <c r="EI96" s="87"/>
      <c r="EJ96" s="87"/>
      <c r="EK96" s="87"/>
      <c r="EL96" s="87"/>
      <c r="EM96" s="87"/>
      <c r="EN96" s="83"/>
      <c r="EO96" s="87"/>
      <c r="EP96" s="87"/>
      <c r="EQ96" s="87"/>
      <c r="ER96" s="87"/>
      <c r="ES96" s="87"/>
      <c r="ET96" s="87"/>
      <c r="EU96" s="87"/>
      <c r="EV96" s="87"/>
      <c r="EW96" s="87"/>
      <c r="EX96" s="87"/>
      <c r="EY96" s="87"/>
      <c r="EZ96" s="87"/>
      <c r="FA96" s="87"/>
      <c r="FB96" s="87"/>
      <c r="FC96" s="87"/>
      <c r="FD96" s="87"/>
      <c r="FE96" s="87"/>
      <c r="FF96" s="87"/>
      <c r="FG96" s="87"/>
      <c r="FH96" s="87"/>
      <c r="FI96" s="83"/>
      <c r="FJ96" s="87"/>
      <c r="FK96" s="87"/>
      <c r="FL96" s="87"/>
      <c r="FM96" s="87"/>
      <c r="FN96" s="87"/>
      <c r="FO96" s="87"/>
      <c r="FP96" s="87"/>
      <c r="FQ96" s="87"/>
      <c r="FR96" s="87"/>
      <c r="FS96" s="87"/>
      <c r="FT96" s="87"/>
      <c r="FU96" s="87"/>
      <c r="FV96" s="87"/>
      <c r="FW96" s="87"/>
      <c r="FX96" s="87"/>
      <c r="FY96" s="87"/>
      <c r="FZ96" s="87"/>
      <c r="GA96" s="87"/>
      <c r="GB96" s="87"/>
      <c r="GC96" s="87"/>
      <c r="GD96" s="83"/>
      <c r="GE96" s="87"/>
      <c r="GF96" s="87"/>
      <c r="GG96" s="87"/>
      <c r="GH96" s="87"/>
      <c r="GI96" s="87"/>
      <c r="GJ96" s="87"/>
      <c r="GK96" s="87"/>
      <c r="GL96" s="87"/>
      <c r="GM96" s="87"/>
      <c r="GN96" s="87"/>
      <c r="GO96" s="87"/>
      <c r="GP96" s="87"/>
      <c r="GQ96" s="87"/>
      <c r="GR96" s="87"/>
      <c r="GS96" s="87"/>
      <c r="GT96" s="87"/>
      <c r="GU96" s="87"/>
      <c r="GV96" s="87"/>
      <c r="GW96" s="87"/>
      <c r="GX96" s="87"/>
      <c r="GY96" s="83"/>
      <c r="GZ96" s="87"/>
      <c r="HA96" s="87"/>
      <c r="HB96" s="87"/>
      <c r="HC96" s="87"/>
      <c r="HD96" s="87"/>
      <c r="HE96" s="87"/>
      <c r="HF96" s="87"/>
      <c r="HG96" s="87"/>
      <c r="HH96" s="87"/>
      <c r="HI96" s="87"/>
      <c r="HJ96" s="87"/>
      <c r="HK96" s="87"/>
      <c r="HL96" s="87"/>
      <c r="HM96" s="87"/>
      <c r="HN96" s="87"/>
      <c r="HO96" s="87"/>
      <c r="HP96" s="87"/>
      <c r="HQ96" s="87"/>
      <c r="HR96" s="87"/>
      <c r="HS96" s="87"/>
      <c r="HT96" s="87"/>
      <c r="HU96" s="87"/>
      <c r="HV96" s="87"/>
      <c r="HW96" s="87"/>
      <c r="HX96" s="87"/>
      <c r="HY96" s="87"/>
      <c r="HZ96" s="87"/>
      <c r="IA96" s="87"/>
      <c r="IB96" s="87"/>
      <c r="IC96" s="87"/>
      <c r="ID96" s="87"/>
      <c r="IE96" s="87"/>
      <c r="IF96" s="87"/>
      <c r="IG96" s="87"/>
      <c r="IH96" s="87"/>
      <c r="II96" s="87"/>
      <c r="IJ96" s="87"/>
      <c r="IK96" s="87"/>
      <c r="IL96" s="87"/>
      <c r="IM96" s="87"/>
      <c r="IN96" s="87"/>
      <c r="IO96" s="87"/>
      <c r="IP96" s="87"/>
      <c r="IQ96" s="87"/>
      <c r="IR96" s="87"/>
      <c r="IS96" s="87"/>
      <c r="IT96" s="87"/>
      <c r="IU96" s="87"/>
      <c r="IV96" s="87"/>
      <c r="IW96" s="87"/>
      <c r="IX96" s="87"/>
      <c r="IY96" s="87"/>
      <c r="IZ96" s="87"/>
    </row>
    <row r="97" spans="1:260" ht="13" x14ac:dyDescent="0.3">
      <c r="A97" s="80"/>
      <c r="B97" s="81"/>
      <c r="C97" s="81"/>
      <c r="D97" s="82"/>
      <c r="E97" s="82"/>
      <c r="F97" s="82"/>
      <c r="G97" s="82"/>
      <c r="H97" s="82"/>
      <c r="I97" s="82"/>
      <c r="J97" s="82"/>
      <c r="K97" s="82"/>
      <c r="L97" s="82"/>
      <c r="M97" s="82"/>
      <c r="N97" s="82"/>
      <c r="O97" s="83">
        <f>SUBTOTAL(9,O7:O96)</f>
        <v>0</v>
      </c>
      <c r="P97" s="84"/>
      <c r="Q97" s="84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3">
        <f t="shared" ref="AB97:AM97" si="2770">SUBTOTAL(9,AB7:AB96)</f>
        <v>0</v>
      </c>
      <c r="AC97" s="83">
        <f t="shared" si="2770"/>
        <v>0</v>
      </c>
      <c r="AD97" s="83">
        <f t="shared" si="2770"/>
        <v>0</v>
      </c>
      <c r="AE97" s="83">
        <f t="shared" si="2770"/>
        <v>0</v>
      </c>
      <c r="AF97" s="83">
        <f t="shared" si="2770"/>
        <v>0</v>
      </c>
      <c r="AG97" s="83">
        <f t="shared" si="2770"/>
        <v>0</v>
      </c>
      <c r="AH97" s="83">
        <f t="shared" si="2770"/>
        <v>0</v>
      </c>
      <c r="AI97" s="83">
        <f t="shared" si="2770"/>
        <v>0</v>
      </c>
      <c r="AJ97" s="83">
        <f t="shared" si="2770"/>
        <v>0</v>
      </c>
      <c r="AK97" s="83">
        <f t="shared" si="2770"/>
        <v>0</v>
      </c>
      <c r="AL97" s="83">
        <f t="shared" si="2770"/>
        <v>0</v>
      </c>
      <c r="AM97" s="83">
        <f t="shared" si="2770"/>
        <v>0</v>
      </c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  <c r="BD97" s="86"/>
      <c r="BE97" s="86"/>
      <c r="BF97" s="86"/>
      <c r="BG97" s="86"/>
      <c r="BH97" s="83">
        <f>SUBTOTAL(9,BH7:BH96)</f>
        <v>0</v>
      </c>
      <c r="BI97" s="86"/>
      <c r="BJ97" s="86"/>
      <c r="BK97" s="86"/>
      <c r="BL97" s="86"/>
      <c r="BM97" s="86"/>
      <c r="BN97" s="86"/>
      <c r="BO97" s="86"/>
      <c r="BP97" s="86"/>
      <c r="BQ97" s="86"/>
      <c r="BR97" s="86"/>
      <c r="BS97" s="86"/>
      <c r="BT97" s="86"/>
      <c r="BU97" s="86"/>
      <c r="BV97" s="86"/>
      <c r="BW97" s="86"/>
      <c r="BX97" s="86"/>
      <c r="BY97" s="86"/>
      <c r="BZ97" s="86"/>
      <c r="CA97" s="86"/>
      <c r="CB97" s="86"/>
      <c r="CC97" s="83">
        <f>SUBTOTAL(9,CC7:CC96)</f>
        <v>0</v>
      </c>
      <c r="CD97" s="87"/>
      <c r="CE97" s="87"/>
      <c r="CF97" s="87"/>
      <c r="CG97" s="87"/>
      <c r="CH97" s="87"/>
      <c r="CI97" s="87"/>
      <c r="CJ97" s="87"/>
      <c r="CK97" s="87"/>
      <c r="CL97" s="87"/>
      <c r="CM97" s="87"/>
      <c r="CN97" s="87"/>
      <c r="CO97" s="87"/>
      <c r="CP97" s="87"/>
      <c r="CQ97" s="87"/>
      <c r="CR97" s="87"/>
      <c r="CS97" s="87"/>
      <c r="CT97" s="87"/>
      <c r="CU97" s="87"/>
      <c r="CV97" s="87"/>
      <c r="CW97" s="87"/>
      <c r="CX97" s="83">
        <f>SUBTOTAL(9,CX7:CX96)</f>
        <v>0</v>
      </c>
      <c r="CY97" s="87"/>
      <c r="CZ97" s="87"/>
      <c r="DA97" s="87"/>
      <c r="DB97" s="87"/>
      <c r="DC97" s="87"/>
      <c r="DD97" s="87"/>
      <c r="DE97" s="87"/>
      <c r="DF97" s="87"/>
      <c r="DG97" s="87"/>
      <c r="DH97" s="87"/>
      <c r="DI97" s="87"/>
      <c r="DJ97" s="87"/>
      <c r="DK97" s="87"/>
      <c r="DL97" s="87"/>
      <c r="DM97" s="87"/>
      <c r="DN97" s="87"/>
      <c r="DO97" s="87"/>
      <c r="DP97" s="87"/>
      <c r="DQ97" s="87"/>
      <c r="DR97" s="87"/>
      <c r="DS97" s="83">
        <f>SUBTOTAL(9,DS7:DS96)</f>
        <v>0</v>
      </c>
      <c r="DT97" s="87"/>
      <c r="DU97" s="87"/>
      <c r="DV97" s="87"/>
      <c r="DW97" s="87"/>
      <c r="DX97" s="87"/>
      <c r="DY97" s="87"/>
      <c r="DZ97" s="87"/>
      <c r="EA97" s="87"/>
      <c r="EB97" s="87"/>
      <c r="EC97" s="87"/>
      <c r="ED97" s="87"/>
      <c r="EE97" s="87"/>
      <c r="EF97" s="87"/>
      <c r="EG97" s="87"/>
      <c r="EH97" s="87"/>
      <c r="EI97" s="87"/>
      <c r="EJ97" s="87"/>
      <c r="EK97" s="87"/>
      <c r="EL97" s="87"/>
      <c r="EM97" s="87"/>
      <c r="EN97" s="83">
        <f>SUBTOTAL(9,EN7:EN96)</f>
        <v>0</v>
      </c>
      <c r="EO97" s="87"/>
      <c r="EP97" s="87"/>
      <c r="EQ97" s="87"/>
      <c r="ER97" s="87"/>
      <c r="ES97" s="87"/>
      <c r="ET97" s="87"/>
      <c r="EU97" s="87"/>
      <c r="EV97" s="87"/>
      <c r="EW97" s="87"/>
      <c r="EX97" s="87"/>
      <c r="EY97" s="87"/>
      <c r="EZ97" s="87"/>
      <c r="FA97" s="87"/>
      <c r="FB97" s="87"/>
      <c r="FC97" s="87"/>
      <c r="FD97" s="87"/>
      <c r="FE97" s="87"/>
      <c r="FF97" s="87"/>
      <c r="FG97" s="87"/>
      <c r="FH97" s="87"/>
      <c r="FI97" s="83">
        <f>SUBTOTAL(9,FI7:FI96)</f>
        <v>0</v>
      </c>
      <c r="FJ97" s="87"/>
      <c r="FK97" s="87"/>
      <c r="FL97" s="87"/>
      <c r="FM97" s="87"/>
      <c r="FN97" s="87"/>
      <c r="FO97" s="87"/>
      <c r="FP97" s="87"/>
      <c r="FQ97" s="87"/>
      <c r="FR97" s="87"/>
      <c r="FS97" s="87"/>
      <c r="FT97" s="87"/>
      <c r="FU97" s="87"/>
      <c r="FV97" s="87"/>
      <c r="FW97" s="87"/>
      <c r="FX97" s="87"/>
      <c r="FY97" s="87"/>
      <c r="FZ97" s="87"/>
      <c r="GA97" s="87"/>
      <c r="GB97" s="87"/>
      <c r="GC97" s="87"/>
      <c r="GD97" s="83">
        <f>SUBTOTAL(9,GD7:GD96)</f>
        <v>0</v>
      </c>
      <c r="GE97" s="87"/>
      <c r="GF97" s="87"/>
      <c r="GG97" s="87"/>
      <c r="GH97" s="87"/>
      <c r="GI97" s="87"/>
      <c r="GJ97" s="87"/>
      <c r="GK97" s="87"/>
      <c r="GL97" s="87"/>
      <c r="GM97" s="87"/>
      <c r="GN97" s="87"/>
      <c r="GO97" s="87"/>
      <c r="GP97" s="87"/>
      <c r="GQ97" s="87"/>
      <c r="GR97" s="87"/>
      <c r="GS97" s="87"/>
      <c r="GT97" s="87"/>
      <c r="GU97" s="87"/>
      <c r="GV97" s="87"/>
      <c r="GW97" s="87"/>
      <c r="GX97" s="87"/>
      <c r="GY97" s="83">
        <f>SUBTOTAL(9,GY7:GY96)</f>
        <v>0</v>
      </c>
      <c r="GZ97" s="87"/>
      <c r="HA97" s="87"/>
      <c r="HB97" s="87"/>
      <c r="HC97" s="87"/>
      <c r="HD97" s="87"/>
      <c r="HE97" s="87"/>
      <c r="HF97" s="87"/>
      <c r="HG97" s="87"/>
      <c r="HH97" s="87"/>
      <c r="HI97" s="87"/>
      <c r="HJ97" s="87"/>
      <c r="HK97" s="87"/>
      <c r="HL97" s="87"/>
      <c r="HM97" s="87"/>
      <c r="HN97" s="87"/>
      <c r="HO97" s="87"/>
      <c r="HP97" s="87"/>
      <c r="HQ97" s="87"/>
      <c r="HR97" s="87"/>
      <c r="HS97" s="87"/>
      <c r="HT97" s="87"/>
      <c r="HU97" s="87"/>
      <c r="HV97" s="87"/>
      <c r="HW97" s="87"/>
      <c r="HX97" s="87"/>
      <c r="HY97" s="87"/>
      <c r="HZ97" s="87"/>
      <c r="IA97" s="87"/>
      <c r="IB97" s="87"/>
      <c r="IC97" s="87"/>
      <c r="ID97" s="87"/>
      <c r="IE97" s="87"/>
      <c r="IF97" s="87"/>
      <c r="IG97" s="87"/>
      <c r="IH97" s="87"/>
      <c r="II97" s="87"/>
      <c r="IJ97" s="87"/>
      <c r="IK97" s="87"/>
      <c r="IL97" s="87"/>
      <c r="IM97" s="87"/>
      <c r="IN97" s="87"/>
      <c r="IO97" s="87"/>
      <c r="IP97" s="87"/>
      <c r="IQ97" s="87"/>
      <c r="IR97" s="87"/>
      <c r="IS97" s="87"/>
      <c r="IT97" s="87"/>
      <c r="IU97" s="87"/>
      <c r="IV97" s="87"/>
      <c r="IW97" s="87"/>
      <c r="IX97" s="87"/>
      <c r="IY97" s="87"/>
      <c r="IZ97" s="87"/>
    </row>
  </sheetData>
  <dataConsolidate/>
  <mergeCells count="111">
    <mergeCell ref="IX1:IZ1"/>
    <mergeCell ref="II1:IK1"/>
    <mergeCell ref="IL1:IN1"/>
    <mergeCell ref="IO1:IQ1"/>
    <mergeCell ref="IR1:IT1"/>
    <mergeCell ref="IU1:IW1"/>
    <mergeCell ref="HT1:HV1"/>
    <mergeCell ref="HW1:HY1"/>
    <mergeCell ref="HZ1:IB1"/>
    <mergeCell ref="IC1:IE1"/>
    <mergeCell ref="IF1:IH1"/>
    <mergeCell ref="HE1:HG1"/>
    <mergeCell ref="HH1:HJ1"/>
    <mergeCell ref="HK1:HM1"/>
    <mergeCell ref="HN1:HP1"/>
    <mergeCell ref="HQ1:HS1"/>
    <mergeCell ref="GP1:GR1"/>
    <mergeCell ref="GS1:GU1"/>
    <mergeCell ref="GV1:GX1"/>
    <mergeCell ref="GY1:HA1"/>
    <mergeCell ref="HB1:HD1"/>
    <mergeCell ref="GD1:GF1"/>
    <mergeCell ref="GG1:GI1"/>
    <mergeCell ref="GJ1:GL1"/>
    <mergeCell ref="GM1:GO1"/>
    <mergeCell ref="FL1:FN1"/>
    <mergeCell ref="FO1:FQ1"/>
    <mergeCell ref="FR1:FT1"/>
    <mergeCell ref="FU1:FW1"/>
    <mergeCell ref="FX1:FZ1"/>
    <mergeCell ref="FC1:FE1"/>
    <mergeCell ref="FF1:FH1"/>
    <mergeCell ref="FI1:FK1"/>
    <mergeCell ref="EH1:EJ1"/>
    <mergeCell ref="EK1:EM1"/>
    <mergeCell ref="EN1:EP1"/>
    <mergeCell ref="EQ1:ES1"/>
    <mergeCell ref="ET1:EV1"/>
    <mergeCell ref="GA1:GC1"/>
    <mergeCell ref="EB1:ED1"/>
    <mergeCell ref="EE1:EG1"/>
    <mergeCell ref="DD1:DF1"/>
    <mergeCell ref="DG1:DI1"/>
    <mergeCell ref="DJ1:DL1"/>
    <mergeCell ref="DM1:DO1"/>
    <mergeCell ref="DP1:DR1"/>
    <mergeCell ref="EW1:EY1"/>
    <mergeCell ref="EZ1:FB1"/>
    <mergeCell ref="GD4:GD6"/>
    <mergeCell ref="FI4:FI6"/>
    <mergeCell ref="BK1:BM1"/>
    <mergeCell ref="BN1:BP1"/>
    <mergeCell ref="BQ1:BS1"/>
    <mergeCell ref="BT1:BV1"/>
    <mergeCell ref="BW1:BY1"/>
    <mergeCell ref="AY1:BA1"/>
    <mergeCell ref="BB1:BD1"/>
    <mergeCell ref="BE1:BG1"/>
    <mergeCell ref="BH1:BJ1"/>
    <mergeCell ref="CO1:CQ1"/>
    <mergeCell ref="CR1:CT1"/>
    <mergeCell ref="CU1:CW1"/>
    <mergeCell ref="CX1:CZ1"/>
    <mergeCell ref="DA1:DC1"/>
    <mergeCell ref="BZ1:CB1"/>
    <mergeCell ref="CC1:CE1"/>
    <mergeCell ref="CF1:CH1"/>
    <mergeCell ref="CI1:CK1"/>
    <mergeCell ref="CL1:CN1"/>
    <mergeCell ref="DS1:DU1"/>
    <mergeCell ref="DV1:DX1"/>
    <mergeCell ref="DY1:EA1"/>
    <mergeCell ref="E6:N6"/>
    <mergeCell ref="A3:AB4"/>
    <mergeCell ref="AC3:AL4"/>
    <mergeCell ref="Q2:R2"/>
    <mergeCell ref="AM4:AM6"/>
    <mergeCell ref="AM3:BG3"/>
    <mergeCell ref="AN4:BG4"/>
    <mergeCell ref="AB2:AC2"/>
    <mergeCell ref="GY3:IZ3"/>
    <mergeCell ref="GY4:GY6"/>
    <mergeCell ref="GZ4:IZ4"/>
    <mergeCell ref="FI3:GC3"/>
    <mergeCell ref="EO4:FH4"/>
    <mergeCell ref="CY4:DR4"/>
    <mergeCell ref="CD4:CW4"/>
    <mergeCell ref="CC4:CC6"/>
    <mergeCell ref="GD3:GX3"/>
    <mergeCell ref="DS3:EM3"/>
    <mergeCell ref="DS4:DS6"/>
    <mergeCell ref="EN3:FH3"/>
    <mergeCell ref="DT4:EM4"/>
    <mergeCell ref="FJ4:GC4"/>
    <mergeCell ref="GE4:GX4"/>
    <mergeCell ref="EN4:EN6"/>
    <mergeCell ref="Q1:R1"/>
    <mergeCell ref="CC2:CW2"/>
    <mergeCell ref="BI3:CB3"/>
    <mergeCell ref="CD3:CW3"/>
    <mergeCell ref="AM2:BG2"/>
    <mergeCell ref="BH2:CB2"/>
    <mergeCell ref="AB1:AC1"/>
    <mergeCell ref="CX3:DR3"/>
    <mergeCell ref="BI4:CB4"/>
    <mergeCell ref="BH4:BH6"/>
    <mergeCell ref="CX4:CX6"/>
    <mergeCell ref="AM1:AO1"/>
    <mergeCell ref="AP1:AR1"/>
    <mergeCell ref="AS1:AU1"/>
    <mergeCell ref="AV1:AX1"/>
  </mergeCells>
  <phoneticPr fontId="0" type="noConversion"/>
  <dataValidations count="2">
    <dataValidation type="decimal" allowBlank="1" showInputMessage="1" showErrorMessage="1" errorTitle="Focchi Advice." error="Sorry.  Only  numbers are accepted in this cell." sqref="CY7:DR95 DT7:EM95 EO7:FH95 FJ7:GC95 GE7:GX95 CD7:CW95 BI7:CB95 GZ7:IZ95 P7:Q95 AN7:BG95">
      <formula1>-999999999</formula1>
      <formula2>999999999</formula2>
    </dataValidation>
    <dataValidation type="whole" allowBlank="1" showInputMessage="1" showErrorMessage="1" errorTitle="Focchi Advice." error="Sorry ! One or Two are the accepted numbers. Please retry." sqref="E7:N95">
      <formula1>1</formula1>
      <formula2>2</formula2>
    </dataValidation>
  </dataValidations>
  <printOptions horizontalCentered="1"/>
  <pageMargins left="0" right="0" top="0" bottom="0" header="0" footer="0"/>
  <pageSetup paperSize="8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673" r:id="rId4" name="CmdExplode">
          <controlPr print="0" autoLine="0" r:id="rId5">
            <anchor moveWithCells="1">
              <from>
                <xdr:col>0</xdr:col>
                <xdr:colOff>31750</xdr:colOff>
                <xdr:row>2</xdr:row>
                <xdr:rowOff>25400</xdr:rowOff>
              </from>
              <to>
                <xdr:col>1</xdr:col>
                <xdr:colOff>1098550</xdr:colOff>
                <xdr:row>3</xdr:row>
                <xdr:rowOff>101600</xdr:rowOff>
              </to>
            </anchor>
          </controlPr>
        </control>
      </mc:Choice>
      <mc:Fallback>
        <control shapeId="17673" r:id="rId4" name="CmdExplode"/>
      </mc:Fallback>
    </mc:AlternateContent>
    <mc:AlternateContent xmlns:mc="http://schemas.openxmlformats.org/markup-compatibility/2006">
      <mc:Choice Requires="x14">
        <control shapeId="17672" r:id="rId6" name="CmdCoverHiddenColumns">
          <controlPr print="0" autoLine="0" r:id="rId7">
            <anchor moveWithCells="1">
              <from>
                <xdr:col>1</xdr:col>
                <xdr:colOff>819150</xdr:colOff>
                <xdr:row>2</xdr:row>
                <xdr:rowOff>19050</xdr:rowOff>
              </from>
              <to>
                <xdr:col>3</xdr:col>
                <xdr:colOff>514350</xdr:colOff>
                <xdr:row>3</xdr:row>
                <xdr:rowOff>107950</xdr:rowOff>
              </to>
            </anchor>
          </controlPr>
        </control>
      </mc:Choice>
      <mc:Fallback>
        <control shapeId="17672" r:id="rId6" name="CmdCoverHiddenColumns"/>
      </mc:Fallback>
    </mc:AlternateContent>
    <mc:AlternateContent xmlns:mc="http://schemas.openxmlformats.org/markup-compatibility/2006">
      <mc:Choice Requires="x14">
        <control shapeId="17670" r:id="rId8" name="DeleteRow">
          <controlPr print="0" autoLine="0" r:id="rId9">
            <anchor moveWithCells="1">
              <from>
                <xdr:col>12</xdr:col>
                <xdr:colOff>12700</xdr:colOff>
                <xdr:row>0</xdr:row>
                <xdr:rowOff>120650</xdr:rowOff>
              </from>
              <to>
                <xdr:col>15</xdr:col>
                <xdr:colOff>361950</xdr:colOff>
                <xdr:row>1</xdr:row>
                <xdr:rowOff>120650</xdr:rowOff>
              </to>
            </anchor>
          </controlPr>
        </control>
      </mc:Choice>
      <mc:Fallback>
        <control shapeId="17670" r:id="rId8" name="DeleteRow"/>
      </mc:Fallback>
    </mc:AlternateContent>
    <mc:AlternateContent xmlns:mc="http://schemas.openxmlformats.org/markup-compatibility/2006">
      <mc:Choice Requires="x14">
        <control shapeId="17669" r:id="rId10" name="InsertRow">
          <controlPr print="0" autoLine="0" r:id="rId11">
            <anchor moveWithCells="1">
              <from>
                <xdr:col>4</xdr:col>
                <xdr:colOff>50800</xdr:colOff>
                <xdr:row>0</xdr:row>
                <xdr:rowOff>114300</xdr:rowOff>
              </from>
              <to>
                <xdr:col>10</xdr:col>
                <xdr:colOff>25400</xdr:colOff>
                <xdr:row>1</xdr:row>
                <xdr:rowOff>146050</xdr:rowOff>
              </to>
            </anchor>
          </controlPr>
        </control>
      </mc:Choice>
      <mc:Fallback>
        <control shapeId="17669" r:id="rId10" name="Insert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AA646"/>
  <sheetViews>
    <sheetView showGridLines="0" zoomScaleNormal="100" workbookViewId="0">
      <pane ySplit="3" topLeftCell="A4" activePane="bottomLeft" state="frozen"/>
      <selection pane="bottomLeft" activeCell="A3" sqref="A3"/>
    </sheetView>
  </sheetViews>
  <sheetFormatPr defaultRowHeight="12.5" x14ac:dyDescent="0.25"/>
  <cols>
    <col min="1" max="1" width="13.81640625" customWidth="1"/>
    <col min="2" max="2" width="11.54296875" bestFit="1" customWidth="1"/>
    <col min="3" max="4" width="8.7265625" style="24" customWidth="1"/>
    <col min="5" max="5" width="9.1796875" style="24" customWidth="1"/>
    <col min="6" max="6" width="8.08984375" style="24" customWidth="1"/>
    <col min="7" max="14" width="3.08984375" style="26" customWidth="1"/>
    <col min="15" max="25" width="3.08984375" style="25" customWidth="1"/>
    <col min="26" max="26" width="3.08984375" style="77" customWidth="1"/>
    <col min="27" max="27" width="3.08984375" customWidth="1"/>
  </cols>
  <sheetData>
    <row r="1" spans="1:27" ht="35.25" customHeight="1" x14ac:dyDescent="0.35">
      <c r="B1" s="31" t="str">
        <f>CELLS!A1</f>
        <v>Job :</v>
      </c>
      <c r="C1" s="48" t="str">
        <f>CELLS!B1</f>
        <v xml:space="preserve"> -</v>
      </c>
      <c r="D1" s="29"/>
      <c r="E1" s="31" t="str">
        <f>CELLS!C1</f>
        <v>Rev :</v>
      </c>
      <c r="F1" s="50" t="str">
        <f>CELLS!D1</f>
        <v xml:space="preserve"> -</v>
      </c>
      <c r="G1" s="49"/>
      <c r="V1" s="183" t="str">
        <f>IF(+OR(ROUND(GETPIVOTDATA("Somma di Panel n.",$A$3),0)&lt;&gt;ROUND(CELLS!$AB$2,0),ROUND(GETPIVOTDATA("Somma di Total Sq.m",$A$3),0)&lt;&gt;ROUND(CELLS!$Q$2,0),ROUND(GETPIVOTDATA("Somma di vertical cl.",$A$3),0)&lt;&gt;ROUND(CELLS!$AC97,0),ROUND(GETPIVOTDATA("Somma di top cl.",$A$3),0)&lt;&gt;ROUND(CELLS!$AD97,0),ROUND(GETPIVOTDATA("Somma di bottom cl.",$A$3),0)&lt;&gt;ROUND(CELLS!$AE97,0),ROUND(GETPIVOTDATA("Somma di corner",$A$3),0)&lt;&gt;ROUND(CELLS!$AF97,0),ROUND(GETPIVOTDATA("Somma di coping",$A$3),0)&lt;&gt;ROUND(CELLS!$AG97,0),ROUND(GETPIVOTDATA("Somma di slab cl.",$A$3),0)&lt;&gt;ROUND(CELLS!$AH97,0),ROUND(GETPIVOTDATA("Somma di tricky co.",$A$3),0)&lt;&gt;ROUND(CELLS!$AI97,0),ROUND(GETPIVOTDATA("Somma di gutter",$A$3),0)&lt;&gt;ROUND(CELLS!$AJ97,0),ROUND(GETPIVOTDATA("Somma di Horiz. finish",$A$3),0)&lt;&gt;ROUND(CELLS!$AK97,0),ROUND(GETPIVOTDATA("Somma di Vert. Finish",$A$3),0)&lt;&gt;ROUND(CELLS!$AL97,0)),"ERROR  call maintenance","")</f>
        <v/>
      </c>
      <c r="W1" s="184"/>
      <c r="X1" s="184"/>
      <c r="Y1" s="184"/>
      <c r="Z1" s="184"/>
      <c r="AA1" s="184"/>
    </row>
    <row r="2" spans="1:27" ht="33.75" customHeight="1" x14ac:dyDescent="0.25">
      <c r="B2" s="32" t="str">
        <f>CELLS!A2</f>
        <v>Client :</v>
      </c>
      <c r="C2" s="51" t="str">
        <f>CELLS!B2</f>
        <v xml:space="preserve"> -</v>
      </c>
      <c r="E2" s="32" t="str">
        <f>CELLS!C2</f>
        <v>Location :</v>
      </c>
      <c r="F2" s="51" t="str">
        <f>CELLS!D2</f>
        <v xml:space="preserve"> -</v>
      </c>
      <c r="G2" s="30"/>
      <c r="L2" s="32"/>
      <c r="M2" s="51"/>
      <c r="V2" s="184"/>
      <c r="W2" s="184"/>
      <c r="X2" s="184"/>
      <c r="Y2" s="184"/>
      <c r="Z2" s="184"/>
      <c r="AA2" s="184"/>
    </row>
    <row r="3" spans="1:27" ht="62.5" x14ac:dyDescent="0.25">
      <c r="A3" s="100" t="s">
        <v>41</v>
      </c>
      <c r="B3" s="99" t="s">
        <v>18</v>
      </c>
      <c r="C3" s="99" t="s">
        <v>19</v>
      </c>
      <c r="D3" s="99" t="s">
        <v>0</v>
      </c>
      <c r="E3" s="99" t="s">
        <v>1</v>
      </c>
      <c r="F3" s="99" t="s">
        <v>20</v>
      </c>
      <c r="G3" s="97" t="s">
        <v>15</v>
      </c>
      <c r="H3" s="97" t="s">
        <v>2</v>
      </c>
      <c r="I3" s="98" t="s">
        <v>9</v>
      </c>
      <c r="J3" s="98" t="s">
        <v>10</v>
      </c>
      <c r="K3" s="98" t="s">
        <v>11</v>
      </c>
      <c r="L3" s="98" t="s">
        <v>6</v>
      </c>
      <c r="M3" s="98" t="s">
        <v>7</v>
      </c>
      <c r="N3" s="98" t="s">
        <v>12</v>
      </c>
      <c r="O3" s="98" t="s">
        <v>13</v>
      </c>
      <c r="P3" s="98" t="s">
        <v>8</v>
      </c>
      <c r="Q3" s="98" t="s">
        <v>16</v>
      </c>
      <c r="R3" s="98" t="s">
        <v>22</v>
      </c>
      <c r="S3" s="97" t="s">
        <v>37</v>
      </c>
      <c r="T3" s="98" t="s">
        <v>38</v>
      </c>
      <c r="U3" s="98" t="s">
        <v>39</v>
      </c>
      <c r="V3" s="98" t="s">
        <v>40</v>
      </c>
      <c r="W3" s="98" t="s">
        <v>17</v>
      </c>
      <c r="X3" s="97" t="s">
        <v>53</v>
      </c>
      <c r="Y3" s="97" t="s">
        <v>42</v>
      </c>
      <c r="Z3" s="97" t="s">
        <v>43</v>
      </c>
      <c r="AA3" s="97" t="s">
        <v>57</v>
      </c>
    </row>
    <row r="4" spans="1:27" ht="14" x14ac:dyDescent="0.3">
      <c r="A4" s="47" t="s">
        <v>88</v>
      </c>
      <c r="B4" s="47"/>
      <c r="C4" s="47"/>
      <c r="D4" s="47"/>
      <c r="E4" s="47"/>
      <c r="F4" s="47"/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52">
        <v>0</v>
      </c>
      <c r="T4" s="45">
        <v>0</v>
      </c>
      <c r="U4" s="45">
        <v>0</v>
      </c>
      <c r="V4" s="45">
        <v>0</v>
      </c>
      <c r="W4" s="45">
        <v>0</v>
      </c>
      <c r="X4" s="52">
        <v>0</v>
      </c>
      <c r="Y4" s="52">
        <v>0</v>
      </c>
      <c r="Z4" s="52">
        <v>0</v>
      </c>
      <c r="AA4" s="52">
        <v>0</v>
      </c>
    </row>
    <row r="5" spans="1:27" ht="14" x14ac:dyDescent="0.3">
      <c r="A5" s="101"/>
      <c r="B5" s="112" t="s">
        <v>88</v>
      </c>
      <c r="C5" s="112"/>
      <c r="D5" s="112"/>
      <c r="E5" s="112"/>
      <c r="F5" s="112"/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4">
        <v>0</v>
      </c>
      <c r="T5" s="113">
        <v>0</v>
      </c>
      <c r="U5" s="113">
        <v>0</v>
      </c>
      <c r="V5" s="113">
        <v>0</v>
      </c>
      <c r="W5" s="113">
        <v>0</v>
      </c>
      <c r="X5" s="114">
        <v>0</v>
      </c>
      <c r="Y5" s="114">
        <v>0</v>
      </c>
      <c r="Z5" s="114">
        <v>0</v>
      </c>
      <c r="AA5" s="114">
        <v>0</v>
      </c>
    </row>
    <row r="6" spans="1:27" ht="13" x14ac:dyDescent="0.3">
      <c r="A6" s="101"/>
      <c r="B6" s="101"/>
      <c r="C6" s="109" t="s">
        <v>88</v>
      </c>
      <c r="D6" s="109"/>
      <c r="E6" s="109"/>
      <c r="F6" s="109"/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1">
        <v>0</v>
      </c>
      <c r="T6" s="110">
        <v>0</v>
      </c>
      <c r="U6" s="110">
        <v>0</v>
      </c>
      <c r="V6" s="110">
        <v>0</v>
      </c>
      <c r="W6" s="110">
        <v>0</v>
      </c>
      <c r="X6" s="111">
        <v>0</v>
      </c>
      <c r="Y6" s="111">
        <v>0</v>
      </c>
      <c r="Z6" s="111">
        <v>0</v>
      </c>
      <c r="AA6" s="111">
        <v>0</v>
      </c>
    </row>
    <row r="7" spans="1:27" ht="14" x14ac:dyDescent="0.3">
      <c r="A7" s="101"/>
      <c r="B7" s="101"/>
      <c r="C7" s="101"/>
      <c r="D7" s="103" t="s">
        <v>88</v>
      </c>
      <c r="E7" s="103"/>
      <c r="F7" s="103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5"/>
      <c r="T7" s="104"/>
      <c r="U7" s="104"/>
      <c r="V7" s="104"/>
      <c r="W7" s="104"/>
      <c r="X7" s="105"/>
      <c r="Y7" s="105"/>
      <c r="Z7" s="105"/>
      <c r="AA7" s="105"/>
    </row>
    <row r="8" spans="1:27" ht="13" x14ac:dyDescent="0.3">
      <c r="A8" s="101"/>
      <c r="B8" s="101"/>
      <c r="C8" s="101"/>
      <c r="D8" s="101"/>
      <c r="E8" s="108" t="s">
        <v>88</v>
      </c>
      <c r="F8" s="108"/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7">
        <v>0</v>
      </c>
      <c r="T8" s="106">
        <v>0</v>
      </c>
      <c r="U8" s="106">
        <v>0</v>
      </c>
      <c r="V8" s="106">
        <v>0</v>
      </c>
      <c r="W8" s="106">
        <v>0</v>
      </c>
      <c r="X8" s="107">
        <v>0</v>
      </c>
      <c r="Y8" s="107">
        <v>0</v>
      </c>
      <c r="Z8" s="107">
        <v>0</v>
      </c>
      <c r="AA8" s="107">
        <v>0</v>
      </c>
    </row>
    <row r="9" spans="1:27" x14ac:dyDescent="0.25">
      <c r="A9" s="101"/>
      <c r="B9" s="101"/>
      <c r="C9" s="101"/>
      <c r="D9" s="101"/>
      <c r="E9" s="101"/>
      <c r="F9" s="101" t="s">
        <v>88</v>
      </c>
      <c r="G9" s="25">
        <v>0</v>
      </c>
      <c r="H9" s="25">
        <v>0</v>
      </c>
      <c r="I9" s="25">
        <v>0</v>
      </c>
      <c r="J9" s="25">
        <v>0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102">
        <v>0</v>
      </c>
      <c r="T9" s="25">
        <v>0</v>
      </c>
      <c r="U9" s="25">
        <v>0</v>
      </c>
      <c r="V9" s="25">
        <v>0</v>
      </c>
      <c r="W9" s="25">
        <v>0</v>
      </c>
      <c r="X9" s="102">
        <v>0</v>
      </c>
      <c r="Y9" s="102">
        <v>0</v>
      </c>
      <c r="Z9" s="102">
        <v>0</v>
      </c>
      <c r="AA9" s="102">
        <v>0</v>
      </c>
    </row>
    <row r="10" spans="1:27" x14ac:dyDescent="0.25">
      <c r="A10" s="101"/>
      <c r="B10" s="101"/>
      <c r="C10" s="101"/>
      <c r="D10" s="101"/>
      <c r="E10" s="101"/>
      <c r="F10" s="101"/>
      <c r="G10" s="25"/>
      <c r="H10" s="25"/>
      <c r="I10" s="25"/>
      <c r="J10" s="25"/>
      <c r="K10" s="25"/>
      <c r="L10" s="25"/>
      <c r="M10" s="25"/>
      <c r="N10" s="25"/>
      <c r="S10" s="102"/>
      <c r="X10" s="102"/>
      <c r="Y10" s="102"/>
      <c r="Z10" s="102"/>
      <c r="AA10" s="102"/>
    </row>
    <row r="11" spans="1:27" ht="14" x14ac:dyDescent="0.3">
      <c r="A11" s="46" t="s">
        <v>21</v>
      </c>
      <c r="B11" s="47"/>
      <c r="C11" s="47"/>
      <c r="D11" s="47"/>
      <c r="E11" s="47"/>
      <c r="F11" s="47"/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52">
        <v>0</v>
      </c>
      <c r="T11" s="45">
        <v>0</v>
      </c>
      <c r="U11" s="45">
        <v>0</v>
      </c>
      <c r="V11" s="45">
        <v>0</v>
      </c>
      <c r="W11" s="45">
        <v>0</v>
      </c>
      <c r="X11" s="52">
        <v>0</v>
      </c>
      <c r="Y11" s="52">
        <v>0</v>
      </c>
      <c r="Z11" s="52">
        <v>0</v>
      </c>
      <c r="AA11" s="52">
        <v>0</v>
      </c>
    </row>
    <row r="12" spans="1:27" x14ac:dyDescent="0.25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7" x14ac:dyDescent="0.25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7" x14ac:dyDescent="0.25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7" x14ac:dyDescent="0.25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7" x14ac:dyDescent="0.25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3:26" x14ac:dyDescent="0.25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3:26" x14ac:dyDescent="0.25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3:26" x14ac:dyDescent="0.25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3:26" x14ac:dyDescent="0.25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3:26" x14ac:dyDescent="0.25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3:26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3:26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3:26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3:26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3:26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3:26" x14ac:dyDescent="0.25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3:26" x14ac:dyDescent="0.25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3:26" x14ac:dyDescent="0.2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3:26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3:26" x14ac:dyDescent="0.25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3:26" x14ac:dyDescent="0.25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3:26" x14ac:dyDescent="0.25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3:26" x14ac:dyDescent="0.25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3:26" x14ac:dyDescent="0.25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3:26" x14ac:dyDescent="0.25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3:26" x14ac:dyDescent="0.25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3:26" x14ac:dyDescent="0.25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3:26" x14ac:dyDescent="0.25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3:26" x14ac:dyDescent="0.25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3:26" x14ac:dyDescent="0.25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3:26" x14ac:dyDescent="0.25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3:26" x14ac:dyDescent="0.25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3:26" x14ac:dyDescent="0.25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3:26" x14ac:dyDescent="0.25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3:26" x14ac:dyDescent="0.25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3:26" x14ac:dyDescent="0.25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3:26" x14ac:dyDescent="0.25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3:25" x14ac:dyDescent="0.25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3:25" x14ac:dyDescent="0.25"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3:25" x14ac:dyDescent="0.25"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3:25" x14ac:dyDescent="0.25"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3:25" x14ac:dyDescent="0.25"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3:25" x14ac:dyDescent="0.25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3:25" x14ac:dyDescent="0.25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</row>
    <row r="56" spans="3:25" x14ac:dyDescent="0.25"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</row>
    <row r="57" spans="3:25" x14ac:dyDescent="0.25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</row>
    <row r="58" spans="3:25" x14ac:dyDescent="0.25"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</row>
    <row r="59" spans="3:25" x14ac:dyDescent="0.25"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</row>
    <row r="60" spans="3:25" x14ac:dyDescent="0.25"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</row>
    <row r="61" spans="3:25" x14ac:dyDescent="0.25"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</row>
    <row r="62" spans="3:25" x14ac:dyDescent="0.25"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</row>
    <row r="63" spans="3:25" x14ac:dyDescent="0.25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</row>
    <row r="64" spans="3:25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</row>
    <row r="65" spans="3:25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</row>
    <row r="66" spans="3:25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</row>
    <row r="67" spans="3:25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</row>
    <row r="68" spans="3:25" x14ac:dyDescent="0.25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</row>
    <row r="69" spans="3:25" x14ac:dyDescent="0.25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</row>
    <row r="70" spans="3:25" x14ac:dyDescent="0.25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</row>
    <row r="71" spans="3:25" x14ac:dyDescent="0.25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3:25" x14ac:dyDescent="0.25"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3" spans="3:25" x14ac:dyDescent="0.25"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</row>
    <row r="74" spans="3:25" x14ac:dyDescent="0.25"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</row>
    <row r="75" spans="3:25" x14ac:dyDescent="0.25"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3:25" x14ac:dyDescent="0.25"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3:25" x14ac:dyDescent="0.25"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3:25" x14ac:dyDescent="0.25"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3:25" x14ac:dyDescent="0.25"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3:25" x14ac:dyDescent="0.25"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3:25" x14ac:dyDescent="0.25"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3:25" x14ac:dyDescent="0.25"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</row>
    <row r="83" spans="3:25" x14ac:dyDescent="0.25"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</row>
    <row r="84" spans="3:25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3:25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3:25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3:25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3:25" x14ac:dyDescent="0.25"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3:25" x14ac:dyDescent="0.25"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3:25" x14ac:dyDescent="0.25"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3:25" x14ac:dyDescent="0.25"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3:25" x14ac:dyDescent="0.25"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3:25" x14ac:dyDescent="0.25"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3:25" x14ac:dyDescent="0.25"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3:25" x14ac:dyDescent="0.25"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3:25" x14ac:dyDescent="0.25"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3:25" x14ac:dyDescent="0.25"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3:25" x14ac:dyDescent="0.25"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3:25" x14ac:dyDescent="0.25"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3:25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3:25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3:25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3:25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3:25" x14ac:dyDescent="0.25"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3:25" x14ac:dyDescent="0.25"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3:25" x14ac:dyDescent="0.25"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3:25" x14ac:dyDescent="0.25"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3:25" x14ac:dyDescent="0.25"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3:25" x14ac:dyDescent="0.25"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3:25" x14ac:dyDescent="0.25"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3:25" x14ac:dyDescent="0.25"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</row>
    <row r="112" spans="3:25" x14ac:dyDescent="0.25"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</row>
    <row r="113" spans="3:25" x14ac:dyDescent="0.25"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</row>
    <row r="114" spans="3:25" x14ac:dyDescent="0.25"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</row>
    <row r="115" spans="3:25" x14ac:dyDescent="0.25"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</row>
    <row r="116" spans="3:25" x14ac:dyDescent="0.25"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3:25" x14ac:dyDescent="0.25"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3:25" x14ac:dyDescent="0.25"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</row>
    <row r="119" spans="3:25" x14ac:dyDescent="0.25"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</row>
    <row r="120" spans="3:25" x14ac:dyDescent="0.25"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3:25" x14ac:dyDescent="0.25"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3:25" x14ac:dyDescent="0.25"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3:25" x14ac:dyDescent="0.25"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3:25" x14ac:dyDescent="0.25"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3:25" x14ac:dyDescent="0.25"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3:25" x14ac:dyDescent="0.25"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3:25" x14ac:dyDescent="0.25"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3:25" x14ac:dyDescent="0.25"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</row>
    <row r="129" spans="3:25" x14ac:dyDescent="0.25"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</row>
    <row r="130" spans="3:25" x14ac:dyDescent="0.25"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</row>
    <row r="131" spans="3:25" x14ac:dyDescent="0.25"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</row>
    <row r="132" spans="3:25" x14ac:dyDescent="0.25"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</row>
    <row r="133" spans="3:25" x14ac:dyDescent="0.25"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</row>
    <row r="134" spans="3:25" x14ac:dyDescent="0.25"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</row>
    <row r="135" spans="3:25" x14ac:dyDescent="0.25"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</row>
    <row r="136" spans="3:25" x14ac:dyDescent="0.25"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</row>
    <row r="137" spans="3:25" x14ac:dyDescent="0.25"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</row>
    <row r="138" spans="3:25" x14ac:dyDescent="0.25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</row>
    <row r="139" spans="3:25" x14ac:dyDescent="0.25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</row>
    <row r="140" spans="3:25" x14ac:dyDescent="0.25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</row>
    <row r="141" spans="3:25" x14ac:dyDescent="0.25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</row>
    <row r="142" spans="3:25" x14ac:dyDescent="0.25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</row>
    <row r="143" spans="3:25" x14ac:dyDescent="0.25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</row>
    <row r="144" spans="3:25" x14ac:dyDescent="0.25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</row>
    <row r="145" spans="3:25" x14ac:dyDescent="0.25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</row>
    <row r="146" spans="3:25" x14ac:dyDescent="0.25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</row>
    <row r="147" spans="3:25" x14ac:dyDescent="0.25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</row>
    <row r="148" spans="3:25" x14ac:dyDescent="0.25"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</row>
    <row r="149" spans="3:25" x14ac:dyDescent="0.25"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</row>
    <row r="150" spans="3:25" x14ac:dyDescent="0.25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</row>
    <row r="151" spans="3:25" x14ac:dyDescent="0.25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</row>
    <row r="152" spans="3:25" x14ac:dyDescent="0.25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</row>
    <row r="153" spans="3:25" x14ac:dyDescent="0.25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</row>
    <row r="154" spans="3:25" x14ac:dyDescent="0.25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</row>
    <row r="155" spans="3:25" x14ac:dyDescent="0.25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</row>
    <row r="156" spans="3:25" x14ac:dyDescent="0.25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</row>
    <row r="157" spans="3:25" x14ac:dyDescent="0.25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</row>
    <row r="158" spans="3:25" x14ac:dyDescent="0.25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</row>
    <row r="159" spans="3:25" x14ac:dyDescent="0.25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</row>
    <row r="160" spans="3:25" x14ac:dyDescent="0.25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</row>
    <row r="161" spans="3:25" x14ac:dyDescent="0.25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</row>
    <row r="162" spans="3:25" x14ac:dyDescent="0.25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</row>
    <row r="163" spans="3:25" x14ac:dyDescent="0.25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</row>
    <row r="164" spans="3:25" x14ac:dyDescent="0.25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</row>
    <row r="165" spans="3:25" x14ac:dyDescent="0.25"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</row>
    <row r="166" spans="3:25" x14ac:dyDescent="0.25"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</row>
    <row r="167" spans="3:25" x14ac:dyDescent="0.25"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</row>
    <row r="168" spans="3:25" x14ac:dyDescent="0.25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</row>
    <row r="169" spans="3:25" x14ac:dyDescent="0.25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</row>
    <row r="170" spans="3:25" x14ac:dyDescent="0.25"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</row>
    <row r="171" spans="3:25" x14ac:dyDescent="0.25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</row>
    <row r="172" spans="3:25" x14ac:dyDescent="0.25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</row>
    <row r="173" spans="3:25" x14ac:dyDescent="0.25"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</row>
    <row r="174" spans="3:25" x14ac:dyDescent="0.25"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</row>
    <row r="175" spans="3:25" x14ac:dyDescent="0.25"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</row>
    <row r="176" spans="3:25" x14ac:dyDescent="0.25"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</row>
    <row r="177" spans="3:25" x14ac:dyDescent="0.25"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</row>
    <row r="178" spans="3:25" x14ac:dyDescent="0.25"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</row>
    <row r="179" spans="3:25" x14ac:dyDescent="0.25"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</row>
    <row r="180" spans="3:25" x14ac:dyDescent="0.25"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</row>
    <row r="181" spans="3:25" x14ac:dyDescent="0.25"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 spans="3:25" x14ac:dyDescent="0.25"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 spans="3:25" x14ac:dyDescent="0.25"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 spans="3:25" x14ac:dyDescent="0.25"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 spans="3:25" x14ac:dyDescent="0.25"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 spans="3:25" x14ac:dyDescent="0.25"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3:25" x14ac:dyDescent="0.25"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 spans="3:25" x14ac:dyDescent="0.25"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 spans="3:25" x14ac:dyDescent="0.25"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 spans="3:25" x14ac:dyDescent="0.25"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 spans="3:25" x14ac:dyDescent="0.25"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 spans="3:25" x14ac:dyDescent="0.25"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 spans="3:25" x14ac:dyDescent="0.25"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 spans="3:25" x14ac:dyDescent="0.25"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 spans="3:25" x14ac:dyDescent="0.25"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 spans="3:25" x14ac:dyDescent="0.25"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3:25" x14ac:dyDescent="0.25"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 spans="3:25" x14ac:dyDescent="0.25"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 spans="3:25" x14ac:dyDescent="0.25"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 spans="3:25" x14ac:dyDescent="0.25"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 spans="3:25" x14ac:dyDescent="0.25"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 spans="3:25" x14ac:dyDescent="0.25"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 spans="3:25" x14ac:dyDescent="0.25"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 spans="3:25" x14ac:dyDescent="0.25"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 spans="3:25" x14ac:dyDescent="0.25"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 spans="3:25" x14ac:dyDescent="0.25"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3:25" x14ac:dyDescent="0.25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 spans="3:25" x14ac:dyDescent="0.25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 spans="3:25" x14ac:dyDescent="0.25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 spans="3:25" x14ac:dyDescent="0.25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 spans="3:25" x14ac:dyDescent="0.25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  <row r="212" spans="3:25" x14ac:dyDescent="0.25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</row>
    <row r="213" spans="3:25" x14ac:dyDescent="0.25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</row>
    <row r="214" spans="3:25" x14ac:dyDescent="0.25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</row>
    <row r="215" spans="3:25" x14ac:dyDescent="0.25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</row>
    <row r="216" spans="3:25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</row>
    <row r="217" spans="3:25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</row>
    <row r="218" spans="3:25" x14ac:dyDescent="0.25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</row>
    <row r="219" spans="3:25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</row>
    <row r="220" spans="3:25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</row>
    <row r="221" spans="3:25" x14ac:dyDescent="0.25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</row>
    <row r="222" spans="3:25" x14ac:dyDescent="0.25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</row>
    <row r="223" spans="3:25" x14ac:dyDescent="0.25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</row>
    <row r="224" spans="3:25" x14ac:dyDescent="0.25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</row>
    <row r="225" spans="3:25" x14ac:dyDescent="0.25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</row>
    <row r="226" spans="3:25" x14ac:dyDescent="0.25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</row>
    <row r="227" spans="3:25" x14ac:dyDescent="0.25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</row>
    <row r="228" spans="3:25" x14ac:dyDescent="0.25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</row>
    <row r="229" spans="3:25" x14ac:dyDescent="0.25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</row>
    <row r="230" spans="3:25" x14ac:dyDescent="0.25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</row>
    <row r="231" spans="3:25" x14ac:dyDescent="0.25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</row>
    <row r="232" spans="3:25" x14ac:dyDescent="0.25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</row>
    <row r="233" spans="3:25" x14ac:dyDescent="0.25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</row>
    <row r="234" spans="3:25" x14ac:dyDescent="0.25"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</row>
    <row r="235" spans="3:25" x14ac:dyDescent="0.25"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</row>
    <row r="236" spans="3:25" x14ac:dyDescent="0.25"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</row>
    <row r="237" spans="3:25" x14ac:dyDescent="0.25"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</row>
    <row r="238" spans="3:25" x14ac:dyDescent="0.25"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</row>
    <row r="239" spans="3:25" x14ac:dyDescent="0.25"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</row>
    <row r="240" spans="3:25" x14ac:dyDescent="0.25"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</row>
    <row r="241" spans="3:25" x14ac:dyDescent="0.25"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</row>
    <row r="242" spans="3:25" x14ac:dyDescent="0.25"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</row>
    <row r="243" spans="3:25" x14ac:dyDescent="0.25"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</row>
    <row r="244" spans="3:25" x14ac:dyDescent="0.25"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</row>
    <row r="245" spans="3:25" x14ac:dyDescent="0.25"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</row>
    <row r="246" spans="3:25" x14ac:dyDescent="0.25"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</row>
    <row r="247" spans="3:25" x14ac:dyDescent="0.25"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</row>
    <row r="248" spans="3:25" x14ac:dyDescent="0.25"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</row>
    <row r="249" spans="3:25" x14ac:dyDescent="0.25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</row>
    <row r="250" spans="3:25" x14ac:dyDescent="0.25"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</row>
    <row r="251" spans="3:25" x14ac:dyDescent="0.25"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</row>
    <row r="252" spans="3:25" x14ac:dyDescent="0.25"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</row>
    <row r="253" spans="3:25" x14ac:dyDescent="0.25"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</row>
    <row r="254" spans="3:25" x14ac:dyDescent="0.25"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</row>
    <row r="255" spans="3:25" x14ac:dyDescent="0.25"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</row>
    <row r="256" spans="3:25" x14ac:dyDescent="0.25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</row>
    <row r="257" spans="3:25" x14ac:dyDescent="0.25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</row>
    <row r="258" spans="3:25" x14ac:dyDescent="0.25"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</row>
    <row r="259" spans="3:25" x14ac:dyDescent="0.25"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</row>
    <row r="260" spans="3:25" x14ac:dyDescent="0.25"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</row>
    <row r="261" spans="3:25" x14ac:dyDescent="0.25"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</row>
    <row r="262" spans="3:25" x14ac:dyDescent="0.25"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</row>
    <row r="263" spans="3:25" x14ac:dyDescent="0.25"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</row>
    <row r="264" spans="3:25" x14ac:dyDescent="0.25"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</row>
    <row r="265" spans="3:25" x14ac:dyDescent="0.25"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</row>
    <row r="266" spans="3:25" x14ac:dyDescent="0.25"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</row>
    <row r="267" spans="3:25" x14ac:dyDescent="0.25"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</row>
    <row r="268" spans="3:25" x14ac:dyDescent="0.25"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</row>
    <row r="269" spans="3:25" x14ac:dyDescent="0.25"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</row>
    <row r="270" spans="3:25" x14ac:dyDescent="0.25"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</row>
    <row r="271" spans="3:25" x14ac:dyDescent="0.25"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</row>
    <row r="272" spans="3:25" x14ac:dyDescent="0.25"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</row>
    <row r="273" spans="3:25" x14ac:dyDescent="0.25"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</row>
    <row r="274" spans="3:25" x14ac:dyDescent="0.25"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</row>
    <row r="275" spans="3:25" x14ac:dyDescent="0.25"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</row>
    <row r="276" spans="3:25" x14ac:dyDescent="0.25"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</row>
    <row r="277" spans="3:25" x14ac:dyDescent="0.25"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</row>
    <row r="278" spans="3:25" x14ac:dyDescent="0.25"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</row>
    <row r="279" spans="3:25" x14ac:dyDescent="0.25"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</row>
    <row r="280" spans="3:25" x14ac:dyDescent="0.25"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</row>
    <row r="281" spans="3:25" x14ac:dyDescent="0.25"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</row>
    <row r="282" spans="3:25" x14ac:dyDescent="0.25"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</row>
    <row r="283" spans="3:25" x14ac:dyDescent="0.25"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</row>
    <row r="284" spans="3:25" x14ac:dyDescent="0.25"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</row>
    <row r="285" spans="3:25" x14ac:dyDescent="0.25"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</row>
    <row r="286" spans="3:25" x14ac:dyDescent="0.25"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</row>
    <row r="287" spans="3:25" x14ac:dyDescent="0.25"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</row>
    <row r="288" spans="3:25" x14ac:dyDescent="0.25"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</row>
    <row r="289" spans="3:25" x14ac:dyDescent="0.25"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</row>
    <row r="290" spans="3:25" x14ac:dyDescent="0.25"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</row>
    <row r="291" spans="3:25" x14ac:dyDescent="0.25"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</row>
    <row r="292" spans="3:25" x14ac:dyDescent="0.25"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</row>
    <row r="293" spans="3:25" x14ac:dyDescent="0.25"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</row>
    <row r="294" spans="3:25" x14ac:dyDescent="0.25"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</row>
    <row r="295" spans="3:25" x14ac:dyDescent="0.25"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</row>
    <row r="296" spans="3:25" x14ac:dyDescent="0.25"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</row>
    <row r="297" spans="3:25" x14ac:dyDescent="0.25"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</row>
    <row r="298" spans="3:25" x14ac:dyDescent="0.25"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</row>
    <row r="299" spans="3:25" x14ac:dyDescent="0.25"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</row>
    <row r="300" spans="3:25" x14ac:dyDescent="0.25"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</row>
    <row r="301" spans="3:25" x14ac:dyDescent="0.25"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</row>
    <row r="302" spans="3:25" x14ac:dyDescent="0.25"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</row>
    <row r="303" spans="3:25" x14ac:dyDescent="0.25"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</row>
    <row r="304" spans="3:25" x14ac:dyDescent="0.25"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</row>
    <row r="305" spans="3:25" x14ac:dyDescent="0.25"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</row>
    <row r="306" spans="3:25" x14ac:dyDescent="0.25"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</row>
    <row r="307" spans="3:25" x14ac:dyDescent="0.25"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</row>
    <row r="308" spans="3:25" x14ac:dyDescent="0.25"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</row>
    <row r="309" spans="3:25" x14ac:dyDescent="0.25"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</row>
    <row r="310" spans="3:25" x14ac:dyDescent="0.25"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</row>
    <row r="311" spans="3:25" x14ac:dyDescent="0.25"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</row>
    <row r="312" spans="3:25" x14ac:dyDescent="0.25"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</row>
    <row r="313" spans="3:25" x14ac:dyDescent="0.25"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</row>
    <row r="314" spans="3:25" x14ac:dyDescent="0.25"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</row>
    <row r="315" spans="3:25" x14ac:dyDescent="0.25"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</row>
    <row r="316" spans="3:25" x14ac:dyDescent="0.25"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</row>
    <row r="317" spans="3:25" x14ac:dyDescent="0.25"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</row>
    <row r="318" spans="3:25" x14ac:dyDescent="0.25"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</row>
    <row r="319" spans="3:25" x14ac:dyDescent="0.25"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</row>
    <row r="320" spans="3:25" x14ac:dyDescent="0.25"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</row>
    <row r="321" spans="3:25" x14ac:dyDescent="0.25"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</row>
    <row r="322" spans="3:25" x14ac:dyDescent="0.25"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</row>
    <row r="323" spans="3:25" x14ac:dyDescent="0.25"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</row>
    <row r="324" spans="3:25" x14ac:dyDescent="0.25"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</row>
    <row r="325" spans="3:25" x14ac:dyDescent="0.25"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</row>
    <row r="326" spans="3:25" x14ac:dyDescent="0.25"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</row>
    <row r="327" spans="3:25" x14ac:dyDescent="0.25"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</row>
    <row r="328" spans="3:25" x14ac:dyDescent="0.25"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</row>
    <row r="329" spans="3:25" x14ac:dyDescent="0.25"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</row>
    <row r="330" spans="3:25" x14ac:dyDescent="0.25"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</row>
    <row r="331" spans="3:25" x14ac:dyDescent="0.25"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</row>
    <row r="332" spans="3:25" x14ac:dyDescent="0.25"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</row>
    <row r="333" spans="3:25" x14ac:dyDescent="0.25"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</row>
    <row r="334" spans="3:25" x14ac:dyDescent="0.25"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</row>
    <row r="335" spans="3:25" x14ac:dyDescent="0.25"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</row>
    <row r="336" spans="3:25" x14ac:dyDescent="0.25"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</row>
    <row r="337" spans="3:25" x14ac:dyDescent="0.25"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</row>
    <row r="338" spans="3:25" x14ac:dyDescent="0.25"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</row>
    <row r="339" spans="3:25" x14ac:dyDescent="0.25"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</row>
    <row r="340" spans="3:25" x14ac:dyDescent="0.25"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</row>
    <row r="341" spans="3:25" x14ac:dyDescent="0.25"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</row>
    <row r="342" spans="3:25" x14ac:dyDescent="0.25"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</row>
    <row r="343" spans="3:25" x14ac:dyDescent="0.25"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</row>
    <row r="344" spans="3:25" x14ac:dyDescent="0.25"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</row>
    <row r="345" spans="3:25" x14ac:dyDescent="0.25"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</row>
    <row r="346" spans="3:25" x14ac:dyDescent="0.25"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</row>
    <row r="347" spans="3:25" x14ac:dyDescent="0.25"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</row>
    <row r="348" spans="3:25" x14ac:dyDescent="0.25"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</row>
    <row r="349" spans="3:25" x14ac:dyDescent="0.25"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</row>
    <row r="350" spans="3:25" x14ac:dyDescent="0.25"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</row>
    <row r="351" spans="3:25" x14ac:dyDescent="0.25"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</row>
    <row r="352" spans="3:25" x14ac:dyDescent="0.25"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</row>
    <row r="353" spans="3:25" x14ac:dyDescent="0.25"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</row>
    <row r="354" spans="3:25" x14ac:dyDescent="0.25"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3:25" x14ac:dyDescent="0.25"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3:25" x14ac:dyDescent="0.25"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3:25" x14ac:dyDescent="0.25"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3:25" x14ac:dyDescent="0.25"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3:25" x14ac:dyDescent="0.25"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3:25" x14ac:dyDescent="0.25"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3:25" x14ac:dyDescent="0.25"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3:25" x14ac:dyDescent="0.25"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3:25" x14ac:dyDescent="0.25"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3:25" x14ac:dyDescent="0.25"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3:25" x14ac:dyDescent="0.25"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3:25" x14ac:dyDescent="0.25"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3:25" x14ac:dyDescent="0.25"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</row>
    <row r="368" spans="3:25" x14ac:dyDescent="0.25"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</row>
    <row r="369" spans="3:25" x14ac:dyDescent="0.25"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</row>
    <row r="370" spans="3:25" x14ac:dyDescent="0.25"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</row>
    <row r="371" spans="3:25" x14ac:dyDescent="0.25"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</row>
    <row r="372" spans="3:25" x14ac:dyDescent="0.25"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</row>
    <row r="373" spans="3:25" x14ac:dyDescent="0.25"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</row>
    <row r="374" spans="3:25" x14ac:dyDescent="0.25"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</row>
    <row r="375" spans="3:25" x14ac:dyDescent="0.25"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</row>
    <row r="376" spans="3:25" x14ac:dyDescent="0.25"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3:25" x14ac:dyDescent="0.25"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</row>
    <row r="378" spans="3:25" x14ac:dyDescent="0.25"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</row>
    <row r="379" spans="3:25" x14ac:dyDescent="0.25"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</row>
    <row r="380" spans="3:25" x14ac:dyDescent="0.25"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3:25" x14ac:dyDescent="0.25"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3:25" x14ac:dyDescent="0.25"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</row>
    <row r="383" spans="3:25" x14ac:dyDescent="0.25"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</row>
    <row r="384" spans="3:25" x14ac:dyDescent="0.25"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</row>
    <row r="385" spans="3:25" x14ac:dyDescent="0.25"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</row>
    <row r="386" spans="3:25" x14ac:dyDescent="0.25"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3:25" x14ac:dyDescent="0.25"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</row>
    <row r="388" spans="3:25" x14ac:dyDescent="0.25"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</row>
    <row r="389" spans="3:25" x14ac:dyDescent="0.25"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</row>
    <row r="390" spans="3:25" x14ac:dyDescent="0.25"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</row>
    <row r="391" spans="3:25" x14ac:dyDescent="0.25"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</row>
    <row r="392" spans="3:25" x14ac:dyDescent="0.25"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3:25" x14ac:dyDescent="0.25"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3:25" x14ac:dyDescent="0.25"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</row>
    <row r="395" spans="3:25" x14ac:dyDescent="0.25"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</row>
    <row r="396" spans="3:25" x14ac:dyDescent="0.25"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3:25" x14ac:dyDescent="0.25"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</row>
    <row r="398" spans="3:25" x14ac:dyDescent="0.25"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</row>
    <row r="399" spans="3:25" x14ac:dyDescent="0.25"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</row>
    <row r="400" spans="3:25" x14ac:dyDescent="0.25"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</row>
    <row r="401" spans="3:25" x14ac:dyDescent="0.25"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3:25" x14ac:dyDescent="0.25"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3:25" x14ac:dyDescent="0.25"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3:25" x14ac:dyDescent="0.25"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3:25" x14ac:dyDescent="0.25"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3:25" x14ac:dyDescent="0.25"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3:25" x14ac:dyDescent="0.25"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3:25" x14ac:dyDescent="0.25"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3:25" x14ac:dyDescent="0.25"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3:25" x14ac:dyDescent="0.25"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3:25" x14ac:dyDescent="0.25"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3:25" x14ac:dyDescent="0.25"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3:25" x14ac:dyDescent="0.25"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3:25" x14ac:dyDescent="0.25"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3:25" x14ac:dyDescent="0.25"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3:25" x14ac:dyDescent="0.25"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3:25" x14ac:dyDescent="0.25"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3:25" x14ac:dyDescent="0.25"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3:25" x14ac:dyDescent="0.25"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3:25" x14ac:dyDescent="0.25"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3:25" x14ac:dyDescent="0.25"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3:25" x14ac:dyDescent="0.25"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3:25" x14ac:dyDescent="0.25"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3:25" x14ac:dyDescent="0.25"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3:25" x14ac:dyDescent="0.25"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3:25" x14ac:dyDescent="0.25"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3:25" x14ac:dyDescent="0.25"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3:25" x14ac:dyDescent="0.25"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3:25" x14ac:dyDescent="0.25"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3:25" x14ac:dyDescent="0.25"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3:25" x14ac:dyDescent="0.25"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3:25" x14ac:dyDescent="0.25"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3:25" x14ac:dyDescent="0.25"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3:25" x14ac:dyDescent="0.25"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3:25" x14ac:dyDescent="0.25"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3:25" x14ac:dyDescent="0.25"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3:25" x14ac:dyDescent="0.25"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3:25" x14ac:dyDescent="0.25"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3:25" x14ac:dyDescent="0.25"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3:25" x14ac:dyDescent="0.25"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3:25" x14ac:dyDescent="0.25"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3:25" x14ac:dyDescent="0.25"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3:25" x14ac:dyDescent="0.25"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3:25" x14ac:dyDescent="0.25"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3:25" x14ac:dyDescent="0.25"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3:25" x14ac:dyDescent="0.25"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3:25" x14ac:dyDescent="0.25"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3:25" x14ac:dyDescent="0.25"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3:25" x14ac:dyDescent="0.25"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3:25" x14ac:dyDescent="0.25"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3:25" x14ac:dyDescent="0.25"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3:25" x14ac:dyDescent="0.25"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3:25" x14ac:dyDescent="0.25"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3:25" x14ac:dyDescent="0.25"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3:25" x14ac:dyDescent="0.25"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3:25" x14ac:dyDescent="0.25"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3:25" x14ac:dyDescent="0.25"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3:25" x14ac:dyDescent="0.25"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3:25" x14ac:dyDescent="0.25"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3:25" x14ac:dyDescent="0.25"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3:25" x14ac:dyDescent="0.25"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3:25" x14ac:dyDescent="0.25"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3:25" x14ac:dyDescent="0.25"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3:25" x14ac:dyDescent="0.25"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3:25" x14ac:dyDescent="0.25"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3:25" x14ac:dyDescent="0.25"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3:25" x14ac:dyDescent="0.25"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3:25" x14ac:dyDescent="0.25"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3:25" x14ac:dyDescent="0.25"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3:25" x14ac:dyDescent="0.25"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3:25" x14ac:dyDescent="0.25"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3:25" x14ac:dyDescent="0.25"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3:25" x14ac:dyDescent="0.25"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3:25" x14ac:dyDescent="0.25"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3:25" x14ac:dyDescent="0.25"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3:25" x14ac:dyDescent="0.25"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3:25" x14ac:dyDescent="0.25"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3:25" x14ac:dyDescent="0.25"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3:25" x14ac:dyDescent="0.25"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3:25" x14ac:dyDescent="0.25"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3:25" x14ac:dyDescent="0.25"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3:25" x14ac:dyDescent="0.25"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3:25" x14ac:dyDescent="0.25"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3:25" x14ac:dyDescent="0.25"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3:25" x14ac:dyDescent="0.25"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3:25" x14ac:dyDescent="0.25"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3:25" x14ac:dyDescent="0.25"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3:25" x14ac:dyDescent="0.25"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3:25" x14ac:dyDescent="0.25"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3:25" x14ac:dyDescent="0.25"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3:25" x14ac:dyDescent="0.25"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3:25" x14ac:dyDescent="0.25"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3:25" x14ac:dyDescent="0.25"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3:25" x14ac:dyDescent="0.25"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3:25" x14ac:dyDescent="0.25"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3:25" x14ac:dyDescent="0.25"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3:25" x14ac:dyDescent="0.25"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3:25" x14ac:dyDescent="0.25"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3:25" x14ac:dyDescent="0.25"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3:25" x14ac:dyDescent="0.25"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</row>
    <row r="501" spans="3:25" x14ac:dyDescent="0.25"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</row>
    <row r="502" spans="3:25" x14ac:dyDescent="0.25"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</row>
    <row r="503" spans="3:25" x14ac:dyDescent="0.25"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</row>
    <row r="504" spans="3:25" x14ac:dyDescent="0.25"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</row>
    <row r="505" spans="3:25" x14ac:dyDescent="0.25"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</row>
    <row r="506" spans="3:25" x14ac:dyDescent="0.25"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3:25" x14ac:dyDescent="0.25"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</row>
    <row r="508" spans="3:25" x14ac:dyDescent="0.25"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</row>
    <row r="509" spans="3:25" x14ac:dyDescent="0.25"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</row>
    <row r="510" spans="3:25" x14ac:dyDescent="0.25"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</row>
    <row r="511" spans="3:25" x14ac:dyDescent="0.25"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</row>
    <row r="512" spans="3:25" x14ac:dyDescent="0.25"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</row>
    <row r="513" spans="3:25" x14ac:dyDescent="0.25"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</row>
    <row r="514" spans="3:25" x14ac:dyDescent="0.25"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</row>
    <row r="515" spans="3:25" x14ac:dyDescent="0.25"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</row>
    <row r="516" spans="3:25" x14ac:dyDescent="0.25"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3:25" x14ac:dyDescent="0.25"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</row>
    <row r="518" spans="3:25" x14ac:dyDescent="0.25"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</row>
    <row r="519" spans="3:25" x14ac:dyDescent="0.25"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</row>
    <row r="520" spans="3:25" x14ac:dyDescent="0.25"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</row>
    <row r="521" spans="3:25" x14ac:dyDescent="0.25"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</row>
    <row r="522" spans="3:25" x14ac:dyDescent="0.25"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</row>
    <row r="523" spans="3:25" x14ac:dyDescent="0.25"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</row>
    <row r="524" spans="3:25" x14ac:dyDescent="0.25"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</row>
    <row r="525" spans="3:25" x14ac:dyDescent="0.25"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</row>
    <row r="526" spans="3:25" x14ac:dyDescent="0.25"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3:25" x14ac:dyDescent="0.25"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</row>
    <row r="528" spans="3:25" x14ac:dyDescent="0.25"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</row>
    <row r="529" spans="3:25" x14ac:dyDescent="0.25"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</row>
    <row r="530" spans="3:25" x14ac:dyDescent="0.25"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</row>
    <row r="531" spans="3:25" x14ac:dyDescent="0.25"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</row>
    <row r="532" spans="3:25" x14ac:dyDescent="0.25"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</row>
    <row r="533" spans="3:25" x14ac:dyDescent="0.25"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</row>
    <row r="534" spans="3:25" x14ac:dyDescent="0.25"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</row>
    <row r="535" spans="3:25" x14ac:dyDescent="0.25"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</row>
    <row r="536" spans="3:25" x14ac:dyDescent="0.25"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3:25" x14ac:dyDescent="0.25"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</row>
    <row r="538" spans="3:25" x14ac:dyDescent="0.25"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</row>
    <row r="539" spans="3:25" x14ac:dyDescent="0.25"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</row>
    <row r="540" spans="3:25" x14ac:dyDescent="0.25"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</row>
    <row r="541" spans="3:25" x14ac:dyDescent="0.25"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</row>
    <row r="542" spans="3:25" x14ac:dyDescent="0.25"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</row>
    <row r="543" spans="3:25" x14ac:dyDescent="0.25"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</row>
    <row r="544" spans="3:25" x14ac:dyDescent="0.25"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</row>
    <row r="545" spans="3:25" x14ac:dyDescent="0.25"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</row>
    <row r="546" spans="3:25" x14ac:dyDescent="0.25"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3:25" x14ac:dyDescent="0.25"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</row>
    <row r="548" spans="3:25" x14ac:dyDescent="0.25"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</row>
    <row r="549" spans="3:25" x14ac:dyDescent="0.25"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</row>
    <row r="550" spans="3:25" x14ac:dyDescent="0.25"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</row>
    <row r="551" spans="3:25" x14ac:dyDescent="0.25"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</row>
    <row r="552" spans="3:25" x14ac:dyDescent="0.25"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</row>
    <row r="553" spans="3:25" x14ac:dyDescent="0.25"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</row>
    <row r="554" spans="3:25" x14ac:dyDescent="0.25"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</row>
    <row r="555" spans="3:25" x14ac:dyDescent="0.25"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</row>
    <row r="556" spans="3:25" x14ac:dyDescent="0.25"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3:25" x14ac:dyDescent="0.25"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</row>
    <row r="558" spans="3:25" x14ac:dyDescent="0.25"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</row>
    <row r="559" spans="3:25" x14ac:dyDescent="0.25"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</row>
    <row r="560" spans="3:25" x14ac:dyDescent="0.25"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</row>
    <row r="561" spans="3:25" x14ac:dyDescent="0.25"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</row>
    <row r="562" spans="3:25" x14ac:dyDescent="0.25"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</row>
    <row r="563" spans="3:25" x14ac:dyDescent="0.25"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</row>
    <row r="564" spans="3:25" x14ac:dyDescent="0.25"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</row>
    <row r="565" spans="3:25" x14ac:dyDescent="0.25"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</row>
    <row r="566" spans="3:25" x14ac:dyDescent="0.25"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3:25" x14ac:dyDescent="0.25"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</row>
    <row r="568" spans="3:25" x14ac:dyDescent="0.25"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</row>
    <row r="569" spans="3:25" x14ac:dyDescent="0.25"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</row>
    <row r="570" spans="3:25" x14ac:dyDescent="0.25"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</row>
    <row r="571" spans="3:25" x14ac:dyDescent="0.25"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</row>
    <row r="572" spans="3:25" x14ac:dyDescent="0.25"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</row>
    <row r="573" spans="3:25" x14ac:dyDescent="0.25"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</row>
    <row r="574" spans="3:25" x14ac:dyDescent="0.25"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</row>
    <row r="575" spans="3:25" x14ac:dyDescent="0.25"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</row>
    <row r="576" spans="3:25" x14ac:dyDescent="0.25"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3:25" x14ac:dyDescent="0.25"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</row>
    <row r="578" spans="3:25" x14ac:dyDescent="0.25"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</row>
    <row r="579" spans="3:25" x14ac:dyDescent="0.25"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</row>
    <row r="580" spans="3:25" x14ac:dyDescent="0.25"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</row>
    <row r="581" spans="3:25" x14ac:dyDescent="0.25"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</row>
    <row r="582" spans="3:25" x14ac:dyDescent="0.25"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</row>
    <row r="583" spans="3:25" x14ac:dyDescent="0.25"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</row>
    <row r="584" spans="3:25" x14ac:dyDescent="0.25"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</row>
    <row r="585" spans="3:25" x14ac:dyDescent="0.25"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</row>
    <row r="586" spans="3:25" x14ac:dyDescent="0.25"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</row>
    <row r="587" spans="3:25" x14ac:dyDescent="0.25"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</row>
    <row r="588" spans="3:25" x14ac:dyDescent="0.25"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</row>
    <row r="589" spans="3:25" x14ac:dyDescent="0.25"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</row>
    <row r="590" spans="3:25" x14ac:dyDescent="0.25"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</row>
    <row r="591" spans="3:25" x14ac:dyDescent="0.25"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</row>
    <row r="592" spans="3:25" x14ac:dyDescent="0.25"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</row>
    <row r="593" spans="3:25" x14ac:dyDescent="0.25"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</row>
    <row r="594" spans="3:25" x14ac:dyDescent="0.25"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</row>
    <row r="595" spans="3:25" x14ac:dyDescent="0.25"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</row>
    <row r="596" spans="3:25" x14ac:dyDescent="0.25"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</row>
    <row r="597" spans="3:25" x14ac:dyDescent="0.25"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</row>
    <row r="598" spans="3:25" x14ac:dyDescent="0.25"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</row>
    <row r="599" spans="3:25" x14ac:dyDescent="0.25"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</row>
    <row r="600" spans="3:25" x14ac:dyDescent="0.25"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</row>
    <row r="601" spans="3:25" x14ac:dyDescent="0.25"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</row>
    <row r="602" spans="3:25" x14ac:dyDescent="0.25"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</row>
    <row r="603" spans="3:25" x14ac:dyDescent="0.25"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</row>
    <row r="604" spans="3:25" x14ac:dyDescent="0.25"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</row>
    <row r="605" spans="3:25" x14ac:dyDescent="0.25"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</row>
    <row r="606" spans="3:25" x14ac:dyDescent="0.25"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</row>
    <row r="607" spans="3:25" x14ac:dyDescent="0.25"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</row>
    <row r="608" spans="3:25" x14ac:dyDescent="0.25"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</row>
    <row r="609" spans="3:25" x14ac:dyDescent="0.25"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</row>
    <row r="610" spans="3:25" x14ac:dyDescent="0.25"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</row>
    <row r="611" spans="3:25" x14ac:dyDescent="0.25"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</row>
    <row r="612" spans="3:25" x14ac:dyDescent="0.25"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</row>
    <row r="613" spans="3:25" x14ac:dyDescent="0.25"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</row>
    <row r="614" spans="3:25" x14ac:dyDescent="0.25"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</row>
    <row r="615" spans="3:25" x14ac:dyDescent="0.25"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</row>
    <row r="616" spans="3:25" x14ac:dyDescent="0.25"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</row>
    <row r="617" spans="3:25" x14ac:dyDescent="0.25"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</row>
    <row r="618" spans="3:25" x14ac:dyDescent="0.25"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</row>
    <row r="619" spans="3:25" x14ac:dyDescent="0.25"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</row>
    <row r="620" spans="3:25" x14ac:dyDescent="0.25"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</row>
    <row r="621" spans="3:25" x14ac:dyDescent="0.25"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</row>
    <row r="622" spans="3:25" x14ac:dyDescent="0.25"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</row>
    <row r="623" spans="3:25" x14ac:dyDescent="0.25"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</row>
    <row r="624" spans="3:25" x14ac:dyDescent="0.25"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</row>
    <row r="625" spans="3:25" x14ac:dyDescent="0.25"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</row>
    <row r="626" spans="3:25" x14ac:dyDescent="0.25"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</row>
    <row r="627" spans="3:25" x14ac:dyDescent="0.25"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</row>
    <row r="628" spans="3:25" x14ac:dyDescent="0.25"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</row>
    <row r="629" spans="3:25" x14ac:dyDescent="0.25"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</row>
    <row r="630" spans="3:25" x14ac:dyDescent="0.25"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</row>
    <row r="631" spans="3:25" x14ac:dyDescent="0.25"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</row>
    <row r="632" spans="3:25" x14ac:dyDescent="0.25"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</row>
    <row r="633" spans="3:25" x14ac:dyDescent="0.25"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</row>
    <row r="634" spans="3:25" x14ac:dyDescent="0.25"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</row>
    <row r="635" spans="3:25" x14ac:dyDescent="0.25"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</row>
    <row r="636" spans="3:25" x14ac:dyDescent="0.25"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</row>
    <row r="637" spans="3:25" x14ac:dyDescent="0.25"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</row>
    <row r="638" spans="3:25" x14ac:dyDescent="0.25"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</row>
    <row r="639" spans="3:25" x14ac:dyDescent="0.25"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</row>
    <row r="640" spans="3:25" x14ac:dyDescent="0.25"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</row>
    <row r="641" spans="3:25" x14ac:dyDescent="0.25"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</row>
    <row r="642" spans="3:25" x14ac:dyDescent="0.25"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</row>
    <row r="643" spans="3:25" x14ac:dyDescent="0.25"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</row>
    <row r="644" spans="3:25" x14ac:dyDescent="0.25"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</row>
    <row r="645" spans="3:25" x14ac:dyDescent="0.25"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</row>
    <row r="646" spans="3:25" x14ac:dyDescent="0.25"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</row>
  </sheetData>
  <sheetProtection formatCells="0" formatColumns="0" formatRows="0"/>
  <mergeCells count="1">
    <mergeCell ref="V1:AA2"/>
  </mergeCells>
  <phoneticPr fontId="0" type="noConversion"/>
  <printOptions horizontalCentered="1"/>
  <pageMargins left="0.39370078740157483" right="0.39370078740157483" top="0.31496062992125984" bottom="0.62992125984251968" header="0.51181102362204722" footer="0.23622047244094491"/>
  <pageSetup paperSize="8" scale="90" fitToHeight="6" orientation="portrait" r:id="rId2"/>
  <headerFooter>
    <oddFooter xml:space="preserve">&amp;L&amp;Z&amp;F&amp;R&amp;D   &amp;T    &amp;P/&amp;N       </oddFooter>
  </headerFooter>
  <rowBreaks count="3" manualBreakCount="3">
    <brk id="67" max="16383" man="1"/>
    <brk id="132" max="16383" man="1"/>
    <brk id="190" max="16383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IZ72"/>
  <sheetViews>
    <sheetView workbookViewId="0">
      <selection activeCell="A2" sqref="A2"/>
    </sheetView>
  </sheetViews>
  <sheetFormatPr defaultRowHeight="12.5" x14ac:dyDescent="0.25"/>
  <cols>
    <col min="1" max="1" width="20.26953125" customWidth="1"/>
    <col min="5" max="5" width="10" bestFit="1" customWidth="1"/>
    <col min="54" max="54" width="15.453125" bestFit="1" customWidth="1"/>
  </cols>
  <sheetData>
    <row r="1" spans="1:260" ht="15.5" x14ac:dyDescent="0.25">
      <c r="AN1" s="185" t="s">
        <v>50</v>
      </c>
      <c r="AO1" s="185"/>
      <c r="AP1" s="185"/>
      <c r="AQ1" s="186" t="s">
        <v>74</v>
      </c>
      <c r="AR1" s="186"/>
      <c r="AS1" s="186"/>
      <c r="AT1" s="185" t="s">
        <v>51</v>
      </c>
      <c r="AU1" s="185"/>
      <c r="AV1" s="185"/>
      <c r="AW1" s="186" t="s">
        <v>74</v>
      </c>
      <c r="AX1" s="186"/>
      <c r="AY1" s="186"/>
      <c r="AZ1" s="34"/>
      <c r="BA1" s="34"/>
      <c r="BB1" s="60"/>
    </row>
    <row r="4" spans="1:260" ht="13" thickBot="1" x14ac:dyDescent="0.3"/>
    <row r="5" spans="1:260" x14ac:dyDescent="0.25">
      <c r="A5" s="65" t="s">
        <v>60</v>
      </c>
    </row>
    <row r="7" spans="1:260" s="12" customFormat="1" ht="13" x14ac:dyDescent="0.3">
      <c r="A7" s="63"/>
      <c r="B7" s="61"/>
      <c r="C7" s="62"/>
      <c r="D7" s="62"/>
      <c r="E7" s="5"/>
      <c r="F7" s="6"/>
      <c r="G7" s="6"/>
      <c r="H7" s="6"/>
      <c r="I7" s="6"/>
      <c r="J7" s="6"/>
      <c r="K7" s="6"/>
      <c r="L7" s="6"/>
      <c r="M7" s="6"/>
      <c r="N7" s="6"/>
      <c r="O7" s="3">
        <f t="shared" ref="O7" si="0">SUM(AN7:BG7,BI7:CB7,CD7:CW7,CY7:DR7,DT7:EM7,EO7:FH7,FJ7:GC7,GE7:GX7,GZ7:IZ7)</f>
        <v>0</v>
      </c>
      <c r="P7" s="7"/>
      <c r="Q7" s="7"/>
      <c r="R7" s="2">
        <f t="shared" ref="R7" si="1">P7*Q7/1000000</f>
        <v>0</v>
      </c>
      <c r="S7" s="27">
        <f t="shared" ref="S7" si="2">AM7</f>
        <v>0</v>
      </c>
      <c r="T7" s="27">
        <f t="shared" ref="T7" si="3">BH7</f>
        <v>0</v>
      </c>
      <c r="U7" s="27">
        <f t="shared" ref="U7" si="4">CC7</f>
        <v>0</v>
      </c>
      <c r="V7" s="27">
        <f t="shared" ref="V7" si="5">CX7</f>
        <v>0</v>
      </c>
      <c r="W7" s="27">
        <f t="shared" ref="W7" si="6">DS7</f>
        <v>0</v>
      </c>
      <c r="X7" s="27">
        <f t="shared" ref="X7" si="7">EN7</f>
        <v>0</v>
      </c>
      <c r="Y7" s="27">
        <f t="shared" ref="Y7" si="8">FI7</f>
        <v>0</v>
      </c>
      <c r="Z7" s="27">
        <f t="shared" ref="Z7" si="9">GD7</f>
        <v>0</v>
      </c>
      <c r="AA7" s="27">
        <f t="shared" ref="AA7" si="10">GY7</f>
        <v>0</v>
      </c>
      <c r="AB7" s="4">
        <f t="shared" ref="AB7" si="11">P7*Q7*O7/1000000</f>
        <v>0</v>
      </c>
      <c r="AC7" s="2" t="str">
        <f t="shared" ref="AC7" si="12">IF(E7=1,E7*$O7*$Q7/1000,IF(E7=2,E7*$O7*$Q7/1000," "))</f>
        <v xml:space="preserve"> </v>
      </c>
      <c r="AD7" s="2" t="str">
        <f t="shared" ref="AD7:AE7" si="13">IF(F7=1,F7*$O7*$P7/1000,IF(F7=2,F7*$O7*$P7/1000," "))</f>
        <v xml:space="preserve"> </v>
      </c>
      <c r="AE7" s="2" t="str">
        <f t="shared" si="13"/>
        <v xml:space="preserve"> </v>
      </c>
      <c r="AF7" s="2" t="str">
        <f t="shared" ref="AF7" si="14">IF(H7=1,H7*$O7*$Q7/1000,IF(H7=2,H7*$O7*$Q7/1000," "))</f>
        <v xml:space="preserve"> </v>
      </c>
      <c r="AG7" s="2" t="str">
        <f t="shared" ref="AG7:AH7" si="15">IF(I7=1,I7*$O7*$P7/1000,IF(I7=2,I7*$O7*$P7/1000," "))</f>
        <v xml:space="preserve"> </v>
      </c>
      <c r="AH7" s="2" t="str">
        <f t="shared" si="15"/>
        <v xml:space="preserve"> </v>
      </c>
      <c r="AI7" s="2" t="str">
        <f t="shared" ref="AI7" si="16">IF(K7=1,K7*$O7*$Q7/1000,IF(K7=2,K7*$O7*$Q7/1000," "))</f>
        <v xml:space="preserve"> </v>
      </c>
      <c r="AJ7" s="2" t="str">
        <f t="shared" ref="AJ7:AK7" si="17">IF(L7=1,L7*$O7*$P7/1000,IF(L7=2,L7*$O7*$P7/1000," "))</f>
        <v xml:space="preserve"> </v>
      </c>
      <c r="AK7" s="2" t="str">
        <f t="shared" si="17"/>
        <v xml:space="preserve"> </v>
      </c>
      <c r="AL7" s="2" t="str">
        <f t="shared" ref="AL7" si="18">IF(N7=1,N7*$O7*$Q7/1000,IF(N7=2,N7*$O7*$Q7/1000," "))</f>
        <v xml:space="preserve"> </v>
      </c>
      <c r="AM7" s="23">
        <f t="shared" ref="AM7" si="19">SUM(AN7:BG7)*R7</f>
        <v>0</v>
      </c>
      <c r="AN7" s="8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1"/>
      <c r="BH7" s="1">
        <f t="shared" ref="BH7" si="20">SUM(BI7:CB7)*R7</f>
        <v>0</v>
      </c>
      <c r="BI7" s="8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11"/>
      <c r="CC7" s="1">
        <f t="shared" ref="CC7" si="21">SUM(CD7:CW7)*R7</f>
        <v>0</v>
      </c>
      <c r="CD7" s="8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11"/>
      <c r="CX7" s="10">
        <f t="shared" ref="CX7" si="22">SUM(CY7:DR7)*R7</f>
        <v>0</v>
      </c>
      <c r="CY7" s="8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11"/>
      <c r="DS7" s="10">
        <f t="shared" ref="DS7" si="23">SUM(DT7:EM7)*R7</f>
        <v>0</v>
      </c>
      <c r="DT7" s="8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11"/>
      <c r="EN7" s="10">
        <f t="shared" ref="EN7" si="24">SUM(EO7:FH7)*R7</f>
        <v>0</v>
      </c>
      <c r="EO7" s="8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11"/>
      <c r="FI7" s="10">
        <f t="shared" ref="FI7" si="25">SUM(FJ7:GC7)*R7</f>
        <v>0</v>
      </c>
      <c r="FJ7" s="8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11"/>
      <c r="GD7" s="10">
        <f t="shared" ref="GD7" si="26">SUM(GE7:GX7)*R7</f>
        <v>0</v>
      </c>
      <c r="GE7" s="8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11"/>
      <c r="GY7" s="10">
        <f>SUM(GZ7:IZ7)*R7</f>
        <v>0</v>
      </c>
      <c r="GZ7" s="8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11"/>
    </row>
    <row r="11" spans="1:260" ht="13" thickBot="1" x14ac:dyDescent="0.3"/>
    <row r="12" spans="1:260" x14ac:dyDescent="0.25">
      <c r="A12" s="65" t="s">
        <v>71</v>
      </c>
      <c r="B12" s="65" t="s">
        <v>61</v>
      </c>
      <c r="C12" s="65" t="s">
        <v>62</v>
      </c>
      <c r="D12" s="65" t="s">
        <v>63</v>
      </c>
      <c r="E12" s="65" t="s">
        <v>64</v>
      </c>
      <c r="F12" s="65" t="s">
        <v>68</v>
      </c>
      <c r="G12" s="65" t="s">
        <v>67</v>
      </c>
      <c r="H12" s="65" t="s">
        <v>69</v>
      </c>
      <c r="I12" s="93" t="s">
        <v>75</v>
      </c>
      <c r="J12" s="93" t="s">
        <v>41</v>
      </c>
      <c r="K12" s="93" t="s">
        <v>76</v>
      </c>
      <c r="L12" s="93" t="s">
        <v>77</v>
      </c>
      <c r="M12" s="93" t="s">
        <v>78</v>
      </c>
    </row>
    <row r="13" spans="1:260" x14ac:dyDescent="0.25">
      <c r="A13" s="76" t="s">
        <v>72</v>
      </c>
      <c r="D13" s="76"/>
      <c r="E13">
        <f>SUM(Height_floors!B10:'Height_floors'!B49)</f>
        <v>0</v>
      </c>
      <c r="F13" t="s">
        <v>57</v>
      </c>
      <c r="G13">
        <v>95</v>
      </c>
      <c r="H13" t="str">
        <f>IF(+OR(B23=B24,B23=B25,B23=B26,B23=B27,B23=B28,B23=B29,B23=B30,B23=B31,B24=B25,B24=B26,B24=B27,B24=B28,B24=B29,B24=B30,B24=B31,B25=B26,B25=B27,B25=B28,B25=B29,B25=B30,B25=B31,B26=B27,B26=B28,B26=B29,B26=B30,B26=B31,B27=B28,B27=B29,B27=B30,B27=B31,,B28=B29,B28=B30,B28=B31,B29=B30,B29=B31,,B30=B31),"Errore","")</f>
        <v/>
      </c>
      <c r="I13" s="76" t="s">
        <v>72</v>
      </c>
    </row>
    <row r="20" spans="1:24" ht="13" thickBot="1" x14ac:dyDescent="0.3"/>
    <row r="21" spans="1:24" ht="13" thickBot="1" x14ac:dyDescent="0.3">
      <c r="D21" s="65" t="s">
        <v>70</v>
      </c>
      <c r="E21" s="65"/>
    </row>
    <row r="22" spans="1:24" x14ac:dyDescent="0.25">
      <c r="A22" s="65" t="s">
        <v>59</v>
      </c>
      <c r="B22" s="65" t="s">
        <v>54</v>
      </c>
      <c r="C22" s="88"/>
      <c r="D22" s="65"/>
      <c r="E22" s="65" t="s">
        <v>23</v>
      </c>
      <c r="F22" s="65" t="s">
        <v>24</v>
      </c>
      <c r="G22" s="65">
        <v>1</v>
      </c>
      <c r="H22" s="65">
        <v>2</v>
      </c>
      <c r="I22" s="65">
        <v>3</v>
      </c>
      <c r="J22" s="65">
        <v>4</v>
      </c>
      <c r="K22" s="65">
        <v>5</v>
      </c>
      <c r="L22" s="65">
        <v>6</v>
      </c>
      <c r="M22" s="65">
        <v>7</v>
      </c>
      <c r="N22" s="65">
        <v>8</v>
      </c>
      <c r="O22" s="65">
        <v>9</v>
      </c>
      <c r="P22" s="65">
        <v>10</v>
      </c>
      <c r="Q22" s="65">
        <v>11</v>
      </c>
      <c r="R22" s="65">
        <v>12</v>
      </c>
      <c r="S22" s="65">
        <v>13</v>
      </c>
      <c r="T22" s="65">
        <v>14</v>
      </c>
      <c r="U22" s="65">
        <v>15</v>
      </c>
      <c r="V22" s="65">
        <v>16</v>
      </c>
      <c r="W22" s="65">
        <v>17</v>
      </c>
      <c r="X22" s="65" t="s">
        <v>25</v>
      </c>
    </row>
    <row r="23" spans="1:24" x14ac:dyDescent="0.25">
      <c r="A23" t="str">
        <f>IF(Height_floors!$A10&lt;&gt;"","-Floor  ","")&amp;Height_floors!$A10&amp;IF(Height_floors!$B10&lt;&gt;"","   h ","") &amp;Height_floors!$B10</f>
        <v/>
      </c>
      <c r="B23" s="66" t="str">
        <f>CELLS!$AM$3</f>
        <v>NORTH</v>
      </c>
      <c r="C23" s="88"/>
      <c r="D23">
        <f>IF(SUM(E23:X23)=0,0,"modificato")</f>
        <v>0</v>
      </c>
      <c r="E23">
        <f>IF(CELLS!AN6=E$22,0,1)</f>
        <v>0</v>
      </c>
      <c r="F23">
        <f>IF(CELLS!AO6=F$22,0,1)</f>
        <v>0</v>
      </c>
      <c r="G23">
        <f>IF(CELLS!AP6=G$22,0,1)</f>
        <v>0</v>
      </c>
      <c r="H23">
        <f>IF(CELLS!AQ6=H$22,0,1)</f>
        <v>0</v>
      </c>
      <c r="I23">
        <f>IF(CELLS!AR6=I$22,0,1)</f>
        <v>0</v>
      </c>
      <c r="J23">
        <f>IF(CELLS!AS6=J$22,0,1)</f>
        <v>0</v>
      </c>
      <c r="K23">
        <f>IF(CELLS!AT6=K$22,0,1)</f>
        <v>0</v>
      </c>
      <c r="L23">
        <f>IF(CELLS!AU6=L$22,0,1)</f>
        <v>0</v>
      </c>
      <c r="M23">
        <f>IF(CELLS!AV6=M$22,0,1)</f>
        <v>0</v>
      </c>
      <c r="N23">
        <f>IF(CELLS!AW6=N$22,0,1)</f>
        <v>0</v>
      </c>
      <c r="O23">
        <f>IF(CELLS!AX6=O$22,0,1)</f>
        <v>0</v>
      </c>
      <c r="P23">
        <f>IF(CELLS!AY6=P$22,0,1)</f>
        <v>0</v>
      </c>
      <c r="Q23">
        <f>IF(CELLS!AZ6=Q$22,0,1)</f>
        <v>0</v>
      </c>
      <c r="R23">
        <f>IF(CELLS!BA6=R$22,0,1)</f>
        <v>0</v>
      </c>
      <c r="S23">
        <f>IF(CELLS!BB6=S$22,0,1)</f>
        <v>0</v>
      </c>
      <c r="T23">
        <f>IF(CELLS!BC6=T$22,0,1)</f>
        <v>0</v>
      </c>
      <c r="U23">
        <f>IF(CELLS!BD6=U$22,0,1)</f>
        <v>0</v>
      </c>
      <c r="V23">
        <f>IF(CELLS!BE6=V$22,0,1)</f>
        <v>0</v>
      </c>
      <c r="W23">
        <f>IF(CELLS!BF6=W$22,0,1)</f>
        <v>0</v>
      </c>
      <c r="X23">
        <f>IF(CELLS!BG6=X$22,0,1)</f>
        <v>0</v>
      </c>
    </row>
    <row r="24" spans="1:24" x14ac:dyDescent="0.25">
      <c r="A24" t="str">
        <f>IF(Height_floors!$A11&lt;&gt;"","-Floor  ","")&amp;Height_floors!$A11&amp;IF(Height_floors!$B11&lt;&gt;"","   h ","") &amp;Height_floors!$B11</f>
        <v/>
      </c>
      <c r="B24" s="66" t="str">
        <f>CELLS!$BI$3</f>
        <v>EAST</v>
      </c>
      <c r="C24" s="88"/>
      <c r="D24">
        <f t="shared" ref="D24:D30" si="27">IF(SUM(E24:X24)=0,0,"modificato")</f>
        <v>0</v>
      </c>
      <c r="E24">
        <f>IF(CELLS!BI6=E$22,0,1)</f>
        <v>0</v>
      </c>
      <c r="F24">
        <f>IF(CELLS!BJ6=F$22,0,1)</f>
        <v>0</v>
      </c>
      <c r="G24">
        <f>IF(CELLS!BK6=G$22,0,1)</f>
        <v>0</v>
      </c>
      <c r="H24">
        <f>IF(CELLS!BL6=H$22,0,1)</f>
        <v>0</v>
      </c>
      <c r="I24">
        <f>IF(CELLS!BM6=I$22,0,1)</f>
        <v>0</v>
      </c>
      <c r="J24">
        <f>IF(CELLS!BN6=J$22,0,1)</f>
        <v>0</v>
      </c>
      <c r="K24">
        <f>IF(CELLS!BO6=K$22,0,1)</f>
        <v>0</v>
      </c>
      <c r="L24">
        <f>IF(CELLS!BP6=L$22,0,1)</f>
        <v>0</v>
      </c>
      <c r="M24">
        <f>IF(CELLS!BQ6=M$22,0,1)</f>
        <v>0</v>
      </c>
      <c r="N24">
        <f>IF(CELLS!BR6=N$22,0,1)</f>
        <v>0</v>
      </c>
      <c r="O24">
        <f>IF(CELLS!BS6=O$22,0,1)</f>
        <v>0</v>
      </c>
      <c r="P24">
        <f>IF(CELLS!BT6=P$22,0,1)</f>
        <v>0</v>
      </c>
      <c r="Q24">
        <f>IF(CELLS!BU6=Q$22,0,1)</f>
        <v>0</v>
      </c>
      <c r="R24">
        <f>IF(CELLS!BV6=R$22,0,1)</f>
        <v>0</v>
      </c>
      <c r="S24">
        <f>IF(CELLS!BW6=S$22,0,1)</f>
        <v>0</v>
      </c>
      <c r="T24">
        <f>IF(CELLS!BX6=T$22,0,1)</f>
        <v>0</v>
      </c>
      <c r="U24">
        <f>IF(CELLS!BY6=U$22,0,1)</f>
        <v>0</v>
      </c>
      <c r="V24">
        <f>IF(CELLS!BZ6=V$22,0,1)</f>
        <v>0</v>
      </c>
      <c r="W24">
        <f>IF(CELLS!CA6=W$22,0,1)</f>
        <v>0</v>
      </c>
      <c r="X24">
        <f>IF(CELLS!CB6=X$22,0,1)</f>
        <v>0</v>
      </c>
    </row>
    <row r="25" spans="1:24" x14ac:dyDescent="0.25">
      <c r="A25" t="str">
        <f>IF(Height_floors!$A12&lt;&gt;"","-Floor  ","")&amp;Height_floors!$A12&amp;IF(Height_floors!$B12&lt;&gt;"","   h ","") &amp;Height_floors!$B12</f>
        <v/>
      </c>
      <c r="B25" s="66" t="str">
        <f>CELLS!$CD$3</f>
        <v>SOUTH</v>
      </c>
      <c r="C25" s="88"/>
      <c r="D25">
        <f t="shared" si="27"/>
        <v>0</v>
      </c>
      <c r="E25">
        <f>IF(CELLS!CD6=E$22,0,1)</f>
        <v>0</v>
      </c>
      <c r="F25">
        <f>IF(CELLS!CE6=F$22,0,1)</f>
        <v>0</v>
      </c>
      <c r="G25">
        <f>IF(CELLS!CF6=G$22,0,1)</f>
        <v>0</v>
      </c>
      <c r="H25">
        <f>IF(CELLS!CG6=H$22,0,1)</f>
        <v>0</v>
      </c>
      <c r="I25">
        <f>IF(CELLS!CH6=I$22,0,1)</f>
        <v>0</v>
      </c>
      <c r="J25">
        <f>IF(CELLS!CI6=J$22,0,1)</f>
        <v>0</v>
      </c>
      <c r="K25">
        <f>IF(CELLS!CJ6=K$22,0,1)</f>
        <v>0</v>
      </c>
      <c r="L25">
        <f>IF(CELLS!CK6=L$22,0,1)</f>
        <v>0</v>
      </c>
      <c r="M25">
        <f>IF(CELLS!CL6=M$22,0,1)</f>
        <v>0</v>
      </c>
      <c r="N25">
        <f>IF(CELLS!CM6=N$22,0,1)</f>
        <v>0</v>
      </c>
      <c r="O25">
        <f>IF(CELLS!CN6=O$22,0,1)</f>
        <v>0</v>
      </c>
      <c r="P25">
        <f>IF(CELLS!CO6=P$22,0,1)</f>
        <v>0</v>
      </c>
      <c r="Q25">
        <f>IF(CELLS!CP6=Q$22,0,1)</f>
        <v>0</v>
      </c>
      <c r="R25">
        <f>IF(CELLS!CQ6=R$22,0,1)</f>
        <v>0</v>
      </c>
      <c r="S25">
        <f>IF(CELLS!CR6=S$22,0,1)</f>
        <v>0</v>
      </c>
      <c r="T25">
        <f>IF(CELLS!CS6=T$22,0,1)</f>
        <v>0</v>
      </c>
      <c r="U25">
        <f>IF(CELLS!CT6=U$22,0,1)</f>
        <v>0</v>
      </c>
      <c r="V25">
        <f>IF(CELLS!CU6=V$22,0,1)</f>
        <v>0</v>
      </c>
      <c r="W25">
        <f>IF(CELLS!CV6=W$22,0,1)</f>
        <v>0</v>
      </c>
      <c r="X25">
        <f>IF(CELLS!CW6=X$22,0,1)</f>
        <v>0</v>
      </c>
    </row>
    <row r="26" spans="1:24" x14ac:dyDescent="0.25">
      <c r="A26" t="str">
        <f>IF(Height_floors!$A13&lt;&gt;"","-Floor  ","")&amp;Height_floors!$A13&amp;IF(Height_floors!$B13&lt;&gt;"","   h ","") &amp;Height_floors!$B13</f>
        <v/>
      </c>
      <c r="B26" s="66" t="str">
        <f>CELLS!$CX$3</f>
        <v>WEST</v>
      </c>
      <c r="C26" s="88"/>
      <c r="D26">
        <f t="shared" si="27"/>
        <v>0</v>
      </c>
      <c r="E26">
        <f>IF(CELLS!CY6=E$22,0,1)</f>
        <v>0</v>
      </c>
      <c r="F26">
        <f>IF(CELLS!CZ6=F$22,0,1)</f>
        <v>0</v>
      </c>
      <c r="G26">
        <f>IF(CELLS!DA6=G$22,0,1)</f>
        <v>0</v>
      </c>
      <c r="H26">
        <f>IF(CELLS!DB6=H$22,0,1)</f>
        <v>0</v>
      </c>
      <c r="I26">
        <f>IF(CELLS!DC6=I$22,0,1)</f>
        <v>0</v>
      </c>
      <c r="J26">
        <f>IF(CELLS!DD6=J$22,0,1)</f>
        <v>0</v>
      </c>
      <c r="K26">
        <f>IF(CELLS!DE6=K$22,0,1)</f>
        <v>0</v>
      </c>
      <c r="L26">
        <f>IF(CELLS!DF6=L$22,0,1)</f>
        <v>0</v>
      </c>
      <c r="M26">
        <f>IF(CELLS!DG6=M$22,0,1)</f>
        <v>0</v>
      </c>
      <c r="N26">
        <f>IF(CELLS!DH6=N$22,0,1)</f>
        <v>0</v>
      </c>
      <c r="O26">
        <f>IF(CELLS!DI6=O$22,0,1)</f>
        <v>0</v>
      </c>
      <c r="P26">
        <f>IF(CELLS!DJ6=P$22,0,1)</f>
        <v>0</v>
      </c>
      <c r="Q26">
        <f>IF(CELLS!DK6=Q$22,0,1)</f>
        <v>0</v>
      </c>
      <c r="R26">
        <f>IF(CELLS!DL6=R$22,0,1)</f>
        <v>0</v>
      </c>
      <c r="S26">
        <f>IF(CELLS!DM6=S$22,0,1)</f>
        <v>0</v>
      </c>
      <c r="T26">
        <f>IF(CELLS!DN6=T$22,0,1)</f>
        <v>0</v>
      </c>
      <c r="U26">
        <f>IF(CELLS!DO6=U$22,0,1)</f>
        <v>0</v>
      </c>
      <c r="V26">
        <f>IF(CELLS!DP6=V$22,0,1)</f>
        <v>0</v>
      </c>
      <c r="W26">
        <f>IF(CELLS!DQ6=W$22,0,1)</f>
        <v>0</v>
      </c>
      <c r="X26">
        <f>IF(CELLS!DR6=X$22,0,1)</f>
        <v>0</v>
      </c>
    </row>
    <row r="27" spans="1:24" x14ac:dyDescent="0.25">
      <c r="A27" t="str">
        <f>IF(Height_floors!$A14&lt;&gt;"","-Floor  ","")&amp;Height_floors!$A14&amp;IF(Height_floors!$B14&lt;&gt;"","   h ","") &amp;Height_floors!$B14</f>
        <v/>
      </c>
      <c r="B27" s="66" t="str">
        <f>CELLS!$DS$3</f>
        <v>ROOF</v>
      </c>
      <c r="C27" s="88"/>
      <c r="D27">
        <f t="shared" si="27"/>
        <v>0</v>
      </c>
      <c r="E27">
        <f>IF(CELLS!DT6=E$22,0,1)</f>
        <v>0</v>
      </c>
      <c r="F27">
        <f>IF(CELLS!DU6=F$22,0,1)</f>
        <v>0</v>
      </c>
      <c r="G27">
        <f>IF(CELLS!DV6=G$22,0,1)</f>
        <v>0</v>
      </c>
      <c r="H27">
        <f>IF(CELLS!DW6=H$22,0,1)</f>
        <v>0</v>
      </c>
      <c r="I27">
        <f>IF(CELLS!DX6=I$22,0,1)</f>
        <v>0</v>
      </c>
      <c r="J27">
        <f>IF(CELLS!DY6=J$22,0,1)</f>
        <v>0</v>
      </c>
      <c r="K27">
        <f>IF(CELLS!DZ6=K$22,0,1)</f>
        <v>0</v>
      </c>
      <c r="L27">
        <f>IF(CELLS!EA6=L$22,0,1)</f>
        <v>0</v>
      </c>
      <c r="M27">
        <f>IF(CELLS!EB6=M$22,0,1)</f>
        <v>0</v>
      </c>
      <c r="N27">
        <f>IF(CELLS!EC6=N$22,0,1)</f>
        <v>0</v>
      </c>
      <c r="O27">
        <f>IF(CELLS!ED6=O$22,0,1)</f>
        <v>0</v>
      </c>
      <c r="P27">
        <f>IF(CELLS!EE6=P$22,0,1)</f>
        <v>0</v>
      </c>
      <c r="Q27">
        <f>IF(CELLS!EF6=Q$22,0,1)</f>
        <v>0</v>
      </c>
      <c r="R27">
        <f>IF(CELLS!EG6=R$22,0,1)</f>
        <v>0</v>
      </c>
      <c r="S27">
        <f>IF(CELLS!EH6=S$22,0,1)</f>
        <v>0</v>
      </c>
      <c r="T27">
        <f>IF(CELLS!EI6=T$22,0,1)</f>
        <v>0</v>
      </c>
      <c r="U27">
        <f>IF(CELLS!EJ6=U$22,0,1)</f>
        <v>0</v>
      </c>
      <c r="V27">
        <f>IF(CELLS!EK6=V$22,0,1)</f>
        <v>0</v>
      </c>
      <c r="W27">
        <f>IF(CELLS!EL6=W$22,0,1)</f>
        <v>0</v>
      </c>
      <c r="X27">
        <f>IF(CELLS!EM6=X$22,0,1)</f>
        <v>0</v>
      </c>
    </row>
    <row r="28" spans="1:24" x14ac:dyDescent="0.25">
      <c r="A28" t="str">
        <f>IF(Height_floors!$A15&lt;&gt;"","-Floor  ","")&amp;Height_floors!$A15&amp;IF(Height_floors!$B15&lt;&gt;"","   h ","") &amp;Height_floors!$B15</f>
        <v/>
      </c>
      <c r="B28" s="66" t="str">
        <f>CELLS!$EN$3</f>
        <v>ATRIUM</v>
      </c>
      <c r="C28" s="88"/>
      <c r="D28">
        <f t="shared" si="27"/>
        <v>0</v>
      </c>
      <c r="E28">
        <f>IF(CELLS!EO6=E$22,0,1)</f>
        <v>0</v>
      </c>
      <c r="F28">
        <f>IF(CELLS!EP6=F$22,0,1)</f>
        <v>0</v>
      </c>
      <c r="G28">
        <f>IF(CELLS!EQ6=G$22,0,1)</f>
        <v>0</v>
      </c>
      <c r="H28">
        <f>IF(CELLS!ER6=H$22,0,1)</f>
        <v>0</v>
      </c>
      <c r="I28">
        <f>IF(CELLS!ES6=I$22,0,1)</f>
        <v>0</v>
      </c>
      <c r="J28">
        <f>IF(CELLS!ET6=J$22,0,1)</f>
        <v>0</v>
      </c>
      <c r="K28">
        <f>IF(CELLS!EU6=K$22,0,1)</f>
        <v>0</v>
      </c>
      <c r="L28">
        <f>IF(CELLS!EV6=L$22,0,1)</f>
        <v>0</v>
      </c>
      <c r="M28">
        <f>IF(CELLS!EW6=M$22,0,1)</f>
        <v>0</v>
      </c>
      <c r="N28">
        <f>IF(CELLS!EX6=N$22,0,1)</f>
        <v>0</v>
      </c>
      <c r="O28">
        <f>IF(CELLS!EY6=O$22,0,1)</f>
        <v>0</v>
      </c>
      <c r="P28">
        <f>IF(CELLS!EZ6=P$22,0,1)</f>
        <v>0</v>
      </c>
      <c r="Q28">
        <f>IF(CELLS!FA6=Q$22,0,1)</f>
        <v>0</v>
      </c>
      <c r="R28">
        <f>IF(CELLS!FB6=R$22,0,1)</f>
        <v>0</v>
      </c>
      <c r="S28">
        <f>IF(CELLS!FC6=S$22,0,1)</f>
        <v>0</v>
      </c>
      <c r="T28">
        <f>IF(CELLS!FD6=T$22,0,1)</f>
        <v>0</v>
      </c>
      <c r="U28">
        <f>IF(CELLS!FE6=U$22,0,1)</f>
        <v>0</v>
      </c>
      <c r="V28">
        <f>IF(CELLS!FF6=V$22,0,1)</f>
        <v>0</v>
      </c>
      <c r="W28">
        <f>IF(CELLS!FG6=W$22,0,1)</f>
        <v>0</v>
      </c>
      <c r="X28">
        <f>IF(CELLS!FH6=X$22,0,1)</f>
        <v>0</v>
      </c>
    </row>
    <row r="29" spans="1:24" x14ac:dyDescent="0.25">
      <c r="A29" t="str">
        <f>IF(Height_floors!$A16&lt;&gt;"","-Floor  ","")&amp;Height_floors!$A16&amp;IF(Height_floors!$B16&lt;&gt;"","   h ","") &amp;Height_floors!$B16</f>
        <v/>
      </c>
      <c r="B29" s="66" t="str">
        <f>CELLS!$FI$3</f>
        <v>F1</v>
      </c>
      <c r="C29" s="88"/>
      <c r="D29">
        <f t="shared" si="27"/>
        <v>0</v>
      </c>
      <c r="E29">
        <f>IF(CELLS!FJ6=E$22,0,1)</f>
        <v>0</v>
      </c>
      <c r="F29">
        <f>IF(CELLS!FK6=F$22,0,1)</f>
        <v>0</v>
      </c>
      <c r="G29">
        <f>IF(CELLS!FL6=G$22,0,1)</f>
        <v>0</v>
      </c>
      <c r="H29">
        <f>IF(CELLS!FM6=H$22,0,1)</f>
        <v>0</v>
      </c>
      <c r="I29">
        <f>IF(CELLS!FN6=I$22,0,1)</f>
        <v>0</v>
      </c>
      <c r="J29">
        <f>IF(CELLS!FO6=J$22,0,1)</f>
        <v>0</v>
      </c>
      <c r="K29">
        <f>IF(CELLS!FP6=K$22,0,1)</f>
        <v>0</v>
      </c>
      <c r="L29">
        <f>IF(CELLS!FQ6=L$22,0,1)</f>
        <v>0</v>
      </c>
      <c r="M29">
        <f>IF(CELLS!FR6=M$22,0,1)</f>
        <v>0</v>
      </c>
      <c r="N29">
        <f>IF(CELLS!FS6=N$22,0,1)</f>
        <v>0</v>
      </c>
      <c r="O29">
        <f>IF(CELLS!FT6=O$22,0,1)</f>
        <v>0</v>
      </c>
      <c r="P29">
        <f>IF(CELLS!FU6=P$22,0,1)</f>
        <v>0</v>
      </c>
      <c r="Q29">
        <f>IF(CELLS!FV6=Q$22,0,1)</f>
        <v>0</v>
      </c>
      <c r="R29">
        <f>IF(CELLS!FW6=R$22,0,1)</f>
        <v>0</v>
      </c>
      <c r="S29">
        <f>IF(CELLS!FX6=S$22,0,1)</f>
        <v>0</v>
      </c>
      <c r="T29">
        <f>IF(CELLS!FY6=T$22,0,1)</f>
        <v>0</v>
      </c>
      <c r="U29">
        <f>IF(CELLS!FZ6=U$22,0,1)</f>
        <v>0</v>
      </c>
      <c r="V29">
        <f>IF(CELLS!GA6=V$22,0,1)</f>
        <v>0</v>
      </c>
      <c r="W29">
        <f>IF(CELLS!GB6=W$22,0,1)</f>
        <v>0</v>
      </c>
      <c r="X29">
        <f>IF(CELLS!GC6=X$22,0,1)</f>
        <v>0</v>
      </c>
    </row>
    <row r="30" spans="1:24" x14ac:dyDescent="0.25">
      <c r="A30" t="str">
        <f>IF(Height_floors!$A17&lt;&gt;"","-Floor  ","")&amp;Height_floors!$A17&amp;IF(Height_floors!$B17&lt;&gt;"","   h ","") &amp;Height_floors!$B17</f>
        <v/>
      </c>
      <c r="B30" s="66" t="str">
        <f>CELLS!$GD$3</f>
        <v>F2</v>
      </c>
      <c r="C30" s="88"/>
      <c r="D30">
        <f t="shared" si="27"/>
        <v>0</v>
      </c>
      <c r="E30">
        <f>IF(CELLS!GE6=E$22,0,1)</f>
        <v>0</v>
      </c>
      <c r="F30">
        <f>IF(CELLS!GF6=F$22,0,1)</f>
        <v>0</v>
      </c>
      <c r="G30">
        <f>IF(CELLS!GG6=G$22,0,1)</f>
        <v>0</v>
      </c>
      <c r="H30">
        <f>IF(CELLS!GH6=H$22,0,1)</f>
        <v>0</v>
      </c>
      <c r="I30">
        <f>IF(CELLS!GI6=I$22,0,1)</f>
        <v>0</v>
      </c>
      <c r="J30">
        <f>IF(CELLS!GJ6=J$22,0,1)</f>
        <v>0</v>
      </c>
      <c r="K30">
        <f>IF(CELLS!GK6=K$22,0,1)</f>
        <v>0</v>
      </c>
      <c r="L30">
        <f>IF(CELLS!GL6=L$22,0,1)</f>
        <v>0</v>
      </c>
      <c r="M30">
        <f>IF(CELLS!GM6=M$22,0,1)</f>
        <v>0</v>
      </c>
      <c r="N30">
        <f>IF(CELLS!GN6=N$22,0,1)</f>
        <v>0</v>
      </c>
      <c r="O30">
        <f>IF(CELLS!GO6=O$22,0,1)</f>
        <v>0</v>
      </c>
      <c r="P30">
        <f>IF(CELLS!GP6=P$22,0,1)</f>
        <v>0</v>
      </c>
      <c r="Q30">
        <f>IF(CELLS!GQ6=Q$22,0,1)</f>
        <v>0</v>
      </c>
      <c r="R30">
        <f>IF(CELLS!GR6=R$22,0,1)</f>
        <v>0</v>
      </c>
      <c r="S30">
        <f>IF(CELLS!GS6=S$22,0,1)</f>
        <v>0</v>
      </c>
      <c r="T30">
        <f>IF(CELLS!GT6=T$22,0,1)</f>
        <v>0</v>
      </c>
      <c r="U30">
        <f>IF(CELLS!GU6=U$22,0,1)</f>
        <v>0</v>
      </c>
      <c r="V30">
        <f>IF(CELLS!GV6=V$22,0,1)</f>
        <v>0</v>
      </c>
      <c r="W30">
        <f>IF(CELLS!GW6=W$22,0,1)</f>
        <v>0</v>
      </c>
      <c r="X30">
        <f>IF(CELLS!GX6=X$22,0,1)</f>
        <v>0</v>
      </c>
    </row>
    <row r="31" spans="1:24" ht="13" thickBot="1" x14ac:dyDescent="0.3">
      <c r="A31" t="str">
        <f>IF(Height_floors!$A18&lt;&gt;"","-Floor  ","")&amp;Height_floors!$A18&amp;IF(Height_floors!$B18&lt;&gt;"","   h ","") &amp;Height_floors!$B18</f>
        <v/>
      </c>
      <c r="B31" s="67" t="str">
        <f>CELLS!$GY$3</f>
        <v>AUTOMATIC</v>
      </c>
      <c r="C31" s="88"/>
    </row>
    <row r="32" spans="1:24" x14ac:dyDescent="0.25">
      <c r="A32" t="str">
        <f>IF(Height_floors!$A19&lt;&gt;"","-Floor  ","")&amp;Height_floors!$A19&amp;IF(Height_floors!$B19&lt;&gt;"","   h ","") &amp;Height_floors!$B19</f>
        <v/>
      </c>
    </row>
    <row r="33" spans="1:1" x14ac:dyDescent="0.25">
      <c r="A33" t="str">
        <f>IF(Height_floors!$A20&lt;&gt;"","-Floor  ","")&amp;Height_floors!$A20&amp;IF(Height_floors!$B20&lt;&gt;"","   h ","") &amp;Height_floors!$B20</f>
        <v/>
      </c>
    </row>
    <row r="34" spans="1:1" x14ac:dyDescent="0.25">
      <c r="A34" t="str">
        <f>IF(Height_floors!$A21&lt;&gt;"","-Floor  ","")&amp;Height_floors!$A21&amp;IF(Height_floors!$B21&lt;&gt;"","   h ","") &amp;Height_floors!$B21</f>
        <v/>
      </c>
    </row>
    <row r="35" spans="1:1" x14ac:dyDescent="0.25">
      <c r="A35" t="str">
        <f>IF(Height_floors!$A22&lt;&gt;"","-Floor  ","")&amp;Height_floors!$A22&amp;IF(Height_floors!$B22&lt;&gt;"","   h ","") &amp;Height_floors!$B22</f>
        <v/>
      </c>
    </row>
    <row r="36" spans="1:1" x14ac:dyDescent="0.25">
      <c r="A36" t="str">
        <f>IF(Height_floors!$A23&lt;&gt;"","-Floor  ","")&amp;Height_floors!$A23&amp;IF(Height_floors!$B23&lt;&gt;"","   h ","") &amp;Height_floors!$B23</f>
        <v/>
      </c>
    </row>
    <row r="37" spans="1:1" x14ac:dyDescent="0.25">
      <c r="A37" t="str">
        <f>IF(Height_floors!$A24&lt;&gt;"","-Floor  ","")&amp;Height_floors!$A24&amp;IF(Height_floors!$B24&lt;&gt;"","   h ","") &amp;Height_floors!$B24</f>
        <v/>
      </c>
    </row>
    <row r="38" spans="1:1" x14ac:dyDescent="0.25">
      <c r="A38" t="str">
        <f>IF(Height_floors!$A25&lt;&gt;"","-Floor  ","")&amp;Height_floors!$A25&amp;IF(Height_floors!$B25&lt;&gt;"","   h ","") &amp;Height_floors!$B25</f>
        <v/>
      </c>
    </row>
    <row r="39" spans="1:1" x14ac:dyDescent="0.25">
      <c r="A39" t="str">
        <f>IF(Height_floors!$A26&lt;&gt;"","-Floor  ","")&amp;Height_floors!$A26&amp;IF(Height_floors!$B26&lt;&gt;"","   h ","") &amp;Height_floors!$B26</f>
        <v/>
      </c>
    </row>
    <row r="40" spans="1:1" x14ac:dyDescent="0.25">
      <c r="A40" t="str">
        <f>IF(Height_floors!$A27&lt;&gt;"","-Floor  ","")&amp;Height_floors!$A27&amp;IF(Height_floors!$B27&lt;&gt;"","   h ","") &amp;Height_floors!$B27</f>
        <v/>
      </c>
    </row>
    <row r="41" spans="1:1" x14ac:dyDescent="0.25">
      <c r="A41" t="str">
        <f>IF(Height_floors!$A28&lt;&gt;"","-Floor  ","")&amp;Height_floors!$A28&amp;IF(Height_floors!$B28&lt;&gt;"","   h ","") &amp;Height_floors!$B28</f>
        <v/>
      </c>
    </row>
    <row r="42" spans="1:1" x14ac:dyDescent="0.25">
      <c r="A42" t="str">
        <f>IF(Height_floors!$A29&lt;&gt;"","-Floor  ","")&amp;Height_floors!$A29&amp;IF(Height_floors!$B29&lt;&gt;"","   h ","") &amp;Height_floors!$B29</f>
        <v/>
      </c>
    </row>
    <row r="43" spans="1:1" x14ac:dyDescent="0.25">
      <c r="A43" t="str">
        <f>IF(Height_floors!$A30&lt;&gt;"","-Floor  ","")&amp;Height_floors!$A30&amp;IF(Height_floors!$B30&lt;&gt;"","   h ","") &amp;Height_floors!$B30</f>
        <v/>
      </c>
    </row>
    <row r="44" spans="1:1" x14ac:dyDescent="0.25">
      <c r="A44" t="str">
        <f>IF(Height_floors!$A31&lt;&gt;"","-Floor  ","")&amp;Height_floors!$A31&amp;IF(Height_floors!$B31&lt;&gt;"","   h ","") &amp;Height_floors!$B31</f>
        <v/>
      </c>
    </row>
    <row r="45" spans="1:1" x14ac:dyDescent="0.25">
      <c r="A45" t="str">
        <f>IF(Height_floors!$A32&lt;&gt;"","-Floor  ","")&amp;Height_floors!$A32&amp;IF(Height_floors!$B32&lt;&gt;"","   h ","") &amp;Height_floors!$B32</f>
        <v/>
      </c>
    </row>
    <row r="46" spans="1:1" x14ac:dyDescent="0.25">
      <c r="A46" t="str">
        <f>IF(Height_floors!$A33&lt;&gt;"","-Floor  ","")&amp;Height_floors!$A33&amp;IF(Height_floors!$B33&lt;&gt;"","   h ","") &amp;Height_floors!$B33</f>
        <v/>
      </c>
    </row>
    <row r="47" spans="1:1" x14ac:dyDescent="0.25">
      <c r="A47" t="str">
        <f>IF(Height_floors!$A34&lt;&gt;"","-Floor  ","")&amp;Height_floors!$A34&amp;IF(Height_floors!$B34&lt;&gt;"","   h ","") &amp;Height_floors!$B34</f>
        <v/>
      </c>
    </row>
    <row r="48" spans="1:1" x14ac:dyDescent="0.25">
      <c r="A48" t="str">
        <f>IF(Height_floors!$A35&lt;&gt;"","-Floor  ","")&amp;Height_floors!$A35&amp;IF(Height_floors!$B35&lt;&gt;"","   h ","") &amp;Height_floors!$B35</f>
        <v/>
      </c>
    </row>
    <row r="49" spans="1:1" x14ac:dyDescent="0.25">
      <c r="A49" t="str">
        <f>IF(Height_floors!$A36&lt;&gt;"","-Floor  ","")&amp;Height_floors!$A36&amp;IF(Height_floors!$B36&lt;&gt;"","   h ","") &amp;Height_floors!$B36</f>
        <v/>
      </c>
    </row>
    <row r="50" spans="1:1" x14ac:dyDescent="0.25">
      <c r="A50" t="str">
        <f>IF(Height_floors!$A37&lt;&gt;"","-Floor  ","")&amp;Height_floors!$A37&amp;IF(Height_floors!$B37&lt;&gt;"","   h ","") &amp;Height_floors!$B37</f>
        <v/>
      </c>
    </row>
    <row r="51" spans="1:1" x14ac:dyDescent="0.25">
      <c r="A51" t="str">
        <f>IF(Height_floors!$A38&lt;&gt;"","-Floor  ","")&amp;Height_floors!$A38&amp;IF(Height_floors!$B38&lt;&gt;"","   h ","") &amp;Height_floors!$B38</f>
        <v/>
      </c>
    </row>
    <row r="52" spans="1:1" x14ac:dyDescent="0.25">
      <c r="A52" t="str">
        <f>IF(Height_floors!$A39&lt;&gt;"","-Floor  ","")&amp;Height_floors!$A39&amp;IF(Height_floors!$B39&lt;&gt;"","   h ","") &amp;Height_floors!$B39</f>
        <v/>
      </c>
    </row>
    <row r="53" spans="1:1" x14ac:dyDescent="0.25">
      <c r="A53" t="str">
        <f>IF(Height_floors!$A40&lt;&gt;"","-Floor  ","")&amp;Height_floors!$A40&amp;IF(Height_floors!$B40&lt;&gt;"","   h ","") &amp;Height_floors!$B40</f>
        <v/>
      </c>
    </row>
    <row r="54" spans="1:1" x14ac:dyDescent="0.25">
      <c r="A54" t="str">
        <f>IF(Height_floors!$A41&lt;&gt;"","-Floor  ","")&amp;Height_floors!$A41&amp;IF(Height_floors!$B41&lt;&gt;"","   h ","") &amp;Height_floors!$B41</f>
        <v/>
      </c>
    </row>
    <row r="55" spans="1:1" x14ac:dyDescent="0.25">
      <c r="A55" t="str">
        <f>IF(Height_floors!$A42&lt;&gt;"","-Floor  ","")&amp;Height_floors!$A42&amp;IF(Height_floors!$B42&lt;&gt;"","   h ","") &amp;Height_floors!$B42</f>
        <v/>
      </c>
    </row>
    <row r="56" spans="1:1" x14ac:dyDescent="0.25">
      <c r="A56" t="str">
        <f>IF(Height_floors!$A43&lt;&gt;"","-Floor  ","")&amp;Height_floors!$A43&amp;IF(Height_floors!$B43&lt;&gt;"","   h ","") &amp;Height_floors!$B43</f>
        <v/>
      </c>
    </row>
    <row r="57" spans="1:1" x14ac:dyDescent="0.25">
      <c r="A57" t="str">
        <f>IF(Height_floors!$A44&lt;&gt;"","-Floor  ","")&amp;Height_floors!$A44&amp;IF(Height_floors!$B44&lt;&gt;"","   h ","") &amp;Height_floors!$B44</f>
        <v/>
      </c>
    </row>
    <row r="58" spans="1:1" x14ac:dyDescent="0.25">
      <c r="A58" t="str">
        <f>IF(Height_floors!$A45&lt;&gt;"","-Floor  ","")&amp;Height_floors!$A45&amp;IF(Height_floors!$B45&lt;&gt;"","   h ","") &amp;Height_floors!$B45</f>
        <v/>
      </c>
    </row>
    <row r="59" spans="1:1" x14ac:dyDescent="0.25">
      <c r="A59" t="str">
        <f>IF(Height_floors!$A46&lt;&gt;"","-Floor  ","")&amp;Height_floors!$A46&amp;IF(Height_floors!$B46&lt;&gt;"","   h ","") &amp;Height_floors!$B46</f>
        <v/>
      </c>
    </row>
    <row r="60" spans="1:1" x14ac:dyDescent="0.25">
      <c r="A60" t="str">
        <f>IF(Height_floors!$A47&lt;&gt;"","-Floor  ","")&amp;Height_floors!$A47&amp;IF(Height_floors!$B47&lt;&gt;"","   h ","") &amp;Height_floors!$B47</f>
        <v/>
      </c>
    </row>
    <row r="61" spans="1:1" x14ac:dyDescent="0.25">
      <c r="A61" t="str">
        <f>IF(Height_floors!$A48&lt;&gt;"","-Floor  ","")&amp;Height_floors!$A48&amp;IF(Height_floors!$B48&lt;&gt;"","   h ","") &amp;Height_floors!$B48</f>
        <v/>
      </c>
    </row>
    <row r="62" spans="1:1" x14ac:dyDescent="0.25">
      <c r="A62" t="str">
        <f>IF(Height_floors!$A49&lt;&gt;"","-Floor  ","")&amp;Height_floors!$A49&amp;IF(Height_floors!$B49&lt;&gt;"","   h ","") &amp;Height_floors!$B49</f>
        <v/>
      </c>
    </row>
    <row r="63" spans="1:1" x14ac:dyDescent="0.25">
      <c r="A63" t="str">
        <f>IF(Height_floors!$A50&lt;&gt;"","-Floor  ","")&amp;Height_floors!$A50&amp;IF(Height_floors!$B50&lt;&gt;"","   h ","") &amp;Height_floors!$B50</f>
        <v/>
      </c>
    </row>
    <row r="64" spans="1:1" x14ac:dyDescent="0.25">
      <c r="A64" t="str">
        <f>IF(Height_floors!$A51&lt;&gt;"","-Floor  ","")&amp;Height_floors!$A51&amp;IF(Height_floors!$B51&lt;&gt;"","   h ","") &amp;Height_floors!$B51</f>
        <v/>
      </c>
    </row>
    <row r="65" spans="1:1" x14ac:dyDescent="0.25">
      <c r="A65" t="str">
        <f>IF(Height_floors!$A52&lt;&gt;"","-Floor  ","")&amp;Height_floors!$A52&amp;IF(Height_floors!$B52&lt;&gt;"","   h ","") &amp;Height_floors!$B52</f>
        <v/>
      </c>
    </row>
    <row r="66" spans="1:1" x14ac:dyDescent="0.25">
      <c r="A66" t="str">
        <f>IF(Height_floors!$A53&lt;&gt;"","-Floor  ","")&amp;Height_floors!$A53&amp;IF(Height_floors!$B53&lt;&gt;"","   h ","") &amp;Height_floors!$B53</f>
        <v/>
      </c>
    </row>
    <row r="67" spans="1:1" x14ac:dyDescent="0.25">
      <c r="A67" t="str">
        <f>IF(Height_floors!$A54&lt;&gt;"","-Floor  ","")&amp;Height_floors!$A54&amp;IF(Height_floors!$B54&lt;&gt;"","   h ","") &amp;Height_floors!$B54</f>
        <v/>
      </c>
    </row>
    <row r="68" spans="1:1" x14ac:dyDescent="0.25">
      <c r="A68" t="str">
        <f>IF(Height_floors!$A55&lt;&gt;"","-Floor  ","")&amp;Height_floors!$A55&amp;IF(Height_floors!$B55&lt;&gt;"","   h ","") &amp;Height_floors!$B55</f>
        <v/>
      </c>
    </row>
    <row r="69" spans="1:1" x14ac:dyDescent="0.25">
      <c r="A69" t="str">
        <f>IF(Height_floors!$A56&lt;&gt;"","-Floor  ","")&amp;Height_floors!$A56&amp;IF(Height_floors!$B56&lt;&gt;"","   h ","") &amp;Height_floors!$B56</f>
        <v/>
      </c>
    </row>
    <row r="70" spans="1:1" x14ac:dyDescent="0.25">
      <c r="A70" t="str">
        <f>IF(Height_floors!$A57&lt;&gt;"","-Floor  ","")&amp;Height_floors!$A57&amp;IF(Height_floors!$B57&lt;&gt;"","   h ","") &amp;Height_floors!$B57</f>
        <v/>
      </c>
    </row>
    <row r="71" spans="1:1" x14ac:dyDescent="0.25">
      <c r="A71" t="str">
        <f>IF(Height_floors!$A58&lt;&gt;"","-Floor  ","")&amp;Height_floors!$A58&amp;IF(Height_floors!$B58&lt;&gt;"","   h ","") &amp;Height_floors!$B58</f>
        <v/>
      </c>
    </row>
    <row r="72" spans="1:1" x14ac:dyDescent="0.25">
      <c r="A72" t="str">
        <f>IF(Height_floors!$A59&lt;&gt;"","-Floor  ","")&amp;Height_floors!$A59&amp;IF(Height_floors!$B59&lt;&gt;"","   h ","") &amp;Height_floors!$B59</f>
        <v/>
      </c>
    </row>
  </sheetData>
  <mergeCells count="4">
    <mergeCell ref="AN1:AP1"/>
    <mergeCell ref="AQ1:AS1"/>
    <mergeCell ref="AT1:AV1"/>
    <mergeCell ref="AW1:AY1"/>
  </mergeCells>
  <dataValidations disablePrompts="1" count="1">
    <dataValidation type="decimal" allowBlank="1" showInputMessage="1" showErrorMessage="1" errorTitle="Focchi Advice." error="Sorry.  Only  numbers are accepted in this cell." sqref="E7:N7 GZ7:IZ7 BI7:CB7 CD7:CW7 GE7:GX7 FJ7:GC7 EO7:FH7 DT7:EM7 CY7:DR7 AN7:BG7 P7:Q7">
      <formula1>-999999999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B63"/>
  <sheetViews>
    <sheetView showRowColHeaders="0" view="pageBreakPreview" zoomScale="154" zoomScaleNormal="100" zoomScaleSheetLayoutView="154" workbookViewId="0">
      <selection activeCell="B61" sqref="B61"/>
    </sheetView>
  </sheetViews>
  <sheetFormatPr defaultColWidth="9.1796875" defaultRowHeight="12.5" x14ac:dyDescent="0.25"/>
  <cols>
    <col min="1" max="1" width="9.1796875" style="12"/>
    <col min="2" max="2" width="10.1796875" style="12" customWidth="1"/>
    <col min="3" max="16384" width="9.1796875" style="12"/>
  </cols>
  <sheetData>
    <row r="1" spans="1:2" ht="36.75" customHeight="1" x14ac:dyDescent="0.25">
      <c r="A1" s="187" t="s">
        <v>58</v>
      </c>
      <c r="B1" s="188"/>
    </row>
    <row r="2" spans="1:2" x14ac:dyDescent="0.25">
      <c r="A2" s="69"/>
      <c r="B2" s="69"/>
    </row>
    <row r="3" spans="1:2" x14ac:dyDescent="0.25">
      <c r="A3" s="69"/>
      <c r="B3" s="69"/>
    </row>
    <row r="4" spans="1:2" x14ac:dyDescent="0.25">
      <c r="A4" s="70"/>
      <c r="B4" s="70"/>
    </row>
    <row r="5" spans="1:2" x14ac:dyDescent="0.25">
      <c r="A5" s="70"/>
      <c r="B5" s="70"/>
    </row>
    <row r="6" spans="1:2" x14ac:dyDescent="0.25">
      <c r="A6" s="70"/>
      <c r="B6" s="70"/>
    </row>
    <row r="7" spans="1:2" x14ac:dyDescent="0.25">
      <c r="A7" s="70"/>
      <c r="B7" s="70"/>
    </row>
    <row r="8" spans="1:2" ht="7.5" customHeight="1" x14ac:dyDescent="0.25">
      <c r="A8" s="70"/>
      <c r="B8" s="70"/>
    </row>
    <row r="9" spans="1:2" ht="20.25" customHeight="1" thickBot="1" x14ac:dyDescent="0.4">
      <c r="A9" s="71" t="s">
        <v>55</v>
      </c>
      <c r="B9" s="71" t="s">
        <v>56</v>
      </c>
    </row>
    <row r="10" spans="1:2" ht="13.5" thickTop="1" thickBot="1" x14ac:dyDescent="0.3">
      <c r="A10" s="73"/>
      <c r="B10" s="72"/>
    </row>
    <row r="11" spans="1:2" ht="13.5" thickTop="1" thickBot="1" x14ac:dyDescent="0.3">
      <c r="A11" s="73"/>
      <c r="B11" s="72"/>
    </row>
    <row r="12" spans="1:2" ht="13.5" thickTop="1" thickBot="1" x14ac:dyDescent="0.3">
      <c r="A12" s="73"/>
      <c r="B12" s="72"/>
    </row>
    <row r="13" spans="1:2" ht="13.5" hidden="1" thickTop="1" thickBot="1" x14ac:dyDescent="0.3">
      <c r="A13" s="73"/>
      <c r="B13" s="72"/>
    </row>
    <row r="14" spans="1:2" ht="13.5" hidden="1" thickTop="1" thickBot="1" x14ac:dyDescent="0.3">
      <c r="A14" s="73"/>
      <c r="B14" s="72"/>
    </row>
    <row r="15" spans="1:2" ht="13.5" hidden="1" thickTop="1" thickBot="1" x14ac:dyDescent="0.3">
      <c r="A15" s="73"/>
      <c r="B15" s="72"/>
    </row>
    <row r="16" spans="1:2" ht="13.5" hidden="1" thickTop="1" thickBot="1" x14ac:dyDescent="0.3">
      <c r="A16" s="73"/>
      <c r="B16" s="72"/>
    </row>
    <row r="17" spans="1:2" ht="13.5" hidden="1" thickTop="1" thickBot="1" x14ac:dyDescent="0.3">
      <c r="A17" s="73"/>
      <c r="B17" s="72"/>
    </row>
    <row r="18" spans="1:2" ht="13.5" hidden="1" thickTop="1" thickBot="1" x14ac:dyDescent="0.3">
      <c r="A18" s="73"/>
      <c r="B18" s="72"/>
    </row>
    <row r="19" spans="1:2" ht="13.5" hidden="1" thickTop="1" thickBot="1" x14ac:dyDescent="0.3">
      <c r="A19" s="73"/>
      <c r="B19" s="72"/>
    </row>
    <row r="20" spans="1:2" ht="13.5" hidden="1" thickTop="1" thickBot="1" x14ac:dyDescent="0.3">
      <c r="A20" s="73"/>
      <c r="B20" s="72"/>
    </row>
    <row r="21" spans="1:2" ht="13.5" hidden="1" thickTop="1" thickBot="1" x14ac:dyDescent="0.3">
      <c r="A21" s="73"/>
      <c r="B21" s="72"/>
    </row>
    <row r="22" spans="1:2" ht="13.5" hidden="1" thickTop="1" thickBot="1" x14ac:dyDescent="0.3">
      <c r="A22" s="73"/>
      <c r="B22" s="72"/>
    </row>
    <row r="23" spans="1:2" ht="13.5" hidden="1" thickTop="1" thickBot="1" x14ac:dyDescent="0.3">
      <c r="A23" s="73"/>
      <c r="B23" s="72"/>
    </row>
    <row r="24" spans="1:2" ht="13.5" hidden="1" thickTop="1" thickBot="1" x14ac:dyDescent="0.3">
      <c r="A24" s="73"/>
      <c r="B24" s="72"/>
    </row>
    <row r="25" spans="1:2" ht="13.5" hidden="1" thickTop="1" thickBot="1" x14ac:dyDescent="0.3">
      <c r="A25" s="73"/>
      <c r="B25" s="72"/>
    </row>
    <row r="26" spans="1:2" ht="13.5" hidden="1" thickTop="1" thickBot="1" x14ac:dyDescent="0.3">
      <c r="A26" s="73"/>
      <c r="B26" s="72"/>
    </row>
    <row r="27" spans="1:2" ht="13.5" hidden="1" thickTop="1" thickBot="1" x14ac:dyDescent="0.3">
      <c r="A27" s="73"/>
      <c r="B27" s="72"/>
    </row>
    <row r="28" spans="1:2" ht="13.5" hidden="1" thickTop="1" thickBot="1" x14ac:dyDescent="0.3">
      <c r="A28" s="73"/>
      <c r="B28" s="72"/>
    </row>
    <row r="29" spans="1:2" ht="13.5" hidden="1" thickTop="1" thickBot="1" x14ac:dyDescent="0.3">
      <c r="A29" s="73"/>
      <c r="B29" s="72"/>
    </row>
    <row r="30" spans="1:2" ht="13.5" hidden="1" thickTop="1" thickBot="1" x14ac:dyDescent="0.3">
      <c r="A30" s="73"/>
      <c r="B30" s="72"/>
    </row>
    <row r="31" spans="1:2" ht="13.5" hidden="1" thickTop="1" thickBot="1" x14ac:dyDescent="0.3">
      <c r="A31" s="73"/>
      <c r="B31" s="72"/>
    </row>
    <row r="32" spans="1:2" ht="13.5" hidden="1" thickTop="1" thickBot="1" x14ac:dyDescent="0.3">
      <c r="A32" s="73"/>
      <c r="B32" s="72"/>
    </row>
    <row r="33" spans="1:2" ht="13.5" hidden="1" thickTop="1" thickBot="1" x14ac:dyDescent="0.3">
      <c r="A33" s="73"/>
      <c r="B33" s="72"/>
    </row>
    <row r="34" spans="1:2" ht="13.5" hidden="1" thickTop="1" thickBot="1" x14ac:dyDescent="0.3">
      <c r="A34" s="73"/>
      <c r="B34" s="72"/>
    </row>
    <row r="35" spans="1:2" ht="13.5" hidden="1" thickTop="1" thickBot="1" x14ac:dyDescent="0.3">
      <c r="A35" s="73"/>
      <c r="B35" s="72"/>
    </row>
    <row r="36" spans="1:2" ht="13.5" hidden="1" thickTop="1" thickBot="1" x14ac:dyDescent="0.3">
      <c r="A36" s="73"/>
      <c r="B36" s="72"/>
    </row>
    <row r="37" spans="1:2" ht="13.5" hidden="1" thickTop="1" thickBot="1" x14ac:dyDescent="0.3">
      <c r="A37" s="73"/>
      <c r="B37" s="72"/>
    </row>
    <row r="38" spans="1:2" ht="13.5" hidden="1" thickTop="1" thickBot="1" x14ac:dyDescent="0.3">
      <c r="A38" s="73"/>
      <c r="B38" s="72"/>
    </row>
    <row r="39" spans="1:2" ht="13.5" hidden="1" thickTop="1" thickBot="1" x14ac:dyDescent="0.3">
      <c r="A39" s="73"/>
      <c r="B39" s="72"/>
    </row>
    <row r="40" spans="1:2" ht="13.5" hidden="1" thickTop="1" thickBot="1" x14ac:dyDescent="0.3">
      <c r="A40" s="73"/>
      <c r="B40" s="72"/>
    </row>
    <row r="41" spans="1:2" ht="13.5" hidden="1" thickTop="1" thickBot="1" x14ac:dyDescent="0.3">
      <c r="A41" s="73"/>
      <c r="B41" s="72"/>
    </row>
    <row r="42" spans="1:2" ht="13.5" hidden="1" thickTop="1" thickBot="1" x14ac:dyDescent="0.3">
      <c r="A42" s="73"/>
      <c r="B42" s="72"/>
    </row>
    <row r="43" spans="1:2" ht="13.5" hidden="1" thickTop="1" thickBot="1" x14ac:dyDescent="0.3">
      <c r="A43" s="73"/>
      <c r="B43" s="72"/>
    </row>
    <row r="44" spans="1:2" ht="13.5" hidden="1" thickTop="1" thickBot="1" x14ac:dyDescent="0.3">
      <c r="A44" s="73"/>
      <c r="B44" s="72"/>
    </row>
    <row r="45" spans="1:2" ht="13.5" hidden="1" thickTop="1" thickBot="1" x14ac:dyDescent="0.3">
      <c r="A45" s="73"/>
      <c r="B45" s="72"/>
    </row>
    <row r="46" spans="1:2" ht="13.5" hidden="1" thickTop="1" thickBot="1" x14ac:dyDescent="0.3">
      <c r="A46" s="73"/>
      <c r="B46" s="72"/>
    </row>
    <row r="47" spans="1:2" ht="13.5" hidden="1" thickTop="1" thickBot="1" x14ac:dyDescent="0.3">
      <c r="A47" s="73"/>
      <c r="B47" s="72"/>
    </row>
    <row r="48" spans="1:2" ht="13.5" hidden="1" thickTop="1" thickBot="1" x14ac:dyDescent="0.3">
      <c r="A48" s="73"/>
      <c r="B48" s="72"/>
    </row>
    <row r="49" spans="1:2" ht="13.5" hidden="1" thickTop="1" thickBot="1" x14ac:dyDescent="0.3">
      <c r="A49" s="73"/>
      <c r="B49" s="72"/>
    </row>
    <row r="50" spans="1:2" ht="13.5" hidden="1" thickTop="1" thickBot="1" x14ac:dyDescent="0.3">
      <c r="A50" s="73"/>
      <c r="B50" s="72"/>
    </row>
    <row r="51" spans="1:2" ht="13.5" hidden="1" thickTop="1" thickBot="1" x14ac:dyDescent="0.3">
      <c r="A51" s="73"/>
      <c r="B51" s="72"/>
    </row>
    <row r="52" spans="1:2" ht="13.5" hidden="1" thickTop="1" thickBot="1" x14ac:dyDescent="0.3">
      <c r="A52" s="73"/>
      <c r="B52" s="72"/>
    </row>
    <row r="53" spans="1:2" ht="13.5" hidden="1" thickTop="1" thickBot="1" x14ac:dyDescent="0.3">
      <c r="A53" s="73"/>
      <c r="B53" s="72"/>
    </row>
    <row r="54" spans="1:2" ht="13.5" hidden="1" thickTop="1" thickBot="1" x14ac:dyDescent="0.3">
      <c r="A54" s="73"/>
      <c r="B54" s="72"/>
    </row>
    <row r="55" spans="1:2" ht="13.5" hidden="1" thickTop="1" thickBot="1" x14ac:dyDescent="0.3">
      <c r="A55" s="73"/>
      <c r="B55" s="72"/>
    </row>
    <row r="56" spans="1:2" ht="13.5" hidden="1" thickTop="1" thickBot="1" x14ac:dyDescent="0.3">
      <c r="A56" s="73"/>
      <c r="B56" s="72"/>
    </row>
    <row r="57" spans="1:2" ht="13.5" hidden="1" thickTop="1" thickBot="1" x14ac:dyDescent="0.3">
      <c r="A57" s="73"/>
      <c r="B57" s="72"/>
    </row>
    <row r="58" spans="1:2" ht="13.5" hidden="1" thickTop="1" thickBot="1" x14ac:dyDescent="0.3">
      <c r="A58" s="73"/>
      <c r="B58" s="72"/>
    </row>
    <row r="59" spans="1:2" ht="13.5" hidden="1" thickTop="1" thickBot="1" x14ac:dyDescent="0.3">
      <c r="A59" s="73"/>
      <c r="B59" s="72"/>
    </row>
    <row r="60" spans="1:2" ht="13.5" hidden="1" thickTop="1" thickBot="1" x14ac:dyDescent="0.3">
      <c r="A60" s="74"/>
      <c r="B60" s="75"/>
    </row>
    <row r="61" spans="1:2" ht="13" thickTop="1" x14ac:dyDescent="0.25">
      <c r="A61" s="89"/>
      <c r="B61" s="90"/>
    </row>
    <row r="62" spans="1:2" ht="13" thickBot="1" x14ac:dyDescent="0.3">
      <c r="A62" s="91"/>
      <c r="B62" s="92"/>
    </row>
    <row r="63" spans="1:2" ht="13" thickTop="1" x14ac:dyDescent="0.25"/>
  </sheetData>
  <mergeCells count="1">
    <mergeCell ref="A1:B1"/>
  </mergeCells>
  <dataValidations count="1">
    <dataValidation type="decimal" allowBlank="1" showInputMessage="1" showErrorMessage="1" errorTitle="Focchi Advice" error="You can't.  Out of Range._x000a__x000a_  Please retry._x000a_" sqref="B10:B59">
      <formula1>1</formula1>
      <formula2>99999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A10"/>
  <sheetViews>
    <sheetView workbookViewId="0">
      <selection activeCell="A9" sqref="A9"/>
    </sheetView>
  </sheetViews>
  <sheetFormatPr defaultColWidth="9.1796875" defaultRowHeight="12.5" x14ac:dyDescent="0.25"/>
  <cols>
    <col min="1" max="1" width="31.26953125" style="95" customWidth="1"/>
    <col min="2" max="2" width="37.1796875" style="95" customWidth="1"/>
    <col min="3" max="16384" width="9.1796875" style="95"/>
  </cols>
  <sheetData>
    <row r="1" spans="1:1" ht="13" x14ac:dyDescent="0.3">
      <c r="A1" s="94" t="s">
        <v>79</v>
      </c>
    </row>
    <row r="2" spans="1:1" x14ac:dyDescent="0.25">
      <c r="A2" s="95" t="s">
        <v>80</v>
      </c>
    </row>
    <row r="3" spans="1:1" x14ac:dyDescent="0.25">
      <c r="A3" s="95" t="s">
        <v>81</v>
      </c>
    </row>
    <row r="4" spans="1:1" x14ac:dyDescent="0.25">
      <c r="A4" s="95" t="s">
        <v>82</v>
      </c>
    </row>
    <row r="5" spans="1:1" x14ac:dyDescent="0.25">
      <c r="A5" s="95" t="s">
        <v>83</v>
      </c>
    </row>
    <row r="6" spans="1:1" x14ac:dyDescent="0.25">
      <c r="A6" s="95" t="s">
        <v>84</v>
      </c>
    </row>
    <row r="7" spans="1:1" x14ac:dyDescent="0.25">
      <c r="A7" s="95" t="s">
        <v>85</v>
      </c>
    </row>
    <row r="8" spans="1:1" x14ac:dyDescent="0.25">
      <c r="A8" s="95" t="s">
        <v>86</v>
      </c>
    </row>
    <row r="9" spans="1:1" x14ac:dyDescent="0.25">
      <c r="A9" s="95" t="s">
        <v>87</v>
      </c>
    </row>
    <row r="10" spans="1:1" x14ac:dyDescent="0.25">
      <c r="A10" s="95" t="s">
        <v>89</v>
      </c>
    </row>
  </sheetData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atrium" Type="http://schemas.openxmlformats.org/officeDocument/2006/relationships/image" Target="images/atrium.jpg"/><Relationship Id="Notes" Type="http://schemas.openxmlformats.org/officeDocument/2006/relationships/image" Target="images/Notes.jpg"/><Relationship Id="eraser" Type="http://schemas.openxmlformats.org/officeDocument/2006/relationships/image" Target="images/eraser.jpg"/><Relationship Id="est" Type="http://schemas.openxmlformats.org/officeDocument/2006/relationships/image" Target="images/est.jpg"/><Relationship Id="Ovest" Type="http://schemas.openxmlformats.org/officeDocument/2006/relationships/image" Target="images/Ovest.jpg"/><Relationship Id="sud" Type="http://schemas.openxmlformats.org/officeDocument/2006/relationships/image" Target="images/sud.jpg"/><Relationship Id="SuperSave" Type="http://schemas.openxmlformats.org/officeDocument/2006/relationships/image" Target="images/SuperSave.jpg"/><Relationship Id="Nord" Type="http://schemas.openxmlformats.org/officeDocument/2006/relationships/image" Target="images/Nord.jpg"/><Relationship Id="F2" Type="http://schemas.openxmlformats.org/officeDocument/2006/relationships/image" Target="images/F2.jpg"/><Relationship Id="Borsa" Type="http://schemas.openxmlformats.org/officeDocument/2006/relationships/image" Target="images/Borsa.jpg"/><Relationship Id="high" Type="http://schemas.openxmlformats.org/officeDocument/2006/relationships/image" Target="images/high.jpg"/><Relationship Id="roof" Type="http://schemas.openxmlformats.org/officeDocument/2006/relationships/image" Target="images/roof.jpg"/><Relationship Id="FOCCHI" Type="http://schemas.openxmlformats.org/officeDocument/2006/relationships/image" Target="images/FOCCHI.jpg"/><Relationship Id="Models" Type="http://schemas.openxmlformats.org/officeDocument/2006/relationships/image" Target="images/Models.jpg"/><Relationship Id="F1" Type="http://schemas.openxmlformats.org/officeDocument/2006/relationships/image" Target="images/F1.jpg"/></Relationships>
</file>

<file path=customUI/customUI.xml><?xml version="1.0" encoding="utf-8"?>
<customUI xmlns="http://schemas.microsoft.com/office/2006/01/customui" onLoad="ribbonLoaded">
  <ribbon startFromScratch="false">
    <tabs>
      <tab id="MyCustomTab" label="Panel Take Off" insertBeforeMso="TabHome">
        <group id="customGroup1" label="PanelTakeOff 4.0.1 Square meter rounded check">
          <button id="customButton1" label="Save" size="large" onAction="save" image="SuperSave"/>
          <button id="customButton2" label="Erase for new Calc" size="large" onAction="NewCalculation" image="eraser"/>
          <button id="customButton3" label="Rename Calculation" size="large" onAction="RenameCalculation" image="Borsa"/>
          <button id="customButton4" label="View/cover notes" size="large" onAction="SwitchNotes" image="Notes"/>
          <button id="customButton5" label="Setup" size="large" onAction="RunSetup" image="FOCCHI"/>
          <button id="customButton6" label="Basic Models" size="large" onAction="BasicModels" image="Models"/>
        </group>
        <group id="customGroup2" label="Jump To Sector">
          <button id="customButton7" label="North" size="large" onAction="JumpToNorth" image="Nord"/>
          <button id="customButton8" label="East" size="large" onAction="JumpToEast" image="est"/>
          <button id="customButton9" label="South" size="large" onAction="JumpToSouth" image="sud"/>
          <button id="customButton10" label="West" size="large" onAction="JumpToWest" image="Ovest"/>
          <button id="customButton11" label="Roof" size="large" onAction="JumpToRoof" image="roof"/>
          <button id="customButton12" label="Atrium" size="large" onAction="JumpToAtrium" image="atrium"/>
          <button id="customButton13" label="F1" size="large" onAction="JumpToF1" image="F1"/>
          <button id="customButton14" label="F2" size="large" onAction="JumpToF2" image="F2"/>
          <button id="customButton15" label="Automatic High" size="large" onAction="JumpToAutomatic" image="hig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CELLS</vt:lpstr>
      <vt:lpstr>RESUMING</vt:lpstr>
      <vt:lpstr>Model</vt:lpstr>
      <vt:lpstr>Height_floors</vt:lpstr>
      <vt:lpstr>Woset</vt:lpstr>
      <vt:lpstr>CELLS!Area_stampa</vt:lpstr>
      <vt:lpstr>RESUMINGSOURCE</vt:lpstr>
      <vt:lpstr>CELLS!Titoli_stampa</vt:lpstr>
      <vt:lpstr>RESUMING!Titoli_stampa</vt:lpstr>
    </vt:vector>
  </TitlesOfParts>
  <Company>Permasteelisa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Stefano.Pavan</dc:creator>
  <cp:lastModifiedBy>Massimo Cicognani</cp:lastModifiedBy>
  <cp:lastPrinted>2009-09-22T12:30:47Z</cp:lastPrinted>
  <dcterms:created xsi:type="dcterms:W3CDTF">2003-11-17T08:37:51Z</dcterms:created>
  <dcterms:modified xsi:type="dcterms:W3CDTF">2018-11-23T17:30:40Z</dcterms:modified>
</cp:coreProperties>
</file>